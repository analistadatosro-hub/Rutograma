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38d267aab82413e"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44c7280e4d8b1fcd/Documentos/Sodexo/Laptop Sodexo/Descargas/"/>
    </mc:Choice>
  </mc:AlternateContent>
  <xr:revisionPtr revIDLastSave="18" documentId="8_{56F64FF5-9F7F-4D3F-A2BD-4776A40757F8}" xr6:coauthVersionLast="47" xr6:coauthVersionMax="47" xr10:uidLastSave="{CC8CC542-B0F1-4786-967A-FF040BB9267C}"/>
  <bookViews>
    <workbookView xWindow="-120" yWindow="-120" windowWidth="38640" windowHeight="21120" tabRatio="705" firstSheet="1" activeTab="4" xr2:uid="{00000000-000D-0000-FFFF-FFFF00000000}"/>
  </bookViews>
  <sheets>
    <sheet name="About" sheetId="234" state="hidden" r:id="rId1"/>
    <sheet name="VRP Solver Console" sheetId="231" r:id="rId2"/>
    <sheet name="MultiLanguageMenuItems" sheetId="232" state="hidden" r:id="rId3"/>
    <sheet name="MultiLanguageInterface" sheetId="233" state="hidden" r:id="rId4"/>
    <sheet name="1 ubicaciones" sheetId="243" r:id="rId5"/>
    <sheet name="2.Distancias" sheetId="244" r:id="rId6"/>
    <sheet name="3.Vehículos" sheetId="245" r:id="rId7"/>
    <sheet name="3.1.Compatibilidad de vehículos" sheetId="246" r:id="rId8"/>
    <sheet name="4.Solución" sheetId="247" r:id="rId9"/>
    <sheet name="5.Visualización" sheetId="248" r:id="rId10"/>
  </sheets>
  <definedNames>
    <definedName name="_xlnm._FilterDatabase" localSheetId="4" hidden="1">'1 ubicaciones'!$A$1:$L$737</definedName>
    <definedName name="_xlnm._FilterDatabase" localSheetId="3" hidden="1">MultiLanguageInterface!$A$1:$G$193</definedName>
    <definedName name="_xlnm._FilterDatabase" localSheetId="2" hidden="1">MultiLanguageMenuItems!$B$1:$C$26</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9" i="248" l="1"/>
  <c r="AM8" i="248"/>
  <c r="AM7" i="248"/>
  <c r="AM6" i="248"/>
  <c r="AM5" i="248"/>
  <c r="AM4" i="248"/>
  <c r="AM3" i="248"/>
  <c r="AM2" i="248"/>
  <c r="AJ1" i="248"/>
  <c r="AG1" i="248"/>
  <c r="AD1" i="248"/>
  <c r="AA1" i="248"/>
  <c r="X1" i="248"/>
  <c r="U1" i="248"/>
  <c r="R1" i="248"/>
  <c r="O1" i="248"/>
  <c r="DT3" i="247"/>
  <c r="DV5" i="247"/>
  <c r="DQ5" i="247"/>
  <c r="DR5" i="247" s="1"/>
  <c r="AJ2" i="248" s="1"/>
  <c r="DR41" i="247"/>
  <c r="DZ41" i="247" s="1"/>
  <c r="DR40" i="247"/>
  <c r="AJ142" i="248" s="1"/>
  <c r="DR39" i="247"/>
  <c r="AJ138" i="248" s="1"/>
  <c r="DR38" i="247"/>
  <c r="EC38" i="247" s="1"/>
  <c r="DR37" i="247"/>
  <c r="DR36" i="247"/>
  <c r="DR35" i="247"/>
  <c r="EC35" i="247" s="1"/>
  <c r="DR34" i="247"/>
  <c r="DR33" i="247"/>
  <c r="DR32" i="247"/>
  <c r="AJ110" i="248" s="1"/>
  <c r="AK110" i="248" s="1"/>
  <c r="DR31" i="247"/>
  <c r="DS31" i="247" s="1"/>
  <c r="DR30" i="247"/>
  <c r="DR29" i="247"/>
  <c r="DS29" i="247" s="1"/>
  <c r="DR28" i="247"/>
  <c r="DR27" i="247"/>
  <c r="AJ90" i="248" s="1"/>
  <c r="DR26" i="247"/>
  <c r="DR25" i="247"/>
  <c r="DR24" i="247"/>
  <c r="DR23" i="247"/>
  <c r="AJ74" i="248" s="1"/>
  <c r="DR22" i="247"/>
  <c r="DR21" i="247"/>
  <c r="DS21" i="247" s="1"/>
  <c r="DR20" i="247"/>
  <c r="DR19" i="247"/>
  <c r="AJ58" i="248" s="1"/>
  <c r="DR18" i="247"/>
  <c r="DZ18" i="247" s="1"/>
  <c r="DR17" i="247"/>
  <c r="DR16" i="247"/>
  <c r="DR15" i="247"/>
  <c r="AJ42" i="248" s="1"/>
  <c r="AK42" i="248" s="1"/>
  <c r="DR14" i="247"/>
  <c r="DR13" i="247"/>
  <c r="AJ34" i="248" s="1"/>
  <c r="AK34" i="248" s="1"/>
  <c r="DR12" i="247"/>
  <c r="AJ30" i="248" s="1"/>
  <c r="DR11" i="247"/>
  <c r="AJ26" i="248" s="1"/>
  <c r="DR10" i="247"/>
  <c r="DR9" i="247"/>
  <c r="DZ9" i="247" s="1"/>
  <c r="DR8" i="247"/>
  <c r="DR7" i="247"/>
  <c r="AJ10" i="248" s="1"/>
  <c r="DR6" i="247"/>
  <c r="DY6" i="247" s="1"/>
  <c r="DC3" i="247"/>
  <c r="DE5" i="247"/>
  <c r="CZ5" i="247"/>
  <c r="DA41" i="247"/>
  <c r="AG146" i="248" s="1"/>
  <c r="DA40" i="247"/>
  <c r="DA39" i="247"/>
  <c r="DI39" i="247" s="1"/>
  <c r="DA38" i="247"/>
  <c r="DA37" i="247"/>
  <c r="AG130" i="248" s="1"/>
  <c r="DA36" i="247"/>
  <c r="DA35" i="247"/>
  <c r="DB35" i="247" s="1"/>
  <c r="DA34" i="247"/>
  <c r="AG118" i="248" s="1"/>
  <c r="DA33" i="247"/>
  <c r="DK33" i="247" s="1"/>
  <c r="DA32" i="247"/>
  <c r="DH32" i="247" s="1"/>
  <c r="DA31" i="247"/>
  <c r="DG31" i="247" s="1"/>
  <c r="DA30" i="247"/>
  <c r="AG102" i="248" s="1"/>
  <c r="DA29" i="247"/>
  <c r="DK29" i="247" s="1"/>
  <c r="DA28" i="247"/>
  <c r="AG94" i="248" s="1"/>
  <c r="DA27" i="247"/>
  <c r="DA26" i="247"/>
  <c r="DH26" i="247" s="1"/>
  <c r="DA25" i="247"/>
  <c r="DB25" i="247" s="1"/>
  <c r="DA24" i="247"/>
  <c r="DI24" i="247" s="1"/>
  <c r="DA23" i="247"/>
  <c r="AG74" i="248" s="1"/>
  <c r="DA22" i="247"/>
  <c r="AG70" i="248" s="1"/>
  <c r="DA21" i="247"/>
  <c r="DH21" i="247" s="1"/>
  <c r="DA20" i="247"/>
  <c r="AG62" i="248" s="1"/>
  <c r="DA19" i="247"/>
  <c r="AG58" i="248" s="1"/>
  <c r="DA18" i="247"/>
  <c r="DA17" i="247"/>
  <c r="AG50" i="248" s="1"/>
  <c r="DA16" i="247"/>
  <c r="DG16" i="247" s="1"/>
  <c r="DA15" i="247"/>
  <c r="DI15" i="247" s="1"/>
  <c r="DA14" i="247"/>
  <c r="DG14" i="247" s="1"/>
  <c r="DA13" i="247"/>
  <c r="DB13" i="247" s="1"/>
  <c r="DA12" i="247"/>
  <c r="DC12" i="247" s="1"/>
  <c r="DA11" i="247"/>
  <c r="AG26" i="248" s="1"/>
  <c r="DA10" i="247"/>
  <c r="DB10" i="247" s="1"/>
  <c r="DA9" i="247"/>
  <c r="DD9" i="247" s="1"/>
  <c r="DA8" i="247"/>
  <c r="DD8" i="247" s="1"/>
  <c r="DA7" i="247"/>
  <c r="DB7" i="247" s="1"/>
  <c r="DA6" i="247"/>
  <c r="DA5" i="247"/>
  <c r="CL3" i="247"/>
  <c r="CN5" i="247"/>
  <c r="CI5" i="247"/>
  <c r="CJ5" i="247" s="1"/>
  <c r="AD2" i="248" s="1"/>
  <c r="AF2" i="248" s="1"/>
  <c r="CJ41" i="247"/>
  <c r="CJ40" i="247"/>
  <c r="CM40" i="247" s="1"/>
  <c r="CJ39" i="247"/>
  <c r="CJ38" i="247"/>
  <c r="CM38" i="247" s="1"/>
  <c r="CJ37" i="247"/>
  <c r="CJ36" i="247"/>
  <c r="CK36" i="247" s="1"/>
  <c r="CJ35" i="247"/>
  <c r="CJ34" i="247"/>
  <c r="AD118" i="248" s="1"/>
  <c r="CJ33" i="247"/>
  <c r="CU33" i="247" s="1"/>
  <c r="CJ32" i="247"/>
  <c r="AD110" i="248" s="1"/>
  <c r="CJ31" i="247"/>
  <c r="AD106" i="248" s="1"/>
  <c r="CJ30" i="247"/>
  <c r="CQ30" i="247" s="1"/>
  <c r="CJ29" i="247"/>
  <c r="AD98" i="248" s="1"/>
  <c r="AF98" i="248" s="1"/>
  <c r="CJ28" i="247"/>
  <c r="CU28" i="247" s="1"/>
  <c r="CJ27" i="247"/>
  <c r="AD90" i="248" s="1"/>
  <c r="AF90" i="248" s="1"/>
  <c r="CJ26" i="247"/>
  <c r="CJ25" i="247"/>
  <c r="AD82" i="248" s="1"/>
  <c r="CJ24" i="247"/>
  <c r="CJ23" i="247"/>
  <c r="AD74" i="248" s="1"/>
  <c r="AE74" i="248" s="1"/>
  <c r="CJ22" i="247"/>
  <c r="CT22" i="247" s="1"/>
  <c r="CJ21" i="247"/>
  <c r="CJ20" i="247"/>
  <c r="AD62" i="248" s="1"/>
  <c r="CJ19" i="247"/>
  <c r="AD58" i="248" s="1"/>
  <c r="CJ18" i="247"/>
  <c r="CL18" i="247" s="1"/>
  <c r="CJ17" i="247"/>
  <c r="CT17" i="247" s="1"/>
  <c r="CJ16" i="247"/>
  <c r="CQ16" i="247" s="1"/>
  <c r="CJ15" i="247"/>
  <c r="CP15" i="247" s="1"/>
  <c r="CJ14" i="247"/>
  <c r="AD38" i="248" s="1"/>
  <c r="CJ13" i="247"/>
  <c r="CJ12" i="247"/>
  <c r="CU12" i="247" s="1"/>
  <c r="CJ11" i="247"/>
  <c r="CJ10" i="247"/>
  <c r="CR10" i="247" s="1"/>
  <c r="CJ9" i="247"/>
  <c r="CQ9" i="247" s="1"/>
  <c r="CJ8" i="247"/>
  <c r="CJ7" i="247"/>
  <c r="CR7" i="247" s="1"/>
  <c r="CJ6" i="247"/>
  <c r="CP6" i="247" s="1"/>
  <c r="BU3" i="247"/>
  <c r="BW5" i="247"/>
  <c r="BR5" i="247"/>
  <c r="BS41" i="247"/>
  <c r="BU41" i="247" s="1"/>
  <c r="BS40" i="247"/>
  <c r="BS39" i="247"/>
  <c r="AA138" i="248" s="1"/>
  <c r="BS38" i="247"/>
  <c r="BS37" i="247"/>
  <c r="BS36" i="247"/>
  <c r="AA126" i="248" s="1"/>
  <c r="BS35" i="247"/>
  <c r="AA122" i="248" s="1"/>
  <c r="BS34" i="247"/>
  <c r="AA118" i="248" s="1"/>
  <c r="BS33" i="247"/>
  <c r="CD33" i="247" s="1"/>
  <c r="BS32" i="247"/>
  <c r="BY32" i="247" s="1"/>
  <c r="BS31" i="247"/>
  <c r="BS30" i="247"/>
  <c r="AA102" i="248" s="1"/>
  <c r="BS29" i="247"/>
  <c r="CD29" i="247" s="1"/>
  <c r="BS28" i="247"/>
  <c r="BU28" i="247" s="1"/>
  <c r="BS27" i="247"/>
  <c r="AA90" i="248" s="1"/>
  <c r="BS26" i="247"/>
  <c r="BS25" i="247"/>
  <c r="BS24" i="247"/>
  <c r="BY24" i="247" s="1"/>
  <c r="BS23" i="247"/>
  <c r="CA23" i="247" s="1"/>
  <c r="BS22" i="247"/>
  <c r="BS21" i="247"/>
  <c r="AA66" i="248" s="1"/>
  <c r="BS20" i="247"/>
  <c r="AA62" i="248" s="1"/>
  <c r="BS19" i="247"/>
  <c r="BS18" i="247"/>
  <c r="AA54" i="248" s="1"/>
  <c r="BS17" i="247"/>
  <c r="BS16" i="247"/>
  <c r="BS15" i="247"/>
  <c r="AA42" i="248" s="1"/>
  <c r="BS14" i="247"/>
  <c r="BU14" i="247" s="1"/>
  <c r="BS13" i="247"/>
  <c r="AA34" i="248" s="1"/>
  <c r="AB34" i="248" s="1"/>
  <c r="BS12" i="247"/>
  <c r="BS11" i="247"/>
  <c r="AA26" i="248" s="1"/>
  <c r="BS10" i="247"/>
  <c r="BS9" i="247"/>
  <c r="BS8" i="247"/>
  <c r="AA14" i="248" s="1"/>
  <c r="AB14" i="248" s="1"/>
  <c r="BS7" i="247"/>
  <c r="AA10" i="248" s="1"/>
  <c r="BS6" i="247"/>
  <c r="BD3" i="247"/>
  <c r="BF5" i="247"/>
  <c r="BA5" i="247"/>
  <c r="BB41" i="247"/>
  <c r="X146" i="248" s="1"/>
  <c r="BB40" i="247"/>
  <c r="BB39" i="247"/>
  <c r="X138" i="248" s="1"/>
  <c r="BB38" i="247"/>
  <c r="X134" i="248" s="1"/>
  <c r="BB37" i="247"/>
  <c r="BD37" i="247" s="1"/>
  <c r="BB36" i="247"/>
  <c r="BB35" i="247"/>
  <c r="BM35" i="247" s="1"/>
  <c r="BB34" i="247"/>
  <c r="BB33" i="247"/>
  <c r="X114" i="248" s="1"/>
  <c r="BB32" i="247"/>
  <c r="BB31" i="247"/>
  <c r="X106" i="248" s="1"/>
  <c r="BB30" i="247"/>
  <c r="X102" i="248" s="1"/>
  <c r="Y102" i="248" s="1"/>
  <c r="BB29" i="247"/>
  <c r="X98" i="248" s="1"/>
  <c r="BB28" i="247"/>
  <c r="BB27" i="247"/>
  <c r="X90" i="248" s="1"/>
  <c r="BB26" i="247"/>
  <c r="BJ26" i="247" s="1"/>
  <c r="BB25" i="247"/>
  <c r="BB24" i="247"/>
  <c r="X78" i="248" s="1"/>
  <c r="BB23" i="247"/>
  <c r="BI23" i="247" s="1"/>
  <c r="BB22" i="247"/>
  <c r="BB21" i="247"/>
  <c r="BB20" i="247"/>
  <c r="BH20" i="247" s="1"/>
  <c r="BB19" i="247"/>
  <c r="BB18" i="247"/>
  <c r="X54" i="248" s="1"/>
  <c r="BB17" i="247"/>
  <c r="BB16" i="247"/>
  <c r="X46" i="248" s="1"/>
  <c r="BB15" i="247"/>
  <c r="X42" i="248" s="1"/>
  <c r="BB14" i="247"/>
  <c r="BB13" i="247"/>
  <c r="BD13" i="247" s="1"/>
  <c r="BB12" i="247"/>
  <c r="BB11" i="247"/>
  <c r="X26" i="248" s="1"/>
  <c r="BB10" i="247"/>
  <c r="X22" i="248" s="1"/>
  <c r="BB9" i="247"/>
  <c r="BB8" i="247"/>
  <c r="BB7" i="247"/>
  <c r="X10" i="248" s="1"/>
  <c r="BB6" i="247"/>
  <c r="AM3" i="247"/>
  <c r="AO5" i="247"/>
  <c r="AJ5" i="247"/>
  <c r="AK41" i="247"/>
  <c r="U146" i="248" s="1"/>
  <c r="AK40" i="247"/>
  <c r="AN40" i="247" s="1"/>
  <c r="AK39" i="247"/>
  <c r="AK38" i="247"/>
  <c r="AK37" i="247"/>
  <c r="AM37" i="247" s="1"/>
  <c r="AK36" i="247"/>
  <c r="AK35" i="247"/>
  <c r="AL35" i="247" s="1"/>
  <c r="AK34" i="247"/>
  <c r="AK33" i="247"/>
  <c r="AK32" i="247"/>
  <c r="AK31" i="247"/>
  <c r="U106" i="248" s="1"/>
  <c r="V106" i="248" s="1"/>
  <c r="AK30" i="247"/>
  <c r="U102" i="248" s="1"/>
  <c r="V102" i="248" s="1"/>
  <c r="AK29" i="247"/>
  <c r="AK28" i="247"/>
  <c r="AK27" i="247"/>
  <c r="AT27" i="247" s="1"/>
  <c r="AK26" i="247"/>
  <c r="AK25" i="247"/>
  <c r="AN25" i="247" s="1"/>
  <c r="AK24" i="247"/>
  <c r="U78" i="248" s="1"/>
  <c r="W78" i="248" s="1"/>
  <c r="AK23" i="247"/>
  <c r="AN23" i="247" s="1"/>
  <c r="AK22" i="247"/>
  <c r="U70" i="248" s="1"/>
  <c r="AK21" i="247"/>
  <c r="AS21" i="247" s="1"/>
  <c r="AK20" i="247"/>
  <c r="AN20" i="247" s="1"/>
  <c r="AK19" i="247"/>
  <c r="U58" i="248" s="1"/>
  <c r="AK18" i="247"/>
  <c r="AK17" i="247"/>
  <c r="AU17" i="247" s="1"/>
  <c r="AK16" i="247"/>
  <c r="AK15" i="247"/>
  <c r="AS15" i="247" s="1"/>
  <c r="AK14" i="247"/>
  <c r="AK13" i="247"/>
  <c r="U34" i="248" s="1"/>
  <c r="AK12" i="247"/>
  <c r="U30" i="248" s="1"/>
  <c r="AK11" i="247"/>
  <c r="AK10" i="247"/>
  <c r="AK9" i="247"/>
  <c r="U18" i="248" s="1"/>
  <c r="AK8" i="247"/>
  <c r="U14" i="248" s="1"/>
  <c r="AK7" i="247"/>
  <c r="U10" i="248" s="1"/>
  <c r="AK6" i="247"/>
  <c r="U6" i="248" s="1"/>
  <c r="V3" i="247"/>
  <c r="X5" i="247"/>
  <c r="S5" i="247"/>
  <c r="T5" i="247" s="1"/>
  <c r="R2" i="248" s="1"/>
  <c r="S2" i="248" s="1"/>
  <c r="T41" i="247"/>
  <c r="V41" i="247" s="1"/>
  <c r="T40" i="247"/>
  <c r="W40" i="247" s="1"/>
  <c r="T39" i="247"/>
  <c r="T38" i="247"/>
  <c r="U38" i="247" s="1"/>
  <c r="T37" i="247"/>
  <c r="R130" i="248" s="1"/>
  <c r="T36" i="247"/>
  <c r="T35" i="247"/>
  <c r="R122" i="248" s="1"/>
  <c r="T34" i="247"/>
  <c r="T33" i="247"/>
  <c r="R114" i="248" s="1"/>
  <c r="T32" i="247"/>
  <c r="AD32" i="247" s="1"/>
  <c r="T31" i="247"/>
  <c r="T30" i="247"/>
  <c r="R102" i="248" s="1"/>
  <c r="T29" i="247"/>
  <c r="R98" i="248" s="1"/>
  <c r="T28" i="247"/>
  <c r="AC28" i="247" s="1"/>
  <c r="T27" i="247"/>
  <c r="R90" i="248" s="1"/>
  <c r="T26" i="247"/>
  <c r="R86" i="248" s="1"/>
  <c r="T25" i="247"/>
  <c r="R82" i="248" s="1"/>
  <c r="T24" i="247"/>
  <c r="R78" i="248" s="1"/>
  <c r="T23" i="247"/>
  <c r="V23" i="247" s="1"/>
  <c r="T22" i="247"/>
  <c r="R70" i="248" s="1"/>
  <c r="T21" i="247"/>
  <c r="R66" i="248" s="1"/>
  <c r="T20" i="247"/>
  <c r="R62" i="248" s="1"/>
  <c r="T19" i="247"/>
  <c r="R58" i="248" s="1"/>
  <c r="T18" i="247"/>
  <c r="R54" i="248" s="1"/>
  <c r="T17" i="247"/>
  <c r="AA17" i="247" s="1"/>
  <c r="T16" i="247"/>
  <c r="T15" i="247"/>
  <c r="W15" i="247" s="1"/>
  <c r="T14" i="247"/>
  <c r="AD14" i="247" s="1"/>
  <c r="T13" i="247"/>
  <c r="T12" i="247"/>
  <c r="T11" i="247"/>
  <c r="R26" i="248" s="1"/>
  <c r="T10" i="247"/>
  <c r="R22" i="248" s="1"/>
  <c r="T9" i="247"/>
  <c r="R18" i="248" s="1"/>
  <c r="T8" i="247"/>
  <c r="T7" i="247"/>
  <c r="T6" i="247"/>
  <c r="R6" i="248" s="1"/>
  <c r="E3" i="247"/>
  <c r="G5" i="247"/>
  <c r="B5" i="247"/>
  <c r="C41" i="247"/>
  <c r="C40" i="247"/>
  <c r="C39" i="247"/>
  <c r="C38" i="247"/>
  <c r="O134" i="248" s="1"/>
  <c r="C37" i="247"/>
  <c r="O130" i="248" s="1"/>
  <c r="C36" i="247"/>
  <c r="D36" i="247" s="1"/>
  <c r="C35" i="247"/>
  <c r="O122" i="248" s="1"/>
  <c r="C34" i="247"/>
  <c r="M34" i="247" s="1"/>
  <c r="C33" i="247"/>
  <c r="O114" i="248" s="1"/>
  <c r="C32" i="247"/>
  <c r="C31" i="247"/>
  <c r="O106" i="248" s="1"/>
  <c r="C30" i="247"/>
  <c r="C29" i="247"/>
  <c r="O98" i="248" s="1"/>
  <c r="C28" i="247"/>
  <c r="O94" i="248" s="1"/>
  <c r="C27" i="247"/>
  <c r="J27" i="247" s="1"/>
  <c r="C26" i="247"/>
  <c r="O86" i="248" s="1"/>
  <c r="C25" i="247"/>
  <c r="C24" i="247"/>
  <c r="L24" i="247" s="1"/>
  <c r="C23" i="247"/>
  <c r="N23" i="247" s="1"/>
  <c r="C22" i="247"/>
  <c r="O70" i="248" s="1"/>
  <c r="Q70" i="248" s="1"/>
  <c r="C21" i="247"/>
  <c r="O66" i="248" s="1"/>
  <c r="C20" i="247"/>
  <c r="C19" i="247"/>
  <c r="D19" i="247" s="1"/>
  <c r="C18" i="247"/>
  <c r="O54" i="248" s="1"/>
  <c r="C17" i="247"/>
  <c r="O50" i="248" s="1"/>
  <c r="Q50" i="248" s="1"/>
  <c r="C16" i="247"/>
  <c r="C15" i="247"/>
  <c r="O42" i="248" s="1"/>
  <c r="C14" i="247"/>
  <c r="O38" i="248" s="1"/>
  <c r="C13" i="247"/>
  <c r="J13" i="247" s="1"/>
  <c r="C12" i="247"/>
  <c r="E12" i="247" s="1"/>
  <c r="C11" i="247"/>
  <c r="O26" i="248" s="1"/>
  <c r="C10" i="247"/>
  <c r="C9" i="247"/>
  <c r="O18" i="248" s="1"/>
  <c r="C8" i="247"/>
  <c r="O14" i="248" s="1"/>
  <c r="C7" i="247"/>
  <c r="O10" i="248" s="1"/>
  <c r="C6" i="247"/>
  <c r="B39" i="246"/>
  <c r="A39" i="246"/>
  <c r="B38" i="246"/>
  <c r="A38" i="246"/>
  <c r="B37" i="246"/>
  <c r="A37" i="246"/>
  <c r="B36" i="246"/>
  <c r="A36" i="246"/>
  <c r="B35" i="246"/>
  <c r="A35" i="246"/>
  <c r="B34" i="246"/>
  <c r="A34" i="246"/>
  <c r="B33" i="246"/>
  <c r="A33" i="246"/>
  <c r="B32" i="246"/>
  <c r="A32" i="246"/>
  <c r="B31" i="246"/>
  <c r="A31" i="246"/>
  <c r="B30" i="246"/>
  <c r="A30" i="246"/>
  <c r="B29" i="246"/>
  <c r="A29" i="246"/>
  <c r="B28" i="246"/>
  <c r="A28" i="246"/>
  <c r="B27" i="246"/>
  <c r="A27" i="246"/>
  <c r="B26" i="246"/>
  <c r="A26" i="246"/>
  <c r="B25" i="246"/>
  <c r="A25" i="246"/>
  <c r="B24" i="246"/>
  <c r="A24" i="246"/>
  <c r="B23" i="246"/>
  <c r="A23" i="246"/>
  <c r="B22" i="246"/>
  <c r="A22" i="246"/>
  <c r="B21" i="246"/>
  <c r="A21" i="246"/>
  <c r="B20" i="246"/>
  <c r="A20" i="246"/>
  <c r="B19" i="246"/>
  <c r="A19" i="246"/>
  <c r="B18" i="246"/>
  <c r="A18" i="246"/>
  <c r="B17" i="246"/>
  <c r="A17" i="246"/>
  <c r="B16" i="246"/>
  <c r="A16" i="246"/>
  <c r="B15" i="246"/>
  <c r="A15" i="246"/>
  <c r="B14" i="246"/>
  <c r="A14" i="246"/>
  <c r="B13" i="246"/>
  <c r="A13" i="246"/>
  <c r="B12" i="246"/>
  <c r="A12" i="246"/>
  <c r="B11" i="246"/>
  <c r="A11" i="246"/>
  <c r="B10" i="246"/>
  <c r="A10" i="246"/>
  <c r="B9" i="246"/>
  <c r="A9" i="246"/>
  <c r="B8" i="246"/>
  <c r="A8" i="246"/>
  <c r="B7" i="246"/>
  <c r="A7" i="246"/>
  <c r="B6" i="246"/>
  <c r="A6" i="246"/>
  <c r="B5" i="246"/>
  <c r="A5" i="246"/>
  <c r="B4" i="246"/>
  <c r="A4" i="246"/>
  <c r="B3" i="246"/>
  <c r="A3" i="246"/>
  <c r="B2" i="246"/>
  <c r="A2" i="246"/>
  <c r="J1" i="246"/>
  <c r="I1" i="246"/>
  <c r="H1" i="246"/>
  <c r="G1" i="246"/>
  <c r="F1" i="246"/>
  <c r="E1" i="246"/>
  <c r="D1" i="246"/>
  <c r="C1" i="246"/>
  <c r="L25" i="245"/>
  <c r="G25" i="245"/>
  <c r="F25" i="245"/>
  <c r="E25" i="245"/>
  <c r="D25" i="245"/>
  <c r="C25" i="245"/>
  <c r="B25" i="245"/>
  <c r="L24" i="245"/>
  <c r="G24" i="245"/>
  <c r="F24" i="245"/>
  <c r="E24" i="245"/>
  <c r="D24" i="245"/>
  <c r="C24" i="245"/>
  <c r="B24" i="245"/>
  <c r="L23" i="245"/>
  <c r="G23" i="245"/>
  <c r="F23" i="245"/>
  <c r="E23" i="245"/>
  <c r="D23" i="245"/>
  <c r="C23" i="245"/>
  <c r="B23" i="245"/>
  <c r="L22" i="245"/>
  <c r="G22" i="245"/>
  <c r="F22" i="245"/>
  <c r="E22" i="245"/>
  <c r="D22" i="245"/>
  <c r="C22" i="245"/>
  <c r="B22" i="245"/>
  <c r="L21" i="245"/>
  <c r="G21" i="245"/>
  <c r="F21" i="245"/>
  <c r="E21" i="245"/>
  <c r="D21" i="245"/>
  <c r="C21" i="245"/>
  <c r="B21" i="245"/>
  <c r="L20" i="245"/>
  <c r="G20" i="245"/>
  <c r="F20" i="245"/>
  <c r="E20" i="245"/>
  <c r="D20" i="245"/>
  <c r="C20" i="245"/>
  <c r="B20" i="245"/>
  <c r="L19" i="245"/>
  <c r="G19" i="245"/>
  <c r="F19" i="245"/>
  <c r="E19" i="245"/>
  <c r="D19" i="245"/>
  <c r="C19" i="245"/>
  <c r="B19" i="245"/>
  <c r="L18" i="245"/>
  <c r="G18" i="245"/>
  <c r="F18" i="245"/>
  <c r="E18" i="245"/>
  <c r="D18" i="245"/>
  <c r="C18" i="245"/>
  <c r="B18" i="245"/>
  <c r="L17" i="245"/>
  <c r="G17" i="245"/>
  <c r="F17" i="245"/>
  <c r="E17" i="245"/>
  <c r="D17" i="245"/>
  <c r="C17" i="245"/>
  <c r="B17" i="245"/>
  <c r="L16" i="245"/>
  <c r="G16" i="245"/>
  <c r="F16" i="245"/>
  <c r="E16" i="245"/>
  <c r="D16" i="245"/>
  <c r="C16" i="245"/>
  <c r="B16" i="245"/>
  <c r="L15" i="245"/>
  <c r="G15" i="245"/>
  <c r="F15" i="245"/>
  <c r="E15" i="245"/>
  <c r="D15" i="245"/>
  <c r="C15" i="245"/>
  <c r="B15" i="245"/>
  <c r="L14" i="245"/>
  <c r="G14" i="245"/>
  <c r="F14" i="245"/>
  <c r="E14" i="245"/>
  <c r="D14" i="245"/>
  <c r="C14" i="245"/>
  <c r="B14" i="245"/>
  <c r="L13" i="245"/>
  <c r="G13" i="245"/>
  <c r="F13" i="245"/>
  <c r="E13" i="245"/>
  <c r="D13" i="245"/>
  <c r="C13" i="245"/>
  <c r="B13" i="245"/>
  <c r="L12" i="245"/>
  <c r="G12" i="245"/>
  <c r="F12" i="245"/>
  <c r="E12" i="245"/>
  <c r="D12" i="245"/>
  <c r="C12" i="245"/>
  <c r="B12" i="245"/>
  <c r="L11" i="245"/>
  <c r="G11" i="245"/>
  <c r="F11" i="245"/>
  <c r="E11" i="245"/>
  <c r="D11" i="245"/>
  <c r="C11" i="245"/>
  <c r="B11" i="245"/>
  <c r="L10" i="245"/>
  <c r="G10" i="245"/>
  <c r="F10" i="245"/>
  <c r="E10" i="245"/>
  <c r="D10" i="245"/>
  <c r="C10" i="245"/>
  <c r="B10" i="245"/>
  <c r="L9" i="245"/>
  <c r="L8" i="245"/>
  <c r="L7" i="245"/>
  <c r="L6" i="245"/>
  <c r="L5" i="245"/>
  <c r="L4" i="245"/>
  <c r="L3" i="245"/>
  <c r="L2" i="245"/>
  <c r="J1446" i="244"/>
  <c r="I1446" i="244"/>
  <c r="H1446" i="244"/>
  <c r="G1446" i="244"/>
  <c r="F1446" i="244"/>
  <c r="E1446" i="244"/>
  <c r="J1407" i="244"/>
  <c r="I1407" i="244"/>
  <c r="H1407" i="244"/>
  <c r="G1407" i="244"/>
  <c r="F1407" i="244"/>
  <c r="E1407" i="244"/>
  <c r="J1368" i="244"/>
  <c r="I1368" i="244"/>
  <c r="H1368" i="244"/>
  <c r="G1368" i="244"/>
  <c r="F1368" i="244"/>
  <c r="E1368" i="244"/>
  <c r="J1329" i="244"/>
  <c r="I1329" i="244"/>
  <c r="H1329" i="244"/>
  <c r="G1329" i="244"/>
  <c r="F1329" i="244"/>
  <c r="E1329" i="244"/>
  <c r="J1290" i="244"/>
  <c r="I1290" i="244"/>
  <c r="H1290" i="244"/>
  <c r="G1290" i="244"/>
  <c r="F1290" i="244"/>
  <c r="E1290" i="244"/>
  <c r="J1251" i="244"/>
  <c r="I1251" i="244"/>
  <c r="H1251" i="244"/>
  <c r="G1251" i="244"/>
  <c r="F1251" i="244"/>
  <c r="E1251" i="244"/>
  <c r="J1212" i="244"/>
  <c r="I1212" i="244"/>
  <c r="H1212" i="244"/>
  <c r="G1212" i="244"/>
  <c r="F1212" i="244"/>
  <c r="E1212" i="244"/>
  <c r="J1173" i="244"/>
  <c r="I1173" i="244"/>
  <c r="H1173" i="244"/>
  <c r="G1173" i="244"/>
  <c r="F1173" i="244"/>
  <c r="E1173" i="244"/>
  <c r="J1134" i="244"/>
  <c r="I1134" i="244"/>
  <c r="H1134" i="244"/>
  <c r="G1134" i="244"/>
  <c r="F1134" i="244"/>
  <c r="E1134" i="244"/>
  <c r="J1095" i="244"/>
  <c r="I1095" i="244"/>
  <c r="H1095" i="244"/>
  <c r="G1095" i="244"/>
  <c r="F1095" i="244"/>
  <c r="E1095" i="244"/>
  <c r="J1056" i="244"/>
  <c r="I1056" i="244"/>
  <c r="H1056" i="244"/>
  <c r="G1056" i="244"/>
  <c r="F1056" i="244"/>
  <c r="E1056" i="244"/>
  <c r="J1017" i="244"/>
  <c r="I1017" i="244"/>
  <c r="H1017" i="244"/>
  <c r="G1017" i="244"/>
  <c r="F1017" i="244"/>
  <c r="E1017" i="244"/>
  <c r="J978" i="244"/>
  <c r="I978" i="244"/>
  <c r="H978" i="244"/>
  <c r="G978" i="244"/>
  <c r="F978" i="244"/>
  <c r="E978" i="244"/>
  <c r="J939" i="244"/>
  <c r="I939" i="244"/>
  <c r="H939" i="244"/>
  <c r="G939" i="244"/>
  <c r="F939" i="244"/>
  <c r="E939" i="244"/>
  <c r="J900" i="244"/>
  <c r="I900" i="244"/>
  <c r="H900" i="244"/>
  <c r="G900" i="244"/>
  <c r="F900" i="244"/>
  <c r="E900" i="244"/>
  <c r="J861" i="244"/>
  <c r="I861" i="244"/>
  <c r="H861" i="244"/>
  <c r="G861" i="244"/>
  <c r="F861" i="244"/>
  <c r="E861" i="244"/>
  <c r="J822" i="244"/>
  <c r="I822" i="244"/>
  <c r="H822" i="244"/>
  <c r="G822" i="244"/>
  <c r="F822" i="244"/>
  <c r="E822" i="244"/>
  <c r="J783" i="244"/>
  <c r="I783" i="244"/>
  <c r="H783" i="244"/>
  <c r="G783" i="244"/>
  <c r="F783" i="244"/>
  <c r="E783" i="244"/>
  <c r="J744" i="244"/>
  <c r="I744" i="244"/>
  <c r="H744" i="244"/>
  <c r="G744" i="244"/>
  <c r="F744" i="244"/>
  <c r="E744" i="244"/>
  <c r="J705" i="244"/>
  <c r="I705" i="244"/>
  <c r="H705" i="244"/>
  <c r="G705" i="244"/>
  <c r="F705" i="244"/>
  <c r="E705" i="244"/>
  <c r="J666" i="244"/>
  <c r="I666" i="244"/>
  <c r="H666" i="244"/>
  <c r="G666" i="244"/>
  <c r="F666" i="244"/>
  <c r="E666" i="244"/>
  <c r="J627" i="244"/>
  <c r="I627" i="244"/>
  <c r="H627" i="244"/>
  <c r="G627" i="244"/>
  <c r="F627" i="244"/>
  <c r="E627" i="244"/>
  <c r="J588" i="244"/>
  <c r="I588" i="244"/>
  <c r="H588" i="244"/>
  <c r="G588" i="244"/>
  <c r="F588" i="244"/>
  <c r="E588" i="244"/>
  <c r="J549" i="244"/>
  <c r="I549" i="244"/>
  <c r="H549" i="244"/>
  <c r="G549" i="244"/>
  <c r="F549" i="244"/>
  <c r="E549" i="244"/>
  <c r="J510" i="244"/>
  <c r="I510" i="244"/>
  <c r="H510" i="244"/>
  <c r="G510" i="244"/>
  <c r="F510" i="244"/>
  <c r="E510" i="244"/>
  <c r="J471" i="244"/>
  <c r="I471" i="244"/>
  <c r="H471" i="244"/>
  <c r="G471" i="244"/>
  <c r="F471" i="244"/>
  <c r="E471" i="244"/>
  <c r="J432" i="244"/>
  <c r="I432" i="244"/>
  <c r="H432" i="244"/>
  <c r="G432" i="244"/>
  <c r="F432" i="244"/>
  <c r="E432" i="244"/>
  <c r="J393" i="244"/>
  <c r="I393" i="244"/>
  <c r="H393" i="244"/>
  <c r="G393" i="244"/>
  <c r="F393" i="244"/>
  <c r="E393" i="244"/>
  <c r="J354" i="244"/>
  <c r="I354" i="244"/>
  <c r="H354" i="244"/>
  <c r="G354" i="244"/>
  <c r="F354" i="244"/>
  <c r="E354" i="244"/>
  <c r="J315" i="244"/>
  <c r="I315" i="244"/>
  <c r="H315" i="244"/>
  <c r="G315" i="244"/>
  <c r="F315" i="244"/>
  <c r="E315" i="244"/>
  <c r="J276" i="244"/>
  <c r="I276" i="244"/>
  <c r="H276" i="244"/>
  <c r="G276" i="244"/>
  <c r="F276" i="244"/>
  <c r="E276" i="244"/>
  <c r="J237" i="244"/>
  <c r="I237" i="244"/>
  <c r="H237" i="244"/>
  <c r="G237" i="244"/>
  <c r="F237" i="244"/>
  <c r="E237" i="244"/>
  <c r="J198" i="244"/>
  <c r="I198" i="244"/>
  <c r="H198" i="244"/>
  <c r="G198" i="244"/>
  <c r="F198" i="244"/>
  <c r="E198" i="244"/>
  <c r="J159" i="244"/>
  <c r="I159" i="244"/>
  <c r="H159" i="244"/>
  <c r="G159" i="244"/>
  <c r="F159" i="244"/>
  <c r="E159" i="244"/>
  <c r="J120" i="244"/>
  <c r="I120" i="244"/>
  <c r="H120" i="244"/>
  <c r="G120" i="244"/>
  <c r="F120" i="244"/>
  <c r="E120" i="244"/>
  <c r="J81" i="244"/>
  <c r="I81" i="244"/>
  <c r="H81" i="244"/>
  <c r="G81" i="244"/>
  <c r="F81" i="244"/>
  <c r="E81" i="244"/>
  <c r="J42" i="244"/>
  <c r="I42" i="244"/>
  <c r="H42" i="244"/>
  <c r="G42" i="244"/>
  <c r="F42" i="244"/>
  <c r="E42" i="244"/>
  <c r="J3" i="244"/>
  <c r="I3" i="244"/>
  <c r="H3" i="244"/>
  <c r="G3" i="244"/>
  <c r="F3" i="244"/>
  <c r="E3" i="244"/>
  <c r="W13" i="248" l="1"/>
  <c r="AJ122" i="248"/>
  <c r="AL29" i="248"/>
  <c r="CU16" i="247"/>
  <c r="J24" i="247"/>
  <c r="DK12" i="247"/>
  <c r="R110" i="248"/>
  <c r="S113" i="248" s="1"/>
  <c r="AD29" i="247"/>
  <c r="CS16" i="247"/>
  <c r="AJ54" i="248"/>
  <c r="AL54" i="248" s="1"/>
  <c r="DI12" i="247"/>
  <c r="AD30" i="248"/>
  <c r="AE30" i="248" s="1"/>
  <c r="CL33" i="247"/>
  <c r="W41" i="247"/>
  <c r="X41" i="247" s="1"/>
  <c r="Y41" i="247" s="1"/>
  <c r="CR33" i="247"/>
  <c r="DU29" i="247"/>
  <c r="DV29" i="247" s="1"/>
  <c r="DW29" i="247" s="1"/>
  <c r="AA41" i="247"/>
  <c r="CT33" i="247"/>
  <c r="DX29" i="247"/>
  <c r="AD10" i="247"/>
  <c r="BM31" i="247"/>
  <c r="CK6" i="247"/>
  <c r="CK7" i="247" s="1"/>
  <c r="CK8" i="247" s="1"/>
  <c r="CK9" i="247" s="1"/>
  <c r="CK10" i="247" s="1"/>
  <c r="CK11" i="247" s="1"/>
  <c r="CP16" i="247"/>
  <c r="DH15" i="247"/>
  <c r="DC35" i="247"/>
  <c r="DZ29" i="247"/>
  <c r="BD31" i="247"/>
  <c r="BH31" i="247"/>
  <c r="BI31" i="247"/>
  <c r="X34" i="248"/>
  <c r="Y34" i="248" s="1"/>
  <c r="AD33" i="247"/>
  <c r="CR6" i="247"/>
  <c r="CR16" i="247"/>
  <c r="DK28" i="247"/>
  <c r="BH35" i="247"/>
  <c r="CA18" i="247"/>
  <c r="BY29" i="247"/>
  <c r="DD19" i="247"/>
  <c r="DE19" i="247" s="1"/>
  <c r="DF19" i="247" s="1"/>
  <c r="R42" i="248"/>
  <c r="S42" i="248" s="1"/>
  <c r="AD114" i="248"/>
  <c r="AE112" i="248" s="1"/>
  <c r="N31" i="247"/>
  <c r="BD35" i="247"/>
  <c r="BI35" i="247"/>
  <c r="BD20" i="247"/>
  <c r="Z17" i="247"/>
  <c r="BI39" i="247"/>
  <c r="DB20" i="247"/>
  <c r="AD11" i="247"/>
  <c r="BY28" i="247"/>
  <c r="DC20" i="247"/>
  <c r="EA41" i="247"/>
  <c r="N34" i="247"/>
  <c r="AS23" i="247"/>
  <c r="BK20" i="247"/>
  <c r="BV21" i="247"/>
  <c r="CA28" i="247"/>
  <c r="DH14" i="247"/>
  <c r="DD20" i="247"/>
  <c r="DE20" i="247" s="1"/>
  <c r="DF20" i="247" s="1"/>
  <c r="DC26" i="247"/>
  <c r="DH31" i="247"/>
  <c r="P53" i="248"/>
  <c r="V29" i="247"/>
  <c r="V7" i="248"/>
  <c r="AT23" i="247"/>
  <c r="BL20" i="247"/>
  <c r="CQ17" i="247"/>
  <c r="DH20" i="247"/>
  <c r="DG26" i="247"/>
  <c r="DI31" i="247"/>
  <c r="DZ13" i="247"/>
  <c r="AD134" i="248"/>
  <c r="AF134" i="248" s="1"/>
  <c r="V17" i="247"/>
  <c r="BV28" i="247"/>
  <c r="BJ20" i="247"/>
  <c r="AG86" i="248"/>
  <c r="AI86" i="248" s="1"/>
  <c r="V15" i="247"/>
  <c r="DK10" i="247"/>
  <c r="D31" i="247"/>
  <c r="M37" i="247"/>
  <c r="Z15" i="247"/>
  <c r="AA40" i="247"/>
  <c r="BI8" i="247"/>
  <c r="BJ31" i="247"/>
  <c r="CR32" i="247"/>
  <c r="DK21" i="247"/>
  <c r="DG28" i="247"/>
  <c r="X62" i="248"/>
  <c r="Y62" i="248" s="1"/>
  <c r="AG114" i="248"/>
  <c r="AH117" i="248" s="1"/>
  <c r="W11" i="247"/>
  <c r="X11" i="247" s="1"/>
  <c r="Y11" i="247" s="1"/>
  <c r="CA11" i="247"/>
  <c r="AR23" i="247"/>
  <c r="BK33" i="247"/>
  <c r="BM20" i="247"/>
  <c r="L37" i="247"/>
  <c r="AT17" i="247"/>
  <c r="AG98" i="248"/>
  <c r="AI99" i="248" s="1"/>
  <c r="E31" i="247"/>
  <c r="N37" i="247"/>
  <c r="AA15" i="247"/>
  <c r="BJ8" i="247"/>
  <c r="BK31" i="247"/>
  <c r="BT18" i="247"/>
  <c r="DH28" i="247"/>
  <c r="O74" i="248"/>
  <c r="P72" i="248" s="1"/>
  <c r="BI20" i="247"/>
  <c r="AU23" i="247"/>
  <c r="AS17" i="247"/>
  <c r="BY23" i="247"/>
  <c r="DG21" i="247"/>
  <c r="AR8" i="247"/>
  <c r="CD23" i="247"/>
  <c r="F31" i="247"/>
  <c r="AB10" i="247"/>
  <c r="AB24" i="247"/>
  <c r="W33" i="247"/>
  <c r="X33" i="247" s="1"/>
  <c r="Y33" i="247" s="1"/>
  <c r="BL31" i="247"/>
  <c r="BY18" i="247"/>
  <c r="AB119" i="248"/>
  <c r="CK33" i="247"/>
  <c r="DI28" i="247"/>
  <c r="DI35" i="247"/>
  <c r="AG122" i="248"/>
  <c r="AH121" i="248" s="1"/>
  <c r="EA13" i="247"/>
  <c r="CS39" i="247"/>
  <c r="CL39" i="247"/>
  <c r="CK39" i="247"/>
  <c r="CU39" i="247"/>
  <c r="AG54" i="248"/>
  <c r="AH57" i="248" s="1"/>
  <c r="DK18" i="247"/>
  <c r="DI18" i="247"/>
  <c r="DD18" i="247"/>
  <c r="DE18" i="247" s="1"/>
  <c r="DF18" i="247" s="1"/>
  <c r="DU37" i="247"/>
  <c r="DV37" i="247" s="1"/>
  <c r="DW37" i="247" s="1"/>
  <c r="DS37" i="247"/>
  <c r="DZ37" i="247"/>
  <c r="Z6" i="247"/>
  <c r="Z7" i="247" s="1"/>
  <c r="Z8" i="247" s="1"/>
  <c r="Z9" i="247" s="1"/>
  <c r="Z10" i="247" s="1"/>
  <c r="BL40" i="247"/>
  <c r="BK40" i="247"/>
  <c r="BI40" i="247"/>
  <c r="BD40" i="247"/>
  <c r="BM40" i="247"/>
  <c r="V30" i="247"/>
  <c r="AG2" i="248"/>
  <c r="AH2" i="248" s="1"/>
  <c r="AD54" i="248"/>
  <c r="CU18" i="247"/>
  <c r="CT18" i="247"/>
  <c r="CS18" i="247"/>
  <c r="CL13" i="247"/>
  <c r="AD34" i="248"/>
  <c r="CU13" i="247"/>
  <c r="U98" i="248"/>
  <c r="W98" i="248" s="1"/>
  <c r="AT29" i="247"/>
  <c r="AS29" i="247"/>
  <c r="AR29" i="247"/>
  <c r="AN29" i="247"/>
  <c r="AU29" i="247"/>
  <c r="AM29" i="247"/>
  <c r="AL29" i="247"/>
  <c r="W35" i="247"/>
  <c r="X35" i="247" s="1"/>
  <c r="Y35" i="247" s="1"/>
  <c r="DX36" i="247"/>
  <c r="AJ126" i="248"/>
  <c r="AA58" i="248"/>
  <c r="AC57" i="248" s="1"/>
  <c r="BU19" i="247"/>
  <c r="O62" i="248"/>
  <c r="N20" i="247"/>
  <c r="M20" i="247"/>
  <c r="L20" i="247"/>
  <c r="J20" i="247"/>
  <c r="F20" i="247"/>
  <c r="BC40" i="247"/>
  <c r="AD40" i="247"/>
  <c r="AC40" i="247"/>
  <c r="AB40" i="247"/>
  <c r="AT35" i="247"/>
  <c r="AR35" i="247"/>
  <c r="AN35" i="247"/>
  <c r="U122" i="248"/>
  <c r="V122" i="248" s="1"/>
  <c r="AJ38" i="248"/>
  <c r="AK38" i="248" s="1"/>
  <c r="EC14" i="247"/>
  <c r="DZ14" i="247"/>
  <c r="DY14" i="247"/>
  <c r="DX14" i="247"/>
  <c r="AD31" i="247"/>
  <c r="AC31" i="247"/>
  <c r="E38" i="247"/>
  <c r="BJ7" i="247"/>
  <c r="BH26" i="247"/>
  <c r="BL36" i="247"/>
  <c r="BK36" i="247"/>
  <c r="BJ36" i="247"/>
  <c r="BI36" i="247"/>
  <c r="BT20" i="247"/>
  <c r="BT41" i="247"/>
  <c r="F26" i="247"/>
  <c r="AS30" i="247"/>
  <c r="BI26" i="247"/>
  <c r="BD36" i="247"/>
  <c r="CD41" i="247"/>
  <c r="E14" i="247"/>
  <c r="J26" i="247"/>
  <c r="U86" i="248"/>
  <c r="AR26" i="247"/>
  <c r="AN26" i="247"/>
  <c r="AM26" i="247"/>
  <c r="AL26" i="247"/>
  <c r="AU30" i="247"/>
  <c r="BM36" i="247"/>
  <c r="DI32" i="247"/>
  <c r="AB31" i="247"/>
  <c r="AU20" i="247"/>
  <c r="AS26" i="247"/>
  <c r="BI13" i="247"/>
  <c r="CA17" i="247"/>
  <c r="BZ17" i="247"/>
  <c r="BY17" i="247"/>
  <c r="BT36" i="247"/>
  <c r="AF107" i="248"/>
  <c r="AF106" i="248"/>
  <c r="CT34" i="247"/>
  <c r="DK32" i="247"/>
  <c r="DB39" i="247"/>
  <c r="DX32" i="247"/>
  <c r="J14" i="247"/>
  <c r="AC22" i="247"/>
  <c r="AA28" i="247"/>
  <c r="AB38" i="247"/>
  <c r="AT26" i="247"/>
  <c r="AM31" i="247"/>
  <c r="BJ13" i="247"/>
  <c r="X94" i="248"/>
  <c r="Z92" i="248" s="1"/>
  <c r="BL28" i="247"/>
  <c r="BK28" i="247"/>
  <c r="BU17" i="247"/>
  <c r="BV36" i="247"/>
  <c r="CU22" i="247"/>
  <c r="CS31" i="247"/>
  <c r="CU34" i="247"/>
  <c r="AD146" i="248"/>
  <c r="AF146" i="248" s="1"/>
  <c r="CT41" i="247"/>
  <c r="DD25" i="247"/>
  <c r="DE25" i="247" s="1"/>
  <c r="DF25" i="247" s="1"/>
  <c r="DX18" i="247"/>
  <c r="EA33" i="247"/>
  <c r="DY33" i="247"/>
  <c r="DX33" i="247"/>
  <c r="DU33" i="247"/>
  <c r="DV33" i="247" s="1"/>
  <c r="DW33" i="247" s="1"/>
  <c r="DS33" i="247"/>
  <c r="V11" i="247"/>
  <c r="R50" i="248"/>
  <c r="AD17" i="247"/>
  <c r="AC17" i="247"/>
  <c r="AB17" i="247"/>
  <c r="AD22" i="247"/>
  <c r="AB28" i="247"/>
  <c r="AC38" i="247"/>
  <c r="U42" i="248"/>
  <c r="AU15" i="247"/>
  <c r="AT15" i="247"/>
  <c r="AU26" i="247"/>
  <c r="CA36" i="247"/>
  <c r="CL12" i="247"/>
  <c r="CU31" i="247"/>
  <c r="DD26" i="247"/>
  <c r="DE26" i="247" s="1"/>
  <c r="DF26" i="247" s="1"/>
  <c r="DK26" i="247"/>
  <c r="DB29" i="247"/>
  <c r="DI33" i="247"/>
  <c r="AK32" i="248"/>
  <c r="AL32" i="248"/>
  <c r="AJ94" i="248"/>
  <c r="AK94" i="248" s="1"/>
  <c r="DX28" i="247"/>
  <c r="DZ33" i="247"/>
  <c r="DU41" i="247"/>
  <c r="DV41" i="247" s="1"/>
  <c r="DW41" i="247" s="1"/>
  <c r="AB118" i="248"/>
  <c r="BM25" i="247"/>
  <c r="X82" i="248"/>
  <c r="Y82" i="248" s="1"/>
  <c r="CP28" i="247"/>
  <c r="AD94" i="248"/>
  <c r="AE93" i="248" s="1"/>
  <c r="AD36" i="247"/>
  <c r="AC36" i="247"/>
  <c r="AA86" i="248"/>
  <c r="AC87" i="248" s="1"/>
  <c r="BU26" i="247"/>
  <c r="DC7" i="247"/>
  <c r="R106" i="248"/>
  <c r="E26" i="247"/>
  <c r="W19" i="247"/>
  <c r="X19" i="247" s="1"/>
  <c r="Y19" i="247" s="1"/>
  <c r="V27" i="247"/>
  <c r="V31" i="247"/>
  <c r="AA36" i="247"/>
  <c r="AT24" i="247"/>
  <c r="DI7" i="247"/>
  <c r="DK37" i="247"/>
  <c r="EC15" i="247"/>
  <c r="AG10" i="248"/>
  <c r="W27" i="247"/>
  <c r="X27" i="247" s="1"/>
  <c r="Y27" i="247" s="1"/>
  <c r="W31" i="247"/>
  <c r="X31" i="247" s="1"/>
  <c r="Y31" i="247" s="1"/>
  <c r="AB36" i="247"/>
  <c r="BU20" i="247"/>
  <c r="DG32" i="247"/>
  <c r="R126" i="248"/>
  <c r="T125" i="248" s="1"/>
  <c r="AD42" i="248"/>
  <c r="AE40" i="248" s="1"/>
  <c r="AA27" i="247"/>
  <c r="AA31" i="247"/>
  <c r="AS20" i="247"/>
  <c r="AV37" i="247"/>
  <c r="AT37" i="247"/>
  <c r="BH13" i="247"/>
  <c r="CS22" i="247"/>
  <c r="CS34" i="247"/>
  <c r="DK9" i="247"/>
  <c r="DI9" i="247"/>
  <c r="DH39" i="247"/>
  <c r="DG39" i="247"/>
  <c r="DD39" i="247"/>
  <c r="DE39" i="247" s="1"/>
  <c r="DF39" i="247" s="1"/>
  <c r="DC39" i="247"/>
  <c r="F14" i="247"/>
  <c r="CT11" i="247"/>
  <c r="AD26" i="248"/>
  <c r="AF27" i="248" s="1"/>
  <c r="CS11" i="247"/>
  <c r="CR11" i="247"/>
  <c r="CQ11" i="247"/>
  <c r="DY18" i="247"/>
  <c r="EC18" i="247"/>
  <c r="R134" i="248"/>
  <c r="T133" i="248" s="1"/>
  <c r="AD38" i="247"/>
  <c r="AN33" i="247"/>
  <c r="AU33" i="247"/>
  <c r="AT33" i="247"/>
  <c r="AS33" i="247"/>
  <c r="AA130" i="248"/>
  <c r="AC130" i="248" s="1"/>
  <c r="CD37" i="247"/>
  <c r="BY37" i="247"/>
  <c r="BV37" i="247"/>
  <c r="CS12" i="247"/>
  <c r="CP24" i="247"/>
  <c r="CU24" i="247"/>
  <c r="AD78" i="248"/>
  <c r="AE75" i="248" s="1"/>
  <c r="DI29" i="247"/>
  <c r="EA18" i="247"/>
  <c r="DY41" i="247"/>
  <c r="AC118" i="248"/>
  <c r="J37" i="247"/>
  <c r="Z11" i="247"/>
  <c r="W17" i="247"/>
  <c r="X17" i="247" s="1"/>
  <c r="Y17" i="247" s="1"/>
  <c r="AS6" i="247"/>
  <c r="X70" i="248"/>
  <c r="BM22" i="247"/>
  <c r="BL22" i="247"/>
  <c r="BE35" i="247"/>
  <c r="X122" i="248"/>
  <c r="Y122" i="248" s="1"/>
  <c r="BJ39" i="247"/>
  <c r="BT37" i="247"/>
  <c r="CT12" i="247"/>
  <c r="DD12" i="247"/>
  <c r="DE12" i="247" s="1"/>
  <c r="DF12" i="247" s="1"/>
  <c r="AG30" i="248"/>
  <c r="DY13" i="247"/>
  <c r="AA146" i="248"/>
  <c r="AE2" i="248"/>
  <c r="AG38" i="248"/>
  <c r="AJ18" i="248"/>
  <c r="AL18" i="248" s="1"/>
  <c r="Q13" i="248"/>
  <c r="N21" i="247"/>
  <c r="AA10" i="247"/>
  <c r="BT21" i="247"/>
  <c r="CQ32" i="247"/>
  <c r="DK22" i="247"/>
  <c r="DB30" i="247"/>
  <c r="DX38" i="247"/>
  <c r="N17" i="247"/>
  <c r="D29" i="247"/>
  <c r="W29" i="247"/>
  <c r="X29" i="247" s="1"/>
  <c r="Y29" i="247" s="1"/>
  <c r="V33" i="247"/>
  <c r="W37" i="247"/>
  <c r="X37" i="247" s="1"/>
  <c r="Y37" i="247" s="1"/>
  <c r="AS8" i="247"/>
  <c r="AL23" i="247"/>
  <c r="BL33" i="247"/>
  <c r="BZ11" i="247"/>
  <c r="BZ21" i="247"/>
  <c r="DB28" i="247"/>
  <c r="U50" i="248"/>
  <c r="O102" i="248"/>
  <c r="Q102" i="248" s="1"/>
  <c r="L30" i="247"/>
  <c r="E30" i="247"/>
  <c r="R46" i="248"/>
  <c r="AC16" i="247"/>
  <c r="AB16" i="247"/>
  <c r="AD16" i="247"/>
  <c r="AA16" i="247"/>
  <c r="Z16" i="247"/>
  <c r="W16" i="247"/>
  <c r="X16" i="247" s="1"/>
  <c r="Y16" i="247" s="1"/>
  <c r="AF82" i="248"/>
  <c r="AE82" i="248"/>
  <c r="O46" i="248"/>
  <c r="P48" i="248" s="1"/>
  <c r="L16" i="247"/>
  <c r="N16" i="247"/>
  <c r="M16" i="247"/>
  <c r="J16" i="247"/>
  <c r="F16" i="247"/>
  <c r="J30" i="247"/>
  <c r="Z134" i="248"/>
  <c r="Y134" i="248"/>
  <c r="Y137" i="248"/>
  <c r="Z136" i="248"/>
  <c r="AJ102" i="248"/>
  <c r="AL102" i="248" s="1"/>
  <c r="EC30" i="247"/>
  <c r="EA30" i="247"/>
  <c r="DZ30" i="247"/>
  <c r="Z54" i="248"/>
  <c r="Y54" i="248"/>
  <c r="P54" i="248"/>
  <c r="V34" i="247"/>
  <c r="R118" i="248"/>
  <c r="T116" i="248" s="1"/>
  <c r="AA30" i="248"/>
  <c r="AC30" i="248" s="1"/>
  <c r="CA12" i="247"/>
  <c r="BZ12" i="247"/>
  <c r="AB54" i="248"/>
  <c r="AC54" i="248"/>
  <c r="P70" i="248"/>
  <c r="AA78" i="248"/>
  <c r="X58" i="248"/>
  <c r="Z57" i="248" s="1"/>
  <c r="BI19" i="247"/>
  <c r="BM19" i="247"/>
  <c r="BJ19" i="247"/>
  <c r="BL19" i="247"/>
  <c r="BK19" i="247"/>
  <c r="BH19" i="247"/>
  <c r="BD19" i="247"/>
  <c r="X74" i="248"/>
  <c r="Y75" i="248" s="1"/>
  <c r="BM23" i="247"/>
  <c r="AA114" i="248"/>
  <c r="BY33" i="247"/>
  <c r="BV33" i="247"/>
  <c r="BU33" i="247"/>
  <c r="BT33" i="247"/>
  <c r="AG126" i="248"/>
  <c r="DK36" i="247"/>
  <c r="DI36" i="247"/>
  <c r="DH36" i="247"/>
  <c r="DG36" i="247"/>
  <c r="AJ62" i="248"/>
  <c r="AK59" i="248" s="1"/>
  <c r="DX20" i="247"/>
  <c r="T20" i="248"/>
  <c r="S20" i="248"/>
  <c r="U46" i="248"/>
  <c r="AN16" i="247"/>
  <c r="AM16" i="247"/>
  <c r="AL16" i="247"/>
  <c r="X38" i="248"/>
  <c r="BK14" i="247"/>
  <c r="BI14" i="247"/>
  <c r="BM14" i="247"/>
  <c r="BL14" i="247"/>
  <c r="Y81" i="248"/>
  <c r="Y78" i="248"/>
  <c r="Z80" i="248"/>
  <c r="Z78" i="248"/>
  <c r="AJ70" i="248"/>
  <c r="AK73" i="248" s="1"/>
  <c r="EA22" i="247"/>
  <c r="EC22" i="247"/>
  <c r="DZ22" i="247"/>
  <c r="DY22" i="247"/>
  <c r="DX22" i="247"/>
  <c r="T65" i="248"/>
  <c r="S63" i="248"/>
  <c r="R10" i="248"/>
  <c r="T9" i="248" s="1"/>
  <c r="AB7" i="247"/>
  <c r="BD14" i="247"/>
  <c r="BZ9" i="247"/>
  <c r="DU16" i="247"/>
  <c r="DV16" i="247" s="1"/>
  <c r="DW16" i="247" s="1"/>
  <c r="AJ46" i="248"/>
  <c r="D39" i="247"/>
  <c r="O138" i="248"/>
  <c r="P137" i="248" s="1"/>
  <c r="BH14" i="247"/>
  <c r="O142" i="248"/>
  <c r="P142" i="248" s="1"/>
  <c r="N40" i="247"/>
  <c r="M40" i="247"/>
  <c r="V16" i="247"/>
  <c r="V25" i="247"/>
  <c r="BT24" i="247"/>
  <c r="CP7" i="247"/>
  <c r="CP8" i="247" s="1"/>
  <c r="CP9" i="247" s="1"/>
  <c r="CP10" i="247" s="1"/>
  <c r="CP11" i="247" s="1"/>
  <c r="D16" i="247"/>
  <c r="E40" i="247"/>
  <c r="V20" i="247"/>
  <c r="W25" i="247"/>
  <c r="X25" i="247" s="1"/>
  <c r="Y25" i="247" s="1"/>
  <c r="W34" i="248"/>
  <c r="V34" i="248"/>
  <c r="W32" i="248"/>
  <c r="U54" i="248"/>
  <c r="V57" i="248" s="1"/>
  <c r="AU18" i="247"/>
  <c r="AT18" i="247"/>
  <c r="AQ34" i="247"/>
  <c r="U118" i="248"/>
  <c r="AN34" i="247"/>
  <c r="AL34" i="247"/>
  <c r="AU34" i="247"/>
  <c r="AT34" i="247"/>
  <c r="AS34" i="247"/>
  <c r="AR34" i="247"/>
  <c r="AM34" i="247"/>
  <c r="BJ38" i="247"/>
  <c r="AF59" i="248"/>
  <c r="AE61" i="248"/>
  <c r="AF58" i="248"/>
  <c r="AE58" i="248"/>
  <c r="AJ14" i="248"/>
  <c r="EA26" i="247"/>
  <c r="DZ26" i="247"/>
  <c r="AJ86" i="248"/>
  <c r="AL87" i="248" s="1"/>
  <c r="DY26" i="247"/>
  <c r="DX30" i="247"/>
  <c r="AL34" i="248"/>
  <c r="AK31" i="248"/>
  <c r="O6" i="248"/>
  <c r="Q9" i="248" s="1"/>
  <c r="E16" i="247"/>
  <c r="AD12" i="247"/>
  <c r="R30" i="248"/>
  <c r="S27" i="248" s="1"/>
  <c r="W20" i="247"/>
  <c r="X20" i="247" s="1"/>
  <c r="Y20" i="247" s="1"/>
  <c r="AD25" i="247"/>
  <c r="AS18" i="247"/>
  <c r="X30" i="248"/>
  <c r="Y27" i="248" s="1"/>
  <c r="BK12" i="247"/>
  <c r="BJ12" i="247"/>
  <c r="BK38" i="247"/>
  <c r="Y146" i="248"/>
  <c r="Z146" i="248"/>
  <c r="Y147" i="248"/>
  <c r="AC66" i="248"/>
  <c r="AB66" i="248"/>
  <c r="DX26" i="247"/>
  <c r="DY30" i="247"/>
  <c r="J6" i="247"/>
  <c r="L6" i="247" s="1"/>
  <c r="N13" i="247"/>
  <c r="O34" i="248"/>
  <c r="Q37" i="248" s="1"/>
  <c r="M13" i="247"/>
  <c r="O90" i="248"/>
  <c r="Q89" i="248" s="1"/>
  <c r="N27" i="247"/>
  <c r="M27" i="247"/>
  <c r="R34" i="248"/>
  <c r="AD13" i="247"/>
  <c r="AC13" i="247"/>
  <c r="AB13" i="247"/>
  <c r="W13" i="247"/>
  <c r="X13" i="247" s="1"/>
  <c r="Y13" i="247" s="1"/>
  <c r="V147" i="248"/>
  <c r="V148" i="248"/>
  <c r="W146" i="248"/>
  <c r="V146" i="248"/>
  <c r="X50" i="248"/>
  <c r="Y47" i="248" s="1"/>
  <c r="BM17" i="247"/>
  <c r="BH17" i="247"/>
  <c r="BL38" i="247"/>
  <c r="AD66" i="248"/>
  <c r="CS21" i="247"/>
  <c r="CQ21" i="247"/>
  <c r="CU21" i="247"/>
  <c r="CR21" i="247"/>
  <c r="CT21" i="247"/>
  <c r="CP21" i="247"/>
  <c r="CL21" i="247"/>
  <c r="AG6" i="248"/>
  <c r="DK6" i="247"/>
  <c r="DD6" i="247"/>
  <c r="DE6" i="247" s="1"/>
  <c r="DF6" i="247" s="1"/>
  <c r="DH6" i="247"/>
  <c r="DJ6" i="247" s="1"/>
  <c r="EC26" i="247"/>
  <c r="S112" i="248"/>
  <c r="T110" i="248"/>
  <c r="T113" i="248"/>
  <c r="Z82" i="248"/>
  <c r="AA18" i="248"/>
  <c r="E13" i="247"/>
  <c r="D27" i="247"/>
  <c r="V13" i="247"/>
  <c r="U38" i="248"/>
  <c r="AS14" i="247"/>
  <c r="AU14" i="247"/>
  <c r="AR14" i="247"/>
  <c r="AN14" i="247"/>
  <c r="AT14" i="247"/>
  <c r="AM14" i="247"/>
  <c r="AL14" i="247"/>
  <c r="BI12" i="247"/>
  <c r="BI17" i="247"/>
  <c r="L13" i="247"/>
  <c r="O110" i="248"/>
  <c r="P109" i="248" s="1"/>
  <c r="L32" i="247"/>
  <c r="N32" i="247"/>
  <c r="M32" i="247"/>
  <c r="J32" i="247"/>
  <c r="F32" i="247"/>
  <c r="AQ32" i="247"/>
  <c r="U110" i="248"/>
  <c r="V110" i="248" s="1"/>
  <c r="AU32" i="247"/>
  <c r="AS32" i="247"/>
  <c r="AT32" i="247"/>
  <c r="AR32" i="247"/>
  <c r="AN32" i="247"/>
  <c r="F24" i="247"/>
  <c r="O78" i="248"/>
  <c r="D32" i="247"/>
  <c r="AC23" i="247"/>
  <c r="AB23" i="247"/>
  <c r="R74" i="248"/>
  <c r="T71" i="248" s="1"/>
  <c r="AA23" i="247"/>
  <c r="AD23" i="247"/>
  <c r="Z23" i="247"/>
  <c r="W23" i="247"/>
  <c r="X23" i="247" s="1"/>
  <c r="Y23" i="247" s="1"/>
  <c r="U39" i="247"/>
  <c r="R138" i="248"/>
  <c r="AC39" i="247"/>
  <c r="AB39" i="247"/>
  <c r="AA39" i="247"/>
  <c r="AD39" i="247"/>
  <c r="W39" i="247"/>
  <c r="X39" i="247" s="1"/>
  <c r="Y39" i="247" s="1"/>
  <c r="V39" i="247"/>
  <c r="U66" i="248"/>
  <c r="W68" i="248" s="1"/>
  <c r="AU21" i="247"/>
  <c r="AT21" i="247"/>
  <c r="AL32" i="247"/>
  <c r="AU36" i="247"/>
  <c r="U126" i="248"/>
  <c r="AR36" i="247"/>
  <c r="AN36" i="247"/>
  <c r="AV36" i="247"/>
  <c r="AT36" i="247"/>
  <c r="AS36" i="247"/>
  <c r="AM36" i="247"/>
  <c r="AL36" i="247"/>
  <c r="BH23" i="247"/>
  <c r="Y100" i="248"/>
  <c r="Z99" i="248"/>
  <c r="BJ33" i="247"/>
  <c r="CA33" i="247"/>
  <c r="T19" i="248"/>
  <c r="O82" i="248"/>
  <c r="P85" i="248" s="1"/>
  <c r="D25" i="247"/>
  <c r="AD10" i="248"/>
  <c r="CQ7" i="247"/>
  <c r="S62" i="248"/>
  <c r="CD24" i="247"/>
  <c r="CA24" i="247"/>
  <c r="BZ24" i="247"/>
  <c r="T62" i="248"/>
  <c r="O22" i="248"/>
  <c r="P22" i="248" s="1"/>
  <c r="M10" i="247"/>
  <c r="J10" i="247"/>
  <c r="U134" i="248"/>
  <c r="AQ38" i="247"/>
  <c r="AL38" i="247"/>
  <c r="BJ14" i="247"/>
  <c r="P122" i="248"/>
  <c r="Q122" i="248"/>
  <c r="Z26" i="248"/>
  <c r="Y26" i="248"/>
  <c r="O126" i="248"/>
  <c r="Q123" i="248" s="1"/>
  <c r="L36" i="247"/>
  <c r="J36" i="247"/>
  <c r="F36" i="247"/>
  <c r="E36" i="247"/>
  <c r="L40" i="247"/>
  <c r="L19" i="247"/>
  <c r="N19" i="247"/>
  <c r="M19" i="247"/>
  <c r="O58" i="248"/>
  <c r="Q57" i="248" s="1"/>
  <c r="J19" i="247"/>
  <c r="F19" i="247"/>
  <c r="L27" i="247"/>
  <c r="E19" i="247"/>
  <c r="E32" i="247"/>
  <c r="R94" i="248"/>
  <c r="S91" i="248" s="1"/>
  <c r="AD28" i="247"/>
  <c r="U26" i="248"/>
  <c r="AS11" i="247"/>
  <c r="AR11" i="247"/>
  <c r="AM32" i="247"/>
  <c r="AA134" i="248"/>
  <c r="AC135" i="248" s="1"/>
  <c r="CD38" i="247"/>
  <c r="BT38" i="247"/>
  <c r="BU38" i="247"/>
  <c r="EA38" i="247"/>
  <c r="DZ38" i="247"/>
  <c r="DY38" i="247"/>
  <c r="AJ134" i="248"/>
  <c r="AL135" i="248" s="1"/>
  <c r="Z10" i="248"/>
  <c r="Y10" i="248"/>
  <c r="EA34" i="247"/>
  <c r="AJ118" i="248"/>
  <c r="AL118" i="248" s="1"/>
  <c r="DY34" i="247"/>
  <c r="EC34" i="247"/>
  <c r="AL141" i="248"/>
  <c r="AK141" i="248"/>
  <c r="AK139" i="248"/>
  <c r="AL138" i="248"/>
  <c r="AK138" i="248"/>
  <c r="AI72" i="248"/>
  <c r="AH71" i="248"/>
  <c r="AI70" i="248"/>
  <c r="Q68" i="248"/>
  <c r="Q67" i="248"/>
  <c r="Q66" i="248"/>
  <c r="P66" i="248"/>
  <c r="P134" i="248"/>
  <c r="T86" i="248"/>
  <c r="T89" i="248"/>
  <c r="S89" i="248"/>
  <c r="S86" i="248"/>
  <c r="V8" i="248"/>
  <c r="V6" i="248"/>
  <c r="W8" i="248"/>
  <c r="X6" i="248"/>
  <c r="Y9" i="248" s="1"/>
  <c r="X118" i="248"/>
  <c r="Y115" i="248" s="1"/>
  <c r="BM34" i="247"/>
  <c r="BL34" i="247"/>
  <c r="BK34" i="247"/>
  <c r="BD34" i="247"/>
  <c r="CR26" i="247"/>
  <c r="CT26" i="247"/>
  <c r="CS26" i="247"/>
  <c r="CQ26" i="247"/>
  <c r="AD86" i="248"/>
  <c r="AE88" i="248" s="1"/>
  <c r="CP26" i="247"/>
  <c r="CP40" i="247"/>
  <c r="AD142" i="248"/>
  <c r="CQ40" i="247"/>
  <c r="CT40" i="247"/>
  <c r="CS40" i="247"/>
  <c r="CR40" i="247"/>
  <c r="DD15" i="247"/>
  <c r="DE15" i="247" s="1"/>
  <c r="DF15" i="247" s="1"/>
  <c r="DC15" i="247"/>
  <c r="AG42" i="248"/>
  <c r="AH42" i="248" s="1"/>
  <c r="DI22" i="247"/>
  <c r="DH22" i="247"/>
  <c r="DG22" i="247"/>
  <c r="EC17" i="247"/>
  <c r="DX17" i="247"/>
  <c r="DZ17" i="247"/>
  <c r="DY17" i="247"/>
  <c r="DU17" i="247"/>
  <c r="DV17" i="247" s="1"/>
  <c r="DW17" i="247" s="1"/>
  <c r="DS17" i="247"/>
  <c r="DX34" i="247"/>
  <c r="AK142" i="248"/>
  <c r="AL142" i="248"/>
  <c r="S65" i="248"/>
  <c r="T69" i="248"/>
  <c r="S69" i="248"/>
  <c r="S128" i="248"/>
  <c r="T126" i="248"/>
  <c r="W7" i="248"/>
  <c r="Y24" i="248"/>
  <c r="Z23" i="248"/>
  <c r="AA38" i="248"/>
  <c r="AB39" i="248" s="1"/>
  <c r="AH70" i="248"/>
  <c r="M21" i="247"/>
  <c r="D38" i="247"/>
  <c r="T99" i="248"/>
  <c r="T100" i="248"/>
  <c r="S100" i="248"/>
  <c r="S98" i="248"/>
  <c r="V35" i="247"/>
  <c r="V37" i="247"/>
  <c r="U41" i="247"/>
  <c r="R146" i="248"/>
  <c r="S147" i="248" s="1"/>
  <c r="AR6" i="247"/>
  <c r="AT6" i="247" s="1"/>
  <c r="AS24" i="247"/>
  <c r="BI7" i="247"/>
  <c r="BD28" i="247"/>
  <c r="BC39" i="247"/>
  <c r="AC123" i="248"/>
  <c r="AC124" i="248"/>
  <c r="AB124" i="248"/>
  <c r="AC122" i="248"/>
  <c r="CP13" i="247"/>
  <c r="AD50" i="248"/>
  <c r="CR17" i="247"/>
  <c r="CU26" i="247"/>
  <c r="CK32" i="247"/>
  <c r="AD122" i="248"/>
  <c r="CK35" i="247"/>
  <c r="CL40" i="247"/>
  <c r="DG15" i="247"/>
  <c r="DB22" i="247"/>
  <c r="EA17" i="247"/>
  <c r="DU28" i="247"/>
  <c r="DV28" i="247" s="1"/>
  <c r="DW28" i="247" s="1"/>
  <c r="AJ106" i="248"/>
  <c r="AK106" i="248" s="1"/>
  <c r="EA31" i="247"/>
  <c r="DZ34" i="247"/>
  <c r="O30" i="248"/>
  <c r="Q27" i="248" s="1"/>
  <c r="R38" i="248"/>
  <c r="U74" i="248"/>
  <c r="W73" i="248" s="1"/>
  <c r="AJ50" i="248"/>
  <c r="Q97" i="248"/>
  <c r="P95" i="248"/>
  <c r="E41" i="247"/>
  <c r="O146" i="248"/>
  <c r="W70" i="248"/>
  <c r="V70" i="248"/>
  <c r="AL39" i="247"/>
  <c r="U138" i="248"/>
  <c r="X18" i="248"/>
  <c r="Y19" i="248" s="1"/>
  <c r="X66" i="248"/>
  <c r="BL21" i="247"/>
  <c r="BZ22" i="247"/>
  <c r="AA70" i="248"/>
  <c r="AC67" i="248" s="1"/>
  <c r="CD22" i="247"/>
  <c r="CA22" i="247"/>
  <c r="BY22" i="247"/>
  <c r="P12" i="248"/>
  <c r="D28" i="247"/>
  <c r="F38" i="247"/>
  <c r="AA18" i="247"/>
  <c r="AD37" i="247"/>
  <c r="AU24" i="247"/>
  <c r="Z45" i="248"/>
  <c r="AA6" i="248"/>
  <c r="AC9" i="248" s="1"/>
  <c r="BY6" i="247"/>
  <c r="BY7" i="247" s="1"/>
  <c r="BY8" i="247" s="1"/>
  <c r="BY9" i="247" s="1"/>
  <c r="BY10" i="247" s="1"/>
  <c r="BY11" i="247" s="1"/>
  <c r="BY12" i="247" s="1"/>
  <c r="BY13" i="247" s="1"/>
  <c r="AE38" i="248"/>
  <c r="AG90" i="248"/>
  <c r="AI89" i="248" s="1"/>
  <c r="DK27" i="247"/>
  <c r="DI27" i="247"/>
  <c r="DC27" i="247"/>
  <c r="DH27" i="247"/>
  <c r="DG27" i="247"/>
  <c r="DD27" i="247"/>
  <c r="DE27" i="247" s="1"/>
  <c r="DF27" i="247" s="1"/>
  <c r="E28" i="247"/>
  <c r="AB18" i="247"/>
  <c r="AB32" i="247"/>
  <c r="AB35" i="247"/>
  <c r="AL33" i="247"/>
  <c r="BJ32" i="247"/>
  <c r="BI32" i="247"/>
  <c r="BH32" i="247"/>
  <c r="BD32" i="247"/>
  <c r="BT31" i="247"/>
  <c r="AA106" i="248"/>
  <c r="AC106" i="248" s="1"/>
  <c r="DC8" i="247"/>
  <c r="DK15" i="247"/>
  <c r="DK23" i="247"/>
  <c r="DK31" i="247"/>
  <c r="T42" i="248"/>
  <c r="U82" i="248"/>
  <c r="L14" i="247"/>
  <c r="P50" i="248"/>
  <c r="Q53" i="248"/>
  <c r="Q52" i="248"/>
  <c r="Q51" i="248"/>
  <c r="P51" i="248"/>
  <c r="E23" i="247"/>
  <c r="L26" i="247"/>
  <c r="L28" i="247"/>
  <c r="J31" i="247"/>
  <c r="Q114" i="248"/>
  <c r="P114" i="248"/>
  <c r="D37" i="247"/>
  <c r="L38" i="247"/>
  <c r="T22" i="248"/>
  <c r="S22" i="248"/>
  <c r="AA11" i="247"/>
  <c r="AC18" i="247"/>
  <c r="Z22" i="247"/>
  <c r="AB27" i="247"/>
  <c r="S102" i="248"/>
  <c r="T102" i="248"/>
  <c r="AC32" i="247"/>
  <c r="AC35" i="247"/>
  <c r="V38" i="247"/>
  <c r="AB41" i="247"/>
  <c r="V10" i="248"/>
  <c r="W10" i="248"/>
  <c r="AS12" i="247"/>
  <c r="AM17" i="247"/>
  <c r="AM20" i="247"/>
  <c r="AL25" i="247"/>
  <c r="AM33" i="247"/>
  <c r="AQ35" i="247"/>
  <c r="AU35" i="247"/>
  <c r="AS35" i="247"/>
  <c r="BK13" i="247"/>
  <c r="BK16" i="247"/>
  <c r="BK21" i="247"/>
  <c r="BK32" i="247"/>
  <c r="BJ35" i="247"/>
  <c r="AC90" i="248"/>
  <c r="AA110" i="248"/>
  <c r="AB110" i="248" s="1"/>
  <c r="CA32" i="247"/>
  <c r="BV32" i="247"/>
  <c r="CR9" i="247"/>
  <c r="AD18" i="248"/>
  <c r="CU15" i="247"/>
  <c r="CS15" i="247"/>
  <c r="CL15" i="247"/>
  <c r="CT15" i="247"/>
  <c r="CR15" i="247"/>
  <c r="CQ15" i="247"/>
  <c r="AE98" i="248"/>
  <c r="AD130" i="248"/>
  <c r="CS37" i="247"/>
  <c r="CQ37" i="247"/>
  <c r="AG46" i="248"/>
  <c r="AH49" i="248" s="1"/>
  <c r="DK16" i="247"/>
  <c r="DB16" i="247"/>
  <c r="DI16" i="247"/>
  <c r="DB31" i="247"/>
  <c r="AJ78" i="248"/>
  <c r="AL76" i="248" s="1"/>
  <c r="DX24" i="247"/>
  <c r="DU24" i="247"/>
  <c r="DV24" i="247" s="1"/>
  <c r="DW24" i="247" s="1"/>
  <c r="DS24" i="247"/>
  <c r="P68" i="248"/>
  <c r="AE116" i="248"/>
  <c r="AG106" i="248"/>
  <c r="AK74" i="248"/>
  <c r="T57" i="248"/>
  <c r="S55" i="248"/>
  <c r="S57" i="248"/>
  <c r="T55" i="248"/>
  <c r="T54" i="248"/>
  <c r="Z42" i="248"/>
  <c r="Y43" i="248"/>
  <c r="Y42" i="248"/>
  <c r="BJ25" i="247"/>
  <c r="BI25" i="247"/>
  <c r="BH25" i="247"/>
  <c r="BD25" i="247"/>
  <c r="AA142" i="248"/>
  <c r="BY40" i="247"/>
  <c r="CD40" i="247"/>
  <c r="BV40" i="247"/>
  <c r="CU36" i="247"/>
  <c r="AD126" i="248"/>
  <c r="CR36" i="247"/>
  <c r="CM36" i="247"/>
  <c r="CN36" i="247" s="1"/>
  <c r="CO36" i="247" s="1"/>
  <c r="DC38" i="247"/>
  <c r="AG134" i="248"/>
  <c r="DB38" i="247"/>
  <c r="V17" i="248"/>
  <c r="Y104" i="248"/>
  <c r="Z102" i="248"/>
  <c r="Z105" i="248"/>
  <c r="Y105" i="248"/>
  <c r="Z104" i="248"/>
  <c r="Z103" i="248"/>
  <c r="AA32" i="247"/>
  <c r="AR9" i="247"/>
  <c r="AL22" i="247"/>
  <c r="U90" i="248"/>
  <c r="AU27" i="247"/>
  <c r="U142" i="248"/>
  <c r="AT40" i="247"/>
  <c r="AQ40" i="247"/>
  <c r="BK25" i="247"/>
  <c r="AC102" i="248"/>
  <c r="AB102" i="248"/>
  <c r="AH74" i="248"/>
  <c r="T4" i="248"/>
  <c r="S4" i="248"/>
  <c r="T3" i="248"/>
  <c r="T6" i="248"/>
  <c r="S6" i="248"/>
  <c r="T5" i="248"/>
  <c r="S5" i="248"/>
  <c r="AL122" i="248"/>
  <c r="AK122" i="248"/>
  <c r="P18" i="248"/>
  <c r="Q18" i="248"/>
  <c r="W31" i="248"/>
  <c r="V32" i="248"/>
  <c r="AL17" i="247"/>
  <c r="AL20" i="247"/>
  <c r="AM22" i="247"/>
  <c r="AS27" i="247"/>
  <c r="AM40" i="247"/>
  <c r="BJ21" i="247"/>
  <c r="BM28" i="247"/>
  <c r="BE37" i="247"/>
  <c r="X130" i="248"/>
  <c r="Y133" i="248" s="1"/>
  <c r="BM37" i="247"/>
  <c r="BL37" i="247"/>
  <c r="BK37" i="247"/>
  <c r="BJ37" i="247"/>
  <c r="BV22" i="247"/>
  <c r="BU40" i="247"/>
  <c r="CR14" i="247"/>
  <c r="CL36" i="247"/>
  <c r="AJ6" i="248"/>
  <c r="DX6" i="247"/>
  <c r="DX7" i="247" s="1"/>
  <c r="DX8" i="247" s="1"/>
  <c r="DX9" i="247" s="1"/>
  <c r="DX10" i="247" s="1"/>
  <c r="DX11" i="247" s="1"/>
  <c r="DX12" i="247" s="1"/>
  <c r="DX13" i="247" s="1"/>
  <c r="EA6" i="247"/>
  <c r="Y103" i="248"/>
  <c r="M14" i="247"/>
  <c r="M17" i="247"/>
  <c r="E20" i="247"/>
  <c r="F23" i="247"/>
  <c r="M26" i="247"/>
  <c r="N28" i="247"/>
  <c r="L31" i="247"/>
  <c r="D34" i="247"/>
  <c r="O118" i="248"/>
  <c r="Q119" i="248" s="1"/>
  <c r="E37" i="247"/>
  <c r="M38" i="247"/>
  <c r="AB11" i="247"/>
  <c r="AD18" i="247"/>
  <c r="AA22" i="247"/>
  <c r="S78" i="248"/>
  <c r="T78" i="248"/>
  <c r="AC27" i="247"/>
  <c r="AD35" i="247"/>
  <c r="W38" i="247"/>
  <c r="X38" i="247" s="1"/>
  <c r="Y38" i="247" s="1"/>
  <c r="U40" i="247"/>
  <c r="R142" i="248"/>
  <c r="AC41" i="247"/>
  <c r="AN17" i="247"/>
  <c r="AM25" i="247"/>
  <c r="AL28" i="247"/>
  <c r="U94" i="248"/>
  <c r="AR40" i="247"/>
  <c r="BL13" i="247"/>
  <c r="BL16" i="247"/>
  <c r="X86" i="248"/>
  <c r="BM26" i="247"/>
  <c r="BL26" i="247"/>
  <c r="BK26" i="247"/>
  <c r="BK30" i="247"/>
  <c r="BJ30" i="247"/>
  <c r="BI30" i="247"/>
  <c r="BL32" i="247"/>
  <c r="BK35" i="247"/>
  <c r="BH37" i="247"/>
  <c r="AA46" i="248"/>
  <c r="AC45" i="248" s="1"/>
  <c r="CD16" i="247"/>
  <c r="CA16" i="247"/>
  <c r="BY16" i="247"/>
  <c r="BY27" i="247"/>
  <c r="BT32" i="247"/>
  <c r="AD102" i="248"/>
  <c r="AE101" i="248" s="1"/>
  <c r="CR30" i="247"/>
  <c r="CU30" i="247"/>
  <c r="CT30" i="247"/>
  <c r="CS30" i="247"/>
  <c r="AG18" i="248"/>
  <c r="DH9" i="247"/>
  <c r="DG9" i="247"/>
  <c r="DE9" i="247"/>
  <c r="DF9" i="247" s="1"/>
  <c r="DC31" i="247"/>
  <c r="DZ6" i="247"/>
  <c r="EC25" i="247"/>
  <c r="AJ82" i="248"/>
  <c r="DZ25" i="247"/>
  <c r="DY25" i="247"/>
  <c r="DX25" i="247"/>
  <c r="DU25" i="247"/>
  <c r="DV25" i="247" s="1"/>
  <c r="DW25" i="247" s="1"/>
  <c r="DS25" i="247"/>
  <c r="P69" i="248"/>
  <c r="Q106" i="248"/>
  <c r="W106" i="248"/>
  <c r="X110" i="248"/>
  <c r="Z109" i="248" s="1"/>
  <c r="T70" i="248"/>
  <c r="S70" i="248"/>
  <c r="R14" i="248"/>
  <c r="S15" i="248" s="1"/>
  <c r="V22" i="247"/>
  <c r="AA35" i="247"/>
  <c r="U62" i="248"/>
  <c r="W60" i="248" s="1"/>
  <c r="AT20" i="247"/>
  <c r="AQ33" i="247"/>
  <c r="U114" i="248"/>
  <c r="BI21" i="247"/>
  <c r="BT14" i="247"/>
  <c r="BU22" i="247"/>
  <c r="BT40" i="247"/>
  <c r="AG14" i="248"/>
  <c r="DG8" i="247"/>
  <c r="Q133" i="248"/>
  <c r="Q130" i="248"/>
  <c r="P130" i="248"/>
  <c r="J38" i="247"/>
  <c r="W22" i="247"/>
  <c r="X22" i="247" s="1"/>
  <c r="Y22" i="247" s="1"/>
  <c r="AS9" i="247"/>
  <c r="BD16" i="247"/>
  <c r="BL25" i="247"/>
  <c r="J9" i="247"/>
  <c r="N14" i="247"/>
  <c r="M23" i="247"/>
  <c r="N26" i="247"/>
  <c r="P98" i="248"/>
  <c r="Q98" i="248"/>
  <c r="M31" i="247"/>
  <c r="F37" i="247"/>
  <c r="N38" i="247"/>
  <c r="AC11" i="247"/>
  <c r="T58" i="248"/>
  <c r="S60" i="248"/>
  <c r="T59" i="248"/>
  <c r="AB22" i="247"/>
  <c r="AD27" i="247"/>
  <c r="S114" i="248"/>
  <c r="T115" i="248"/>
  <c r="AA38" i="247"/>
  <c r="V40" i="247"/>
  <c r="AD41" i="247"/>
  <c r="U22" i="248"/>
  <c r="V22" i="248" s="1"/>
  <c r="AU12" i="247"/>
  <c r="AR17" i="247"/>
  <c r="AR20" i="247"/>
  <c r="AM23" i="247"/>
  <c r="AL31" i="247"/>
  <c r="AR33" i="247"/>
  <c r="AM35" i="247"/>
  <c r="U130" i="248"/>
  <c r="AN37" i="247"/>
  <c r="AL37" i="247"/>
  <c r="AV40" i="247"/>
  <c r="X14" i="248"/>
  <c r="BM13" i="247"/>
  <c r="BM16" i="247"/>
  <c r="BD26" i="247"/>
  <c r="BD30" i="247"/>
  <c r="BM32" i="247"/>
  <c r="BL35" i="247"/>
  <c r="BI37" i="247"/>
  <c r="BV16" i="247"/>
  <c r="AB64" i="248"/>
  <c r="BZ28" i="247"/>
  <c r="CD28" i="247"/>
  <c r="AA94" i="248"/>
  <c r="BU32" i="247"/>
  <c r="CP30" i="247"/>
  <c r="CP39" i="247"/>
  <c r="CR39" i="247"/>
  <c r="CQ39" i="247"/>
  <c r="CM39" i="247"/>
  <c r="CN39" i="247" s="1"/>
  <c r="CO39" i="247" s="1"/>
  <c r="AD138" i="248"/>
  <c r="DC9" i="247"/>
  <c r="AG34" i="248"/>
  <c r="DC13" i="247"/>
  <c r="DH16" i="247"/>
  <c r="DD31" i="247"/>
  <c r="DE31" i="247" s="1"/>
  <c r="DF31" i="247" s="1"/>
  <c r="DK35" i="247"/>
  <c r="DH35" i="247"/>
  <c r="DG35" i="247"/>
  <c r="DD35" i="247"/>
  <c r="DE35" i="247" s="1"/>
  <c r="DF35" i="247" s="1"/>
  <c r="AL58" i="248"/>
  <c r="EA25" i="247"/>
  <c r="Q69" i="248"/>
  <c r="S54" i="248"/>
  <c r="BE36" i="247"/>
  <c r="X126" i="248"/>
  <c r="BJ40" i="247"/>
  <c r="X142" i="248"/>
  <c r="AA98" i="248"/>
  <c r="AC101" i="248" s="1"/>
  <c r="BU29" i="247"/>
  <c r="AD14" i="248"/>
  <c r="AG22" i="248"/>
  <c r="DH10" i="247"/>
  <c r="AG78" i="248"/>
  <c r="DK24" i="247"/>
  <c r="AJ22" i="248"/>
  <c r="EC21" i="247"/>
  <c r="DZ21" i="247"/>
  <c r="DY21" i="247"/>
  <c r="AJ66" i="248"/>
  <c r="AK66" i="248" s="1"/>
  <c r="DX21" i="247"/>
  <c r="AA22" i="248"/>
  <c r="AC63" i="248"/>
  <c r="AA82" i="248"/>
  <c r="CA25" i="247"/>
  <c r="BU25" i="247"/>
  <c r="AD22" i="248"/>
  <c r="AE22" i="248" s="1"/>
  <c r="CT10" i="247"/>
  <c r="CT9" i="247" s="1"/>
  <c r="AD70" i="248"/>
  <c r="AE71" i="248" s="1"/>
  <c r="CR22" i="247"/>
  <c r="AG66" i="248"/>
  <c r="AI66" i="248" s="1"/>
  <c r="DI21" i="247"/>
  <c r="AG142" i="248"/>
  <c r="DK40" i="247"/>
  <c r="DI40" i="247"/>
  <c r="AG82" i="248"/>
  <c r="AI82" i="248" s="1"/>
  <c r="AT30" i="247"/>
  <c r="BD22" i="247"/>
  <c r="BH36" i="247"/>
  <c r="AB10" i="248"/>
  <c r="AB63" i="248"/>
  <c r="AC62" i="248"/>
  <c r="BV25" i="247"/>
  <c r="BZ29" i="247"/>
  <c r="BU37" i="247"/>
  <c r="CQ8" i="247"/>
  <c r="CP22" i="247"/>
  <c r="DG10" i="247"/>
  <c r="DC21" i="247"/>
  <c r="DG40" i="247"/>
  <c r="DY10" i="247"/>
  <c r="DU21" i="247"/>
  <c r="DV21" i="247" s="1"/>
  <c r="DW21" i="247" s="1"/>
  <c r="BK22" i="247"/>
  <c r="Z90" i="248"/>
  <c r="Y90" i="248"/>
  <c r="Z106" i="248"/>
  <c r="Y106" i="248"/>
  <c r="AA50" i="248"/>
  <c r="CD17" i="247"/>
  <c r="AA74" i="248"/>
  <c r="BZ23" i="247"/>
  <c r="BU23" i="247"/>
  <c r="CA29" i="247"/>
  <c r="CR8" i="247"/>
  <c r="CQ10" i="247"/>
  <c r="AD46" i="248"/>
  <c r="CT16" i="247"/>
  <c r="CQ22" i="247"/>
  <c r="CK38" i="247"/>
  <c r="DI10" i="247"/>
  <c r="DD21" i="247"/>
  <c r="DE21" i="247" s="1"/>
  <c r="DF21" i="247" s="1"/>
  <c r="DH40" i="247"/>
  <c r="DZ10" i="247"/>
  <c r="EA21" i="247"/>
  <c r="EC37" i="247"/>
  <c r="AJ130" i="248"/>
  <c r="EA37" i="247"/>
  <c r="DY37" i="247"/>
  <c r="DX37" i="247"/>
  <c r="AC34" i="248"/>
  <c r="AE90" i="248"/>
  <c r="CM6" i="247"/>
  <c r="CN6" i="247" s="1"/>
  <c r="CO6" i="247" s="1"/>
  <c r="AD6" i="248"/>
  <c r="AE8" i="248" s="1"/>
  <c r="EC29" i="247"/>
  <c r="AJ98" i="248"/>
  <c r="AL110" i="248"/>
  <c r="CQ6" i="247"/>
  <c r="CS6" i="247" s="1"/>
  <c r="AF74" i="248"/>
  <c r="AE109" i="248"/>
  <c r="AE106" i="248"/>
  <c r="CS33" i="247"/>
  <c r="DG20" i="247"/>
  <c r="AI102" i="248"/>
  <c r="AH102" i="248"/>
  <c r="DY9" i="247"/>
  <c r="AK30" i="248"/>
  <c r="AL33" i="248"/>
  <c r="AL31" i="248"/>
  <c r="AL30" i="248"/>
  <c r="EA14" i="247"/>
  <c r="DY29" i="247"/>
  <c r="AF109" i="248"/>
  <c r="AG110" i="248"/>
  <c r="AL10" i="248"/>
  <c r="BU21" i="247"/>
  <c r="BU36" i="247"/>
  <c r="CT31" i="247"/>
  <c r="CU41" i="247"/>
  <c r="DK20" i="247"/>
  <c r="DD30" i="247"/>
  <c r="DE30" i="247" s="1"/>
  <c r="DF30" i="247" s="1"/>
  <c r="DK39" i="247"/>
  <c r="AG138" i="248"/>
  <c r="EA29" i="247"/>
  <c r="EC33" i="247"/>
  <c r="AJ114" i="248"/>
  <c r="EC41" i="247"/>
  <c r="AJ146" i="248"/>
  <c r="AL145" i="248" s="1"/>
  <c r="DS41" i="247"/>
  <c r="DX41" i="247"/>
  <c r="S83" i="248"/>
  <c r="T82" i="248"/>
  <c r="T80" i="248"/>
  <c r="T81" i="248"/>
  <c r="T79" i="248"/>
  <c r="S81" i="248"/>
  <c r="S80" i="248"/>
  <c r="S79" i="248"/>
  <c r="S85" i="248"/>
  <c r="T84" i="248"/>
  <c r="S84" i="248"/>
  <c r="S82" i="248"/>
  <c r="T124" i="248"/>
  <c r="S124" i="248"/>
  <c r="T123" i="248"/>
  <c r="T83" i="248"/>
  <c r="S122" i="248"/>
  <c r="T85" i="248"/>
  <c r="T122" i="248"/>
  <c r="W14" i="248"/>
  <c r="V14" i="248"/>
  <c r="W17" i="248"/>
  <c r="W11" i="248"/>
  <c r="V11" i="248"/>
  <c r="W16" i="248"/>
  <c r="V16" i="248"/>
  <c r="W15" i="248"/>
  <c r="AL57" i="248"/>
  <c r="AL55" i="248"/>
  <c r="P133" i="248"/>
  <c r="Q132" i="248"/>
  <c r="P132" i="248"/>
  <c r="Q131" i="248"/>
  <c r="P131" i="248"/>
  <c r="Q134" i="248"/>
  <c r="S23" i="248"/>
  <c r="S125" i="248"/>
  <c r="V15" i="248"/>
  <c r="AC129" i="248"/>
  <c r="Q39" i="248"/>
  <c r="P39" i="248"/>
  <c r="Q41" i="248"/>
  <c r="P41" i="248"/>
  <c r="P40" i="248"/>
  <c r="Q38" i="248"/>
  <c r="P38" i="248"/>
  <c r="AI94" i="248"/>
  <c r="AH94" i="248"/>
  <c r="Q40" i="248"/>
  <c r="Q86" i="248"/>
  <c r="AC42" i="248"/>
  <c r="AB42" i="248"/>
  <c r="AB138" i="248"/>
  <c r="P86" i="248"/>
  <c r="W58" i="248"/>
  <c r="V58" i="248"/>
  <c r="AC138" i="248"/>
  <c r="T87" i="248"/>
  <c r="S87" i="248"/>
  <c r="T90" i="248"/>
  <c r="S90" i="248"/>
  <c r="AC14" i="248"/>
  <c r="AI146" i="248"/>
  <c r="AH146" i="248"/>
  <c r="AI149" i="248"/>
  <c r="AH148" i="248"/>
  <c r="AH149" i="248"/>
  <c r="AI148" i="248"/>
  <c r="AI147" i="248"/>
  <c r="AH147" i="248"/>
  <c r="Q26" i="248"/>
  <c r="P26" i="248"/>
  <c r="S26" i="248"/>
  <c r="T26" i="248"/>
  <c r="T25" i="248"/>
  <c r="S25" i="248"/>
  <c r="T23" i="248"/>
  <c r="Q16" i="248"/>
  <c r="Q17" i="248"/>
  <c r="P17" i="248"/>
  <c r="P16" i="248"/>
  <c r="P15" i="248"/>
  <c r="Q14" i="248"/>
  <c r="P14" i="248"/>
  <c r="Q15" i="248"/>
  <c r="V78" i="248"/>
  <c r="V105" i="248"/>
  <c r="W105" i="248"/>
  <c r="W102" i="248"/>
  <c r="W104" i="248"/>
  <c r="V104" i="248"/>
  <c r="W103" i="248"/>
  <c r="V103" i="248"/>
  <c r="T63" i="248"/>
  <c r="T130" i="248"/>
  <c r="Z25" i="248"/>
  <c r="Y25" i="248"/>
  <c r="Z22" i="248"/>
  <c r="Z44" i="248"/>
  <c r="AI26" i="248"/>
  <c r="AI62" i="248"/>
  <c r="P94" i="248"/>
  <c r="S19" i="248"/>
  <c r="T18" i="248"/>
  <c r="T61" i="248"/>
  <c r="S59" i="248"/>
  <c r="S64" i="248"/>
  <c r="S130" i="248"/>
  <c r="W30" i="248"/>
  <c r="V30" i="248"/>
  <c r="W33" i="248"/>
  <c r="Y22" i="248"/>
  <c r="Y45" i="248"/>
  <c r="AB26" i="248"/>
  <c r="AH26" i="248"/>
  <c r="AH62" i="248"/>
  <c r="P46" i="248"/>
  <c r="P52" i="248"/>
  <c r="Q94" i="248"/>
  <c r="P106" i="248"/>
  <c r="S18" i="248"/>
  <c r="S58" i="248"/>
  <c r="S99" i="248"/>
  <c r="T98" i="248"/>
  <c r="V12" i="248"/>
  <c r="V31" i="248"/>
  <c r="Y23" i="248"/>
  <c r="AC26" i="248"/>
  <c r="AB90" i="248"/>
  <c r="AB123" i="248"/>
  <c r="AC121" i="248"/>
  <c r="AB121" i="248"/>
  <c r="AC120" i="248"/>
  <c r="AB120" i="248"/>
  <c r="AC119" i="248"/>
  <c r="AC125" i="248"/>
  <c r="AB125" i="248"/>
  <c r="AB122" i="248"/>
  <c r="AL42" i="248"/>
  <c r="Y44" i="248"/>
  <c r="Z43" i="248"/>
  <c r="Z46" i="248"/>
  <c r="P13" i="248"/>
  <c r="Q12" i="248"/>
  <c r="Q95" i="248"/>
  <c r="S67" i="248"/>
  <c r="T66" i="248"/>
  <c r="T64" i="248"/>
  <c r="W100" i="248"/>
  <c r="Y46" i="248"/>
  <c r="AK90" i="248"/>
  <c r="P10" i="248"/>
  <c r="P96" i="248"/>
  <c r="S66" i="248"/>
  <c r="V18" i="248"/>
  <c r="W57" i="248"/>
  <c r="W54" i="248"/>
  <c r="AF61" i="248"/>
  <c r="AE59" i="248"/>
  <c r="AH120" i="248"/>
  <c r="AI118" i="248"/>
  <c r="AH118" i="248"/>
  <c r="Q10" i="248"/>
  <c r="T56" i="248"/>
  <c r="T60" i="248"/>
  <c r="T67" i="248"/>
  <c r="Z101" i="248"/>
  <c r="Y101" i="248"/>
  <c r="Z100" i="248"/>
  <c r="Y98" i="248"/>
  <c r="AL27" i="248"/>
  <c r="AK27" i="248"/>
  <c r="AL28" i="248"/>
  <c r="AK28" i="248"/>
  <c r="AL26" i="248"/>
  <c r="P11" i="248"/>
  <c r="P42" i="248"/>
  <c r="P97" i="248"/>
  <c r="S3" i="248"/>
  <c r="T2" i="248"/>
  <c r="T21" i="248"/>
  <c r="S61" i="248"/>
  <c r="S68" i="248"/>
  <c r="S101" i="248"/>
  <c r="T114" i="248"/>
  <c r="S127" i="248"/>
  <c r="W12" i="248"/>
  <c r="Z98" i="248"/>
  <c r="Z114" i="248"/>
  <c r="Y114" i="248"/>
  <c r="AB32" i="248"/>
  <c r="AB126" i="248"/>
  <c r="AC126" i="248"/>
  <c r="AF62" i="248"/>
  <c r="AK26" i="248"/>
  <c r="T88" i="248"/>
  <c r="Z24" i="248"/>
  <c r="AL90" i="248"/>
  <c r="Q96" i="248"/>
  <c r="S21" i="248"/>
  <c r="W18" i="248"/>
  <c r="V33" i="248"/>
  <c r="AE62" i="248"/>
  <c r="Q11" i="248"/>
  <c r="Q42" i="248"/>
  <c r="Q54" i="248"/>
  <c r="P67" i="248"/>
  <c r="T24" i="248"/>
  <c r="T68" i="248"/>
  <c r="T101" i="248"/>
  <c r="W9" i="248"/>
  <c r="V9" i="248"/>
  <c r="W6" i="248"/>
  <c r="V13" i="248"/>
  <c r="Y99" i="248"/>
  <c r="AC11" i="248"/>
  <c r="AB11" i="248"/>
  <c r="AB13" i="248"/>
  <c r="AC12" i="248"/>
  <c r="AB12" i="248"/>
  <c r="AC13" i="248"/>
  <c r="AC10" i="248"/>
  <c r="AI121" i="248"/>
  <c r="AK29" i="248"/>
  <c r="AL74" i="248"/>
  <c r="W148" i="248"/>
  <c r="W147" i="248"/>
  <c r="Y136" i="248"/>
  <c r="Z135" i="248"/>
  <c r="Y135" i="248"/>
  <c r="AI61" i="248"/>
  <c r="AH61" i="248"/>
  <c r="AI58" i="248"/>
  <c r="AH59" i="248"/>
  <c r="AH58" i="248"/>
  <c r="AI60" i="248"/>
  <c r="AH60" i="248"/>
  <c r="AI59" i="248"/>
  <c r="S24" i="248"/>
  <c r="S56" i="248"/>
  <c r="S88" i="248"/>
  <c r="V149" i="248"/>
  <c r="Z81" i="248"/>
  <c r="Y88" i="248"/>
  <c r="Z137" i="248"/>
  <c r="AF118" i="248"/>
  <c r="AF117" i="248"/>
  <c r="AE117" i="248"/>
  <c r="W149" i="248"/>
  <c r="Z138" i="248"/>
  <c r="Y138" i="248"/>
  <c r="Z149" i="248"/>
  <c r="Y149" i="248"/>
  <c r="Z148" i="248"/>
  <c r="Y148" i="248"/>
  <c r="Z147" i="248"/>
  <c r="AF110" i="248"/>
  <c r="AE110" i="248"/>
  <c r="AE107" i="248"/>
  <c r="AE118" i="248"/>
  <c r="AI74" i="248"/>
  <c r="AC64" i="248"/>
  <c r="AC65" i="248"/>
  <c r="AB65" i="248"/>
  <c r="AF108" i="248"/>
  <c r="AI50" i="248"/>
  <c r="AH50" i="248"/>
  <c r="AB62" i="248"/>
  <c r="AI114" i="248"/>
  <c r="AL2" i="248"/>
  <c r="AK2" i="248"/>
  <c r="AL139" i="248"/>
  <c r="AL140" i="248"/>
  <c r="AK140" i="248"/>
  <c r="AH72" i="248"/>
  <c r="AI71" i="248"/>
  <c r="AK33" i="248"/>
  <c r="AH73" i="248"/>
  <c r="AF38" i="248"/>
  <c r="AF60" i="248"/>
  <c r="AI73" i="248"/>
  <c r="AI130" i="248"/>
  <c r="AH130" i="248"/>
  <c r="AK10" i="248"/>
  <c r="AK58" i="248"/>
  <c r="AE60" i="248"/>
  <c r="AE108" i="248"/>
  <c r="AD9" i="247"/>
  <c r="AB9" i="247"/>
  <c r="AA9" i="247"/>
  <c r="U26" i="247"/>
  <c r="AE26" i="247"/>
  <c r="Z26" i="247"/>
  <c r="AD26" i="247"/>
  <c r="AC26" i="247"/>
  <c r="AB26" i="247"/>
  <c r="AA26" i="247"/>
  <c r="W26" i="247"/>
  <c r="X26" i="247" s="1"/>
  <c r="Y26" i="247" s="1"/>
  <c r="V26" i="247"/>
  <c r="BE15" i="247"/>
  <c r="BC15" i="247"/>
  <c r="BH15" i="247"/>
  <c r="BM15" i="247"/>
  <c r="BL15" i="247"/>
  <c r="BK15" i="247"/>
  <c r="BJ15" i="247"/>
  <c r="K29" i="247"/>
  <c r="I29" i="247"/>
  <c r="M29" i="247"/>
  <c r="L29" i="247"/>
  <c r="J29" i="247"/>
  <c r="N29" i="247"/>
  <c r="F29" i="247"/>
  <c r="BD15" i="247"/>
  <c r="BE27" i="247"/>
  <c r="BC27" i="247"/>
  <c r="BH27" i="247"/>
  <c r="BM27" i="247"/>
  <c r="BL27" i="247"/>
  <c r="BK27" i="247"/>
  <c r="BD27" i="247"/>
  <c r="BJ27" i="247"/>
  <c r="BI27" i="247"/>
  <c r="K35" i="247"/>
  <c r="I35" i="247"/>
  <c r="M35" i="247"/>
  <c r="L35" i="247"/>
  <c r="J35" i="247"/>
  <c r="D35" i="247"/>
  <c r="N35" i="247"/>
  <c r="F35" i="247"/>
  <c r="E35" i="247"/>
  <c r="K12" i="247"/>
  <c r="I12" i="247"/>
  <c r="N12" i="247"/>
  <c r="M12" i="247"/>
  <c r="L12" i="247"/>
  <c r="J12" i="247"/>
  <c r="AU39" i="247"/>
  <c r="AS39" i="247"/>
  <c r="AV39" i="247"/>
  <c r="AT39" i="247"/>
  <c r="AR39" i="247"/>
  <c r="AQ39" i="247"/>
  <c r="AN39" i="247"/>
  <c r="F12" i="247"/>
  <c r="K33" i="247"/>
  <c r="I33" i="247"/>
  <c r="F33" i="247"/>
  <c r="E33" i="247"/>
  <c r="N33" i="247"/>
  <c r="M33" i="247"/>
  <c r="L33" i="247"/>
  <c r="J33" i="247"/>
  <c r="X15" i="247"/>
  <c r="Y15" i="247" s="1"/>
  <c r="AM39" i="247"/>
  <c r="BL11" i="247"/>
  <c r="BJ11" i="247"/>
  <c r="BI11" i="247"/>
  <c r="BI15" i="247"/>
  <c r="BE29" i="247"/>
  <c r="BC29" i="247"/>
  <c r="BL29" i="247"/>
  <c r="BK29" i="247"/>
  <c r="BJ29" i="247"/>
  <c r="BD29" i="247"/>
  <c r="BM29" i="247"/>
  <c r="BI29" i="247"/>
  <c r="X40" i="247"/>
  <c r="Y40" i="247" s="1"/>
  <c r="AQ19" i="247"/>
  <c r="AV19" i="247"/>
  <c r="AU19" i="247"/>
  <c r="AT19" i="247"/>
  <c r="AS19" i="247"/>
  <c r="AR19" i="247"/>
  <c r="AM19" i="247"/>
  <c r="AN19" i="247"/>
  <c r="BH29" i="247"/>
  <c r="U34" i="247"/>
  <c r="AE34" i="247"/>
  <c r="Z34" i="247"/>
  <c r="AD34" i="247"/>
  <c r="AC34" i="247"/>
  <c r="AB34" i="247"/>
  <c r="AA34" i="247"/>
  <c r="W34" i="247"/>
  <c r="X34" i="247" s="1"/>
  <c r="Y34" i="247" s="1"/>
  <c r="CC39" i="247"/>
  <c r="CB39" i="247"/>
  <c r="CA39" i="247"/>
  <c r="BZ39" i="247"/>
  <c r="CD39" i="247"/>
  <c r="BV39" i="247"/>
  <c r="BU39" i="247"/>
  <c r="BY39" i="247"/>
  <c r="BT39" i="247"/>
  <c r="D12" i="247"/>
  <c r="AS10" i="247"/>
  <c r="AR10" i="247"/>
  <c r="K25" i="247"/>
  <c r="I25" i="247"/>
  <c r="N25" i="247"/>
  <c r="M25" i="247"/>
  <c r="L25" i="247"/>
  <c r="J25" i="247"/>
  <c r="F25" i="247"/>
  <c r="E25" i="247"/>
  <c r="E29" i="247"/>
  <c r="D33" i="247"/>
  <c r="AK5" i="247"/>
  <c r="AN6" i="247" s="1"/>
  <c r="AQ28" i="247"/>
  <c r="AV28" i="247"/>
  <c r="AU28" i="247"/>
  <c r="AT28" i="247"/>
  <c r="AS28" i="247"/>
  <c r="AR28" i="247"/>
  <c r="AN28" i="247"/>
  <c r="AM28" i="247"/>
  <c r="U21" i="247"/>
  <c r="AE21" i="247"/>
  <c r="AD21" i="247"/>
  <c r="AC21" i="247"/>
  <c r="AB21" i="247"/>
  <c r="Z21" i="247"/>
  <c r="AA21" i="247"/>
  <c r="V21" i="247"/>
  <c r="W21" i="247"/>
  <c r="X21" i="247" s="1"/>
  <c r="Y21" i="247" s="1"/>
  <c r="K8" i="247"/>
  <c r="J8" i="247"/>
  <c r="K22" i="247"/>
  <c r="I22" i="247"/>
  <c r="L22" i="247"/>
  <c r="N22" i="247"/>
  <c r="J22" i="247"/>
  <c r="M22" i="247"/>
  <c r="F22" i="247"/>
  <c r="E22" i="247"/>
  <c r="K18" i="247"/>
  <c r="I18" i="247"/>
  <c r="N18" i="247"/>
  <c r="M18" i="247"/>
  <c r="L18" i="247"/>
  <c r="J18" i="247"/>
  <c r="F18" i="247"/>
  <c r="E18" i="247"/>
  <c r="D18" i="247"/>
  <c r="K39" i="247"/>
  <c r="I39" i="247"/>
  <c r="F39" i="247"/>
  <c r="E39" i="247"/>
  <c r="M39" i="247"/>
  <c r="N39" i="247"/>
  <c r="L39" i="247"/>
  <c r="J39" i="247"/>
  <c r="AL19" i="247"/>
  <c r="K15" i="247"/>
  <c r="I15" i="247"/>
  <c r="F15" i="247"/>
  <c r="E15" i="247"/>
  <c r="J15" i="247"/>
  <c r="N15" i="247"/>
  <c r="M15" i="247"/>
  <c r="L15" i="247"/>
  <c r="D15" i="247"/>
  <c r="D22" i="247"/>
  <c r="U30" i="247"/>
  <c r="AE30" i="247"/>
  <c r="Z30" i="247"/>
  <c r="AD30" i="247"/>
  <c r="AC30" i="247"/>
  <c r="AB30" i="247"/>
  <c r="AA30" i="247"/>
  <c r="W30" i="247"/>
  <c r="X30" i="247" s="1"/>
  <c r="Y30" i="247" s="1"/>
  <c r="CC30" i="247"/>
  <c r="CB30" i="247"/>
  <c r="BZ30" i="247"/>
  <c r="BV30" i="247"/>
  <c r="BU30" i="247"/>
  <c r="CA30" i="247"/>
  <c r="BY30" i="247"/>
  <c r="K7" i="247"/>
  <c r="K11" i="247"/>
  <c r="L11" i="247"/>
  <c r="J11" i="247"/>
  <c r="D41" i="247"/>
  <c r="U6" i="247"/>
  <c r="U7" i="247" s="1"/>
  <c r="U8" i="247" s="1"/>
  <c r="U9" i="247" s="1"/>
  <c r="U10" i="247" s="1"/>
  <c r="W6" i="247"/>
  <c r="X6" i="247" s="1"/>
  <c r="Y6" i="247" s="1"/>
  <c r="Z12" i="247"/>
  <c r="V14" i="247"/>
  <c r="U19" i="247"/>
  <c r="AE19" i="247"/>
  <c r="AB19" i="247"/>
  <c r="AA19" i="247"/>
  <c r="Z19" i="247"/>
  <c r="U24" i="247"/>
  <c r="AE24" i="247"/>
  <c r="Z24" i="247"/>
  <c r="W24" i="247"/>
  <c r="X24" i="247" s="1"/>
  <c r="Y24" i="247" s="1"/>
  <c r="V24" i="247"/>
  <c r="BE18" i="247"/>
  <c r="BC18" i="247"/>
  <c r="BM18" i="247"/>
  <c r="BL18" i="247"/>
  <c r="BH18" i="247"/>
  <c r="BK18" i="247"/>
  <c r="BJ18" i="247"/>
  <c r="BI18" i="247"/>
  <c r="BD18" i="247"/>
  <c r="BE24" i="247"/>
  <c r="BC24" i="247"/>
  <c r="BM24" i="247"/>
  <c r="BL24" i="247"/>
  <c r="BH24" i="247"/>
  <c r="BZ10" i="247"/>
  <c r="CA10" i="247"/>
  <c r="BT30" i="247"/>
  <c r="DS16" i="247"/>
  <c r="K28" i="247"/>
  <c r="I28" i="247"/>
  <c r="V6" i="247"/>
  <c r="V7" i="247" s="1"/>
  <c r="V8" i="247" s="1"/>
  <c r="V9" i="247" s="1"/>
  <c r="V10" i="247" s="1"/>
  <c r="AA12" i="247"/>
  <c r="W14" i="247"/>
  <c r="X14" i="247" s="1"/>
  <c r="Y14" i="247" s="1"/>
  <c r="V19" i="247"/>
  <c r="AA24" i="247"/>
  <c r="AU13" i="247"/>
  <c r="AT13" i="247"/>
  <c r="AV13" i="247" s="1"/>
  <c r="AS13" i="247"/>
  <c r="AR13" i="247"/>
  <c r="AQ22" i="247"/>
  <c r="AV22" i="247"/>
  <c r="AU22" i="247"/>
  <c r="AT22" i="247"/>
  <c r="AS22" i="247"/>
  <c r="AR22" i="247"/>
  <c r="AQ31" i="247"/>
  <c r="AV31" i="247"/>
  <c r="AU31" i="247"/>
  <c r="AT31" i="247"/>
  <c r="AS31" i="247"/>
  <c r="AR31" i="247"/>
  <c r="BD24" i="247"/>
  <c r="BD38" i="247"/>
  <c r="BC38" i="247"/>
  <c r="BI38" i="247"/>
  <c r="BH38" i="247"/>
  <c r="BE38" i="247"/>
  <c r="BZ7" i="247"/>
  <c r="CA7" i="247"/>
  <c r="CD30" i="247"/>
  <c r="K41" i="247"/>
  <c r="I41" i="247"/>
  <c r="M41" i="247"/>
  <c r="L41" i="247"/>
  <c r="J41" i="247"/>
  <c r="K21" i="247"/>
  <c r="I21" i="247"/>
  <c r="F21" i="247"/>
  <c r="E21" i="247"/>
  <c r="AB12" i="247"/>
  <c r="K17" i="247"/>
  <c r="I17" i="247"/>
  <c r="L17" i="247"/>
  <c r="J17" i="247"/>
  <c r="AA6" i="247"/>
  <c r="AC6" i="247" s="1"/>
  <c r="AC12" i="247"/>
  <c r="K10" i="247"/>
  <c r="K13" i="247"/>
  <c r="I13" i="247"/>
  <c r="D17" i="247"/>
  <c r="E24" i="247"/>
  <c r="F28" i="247"/>
  <c r="K30" i="247"/>
  <c r="I30" i="247"/>
  <c r="N30" i="247"/>
  <c r="M30" i="247"/>
  <c r="K40" i="247"/>
  <c r="I40" i="247"/>
  <c r="J40" i="247"/>
  <c r="AB6" i="247"/>
  <c r="AD19" i="247"/>
  <c r="AD24" i="247"/>
  <c r="AS7" i="247"/>
  <c r="AR7" i="247"/>
  <c r="AN22" i="247"/>
  <c r="AN31" i="247"/>
  <c r="BJ24" i="247"/>
  <c r="CM19" i="247"/>
  <c r="CN19" i="247" s="1"/>
  <c r="CO19" i="247" s="1"/>
  <c r="CK19" i="247"/>
  <c r="CT19" i="247"/>
  <c r="CS19" i="247"/>
  <c r="CR19" i="247"/>
  <c r="CQ19" i="247"/>
  <c r="CP19" i="247"/>
  <c r="CL19" i="247"/>
  <c r="CM25" i="247"/>
  <c r="CN25" i="247" s="1"/>
  <c r="CO25" i="247" s="1"/>
  <c r="CK25" i="247"/>
  <c r="CU25" i="247"/>
  <c r="CT25" i="247"/>
  <c r="CQ25" i="247"/>
  <c r="CS25" i="247"/>
  <c r="CR25" i="247"/>
  <c r="CL25" i="247"/>
  <c r="CP25" i="247"/>
  <c r="CM29" i="247"/>
  <c r="CN29" i="247" s="1"/>
  <c r="CO29" i="247" s="1"/>
  <c r="CK29" i="247"/>
  <c r="CU29" i="247"/>
  <c r="CT29" i="247"/>
  <c r="CQ29" i="247"/>
  <c r="CS29" i="247"/>
  <c r="U12" i="247"/>
  <c r="AE12" i="247"/>
  <c r="W12" i="247"/>
  <c r="X12" i="247" s="1"/>
  <c r="Y12" i="247" s="1"/>
  <c r="V12" i="247"/>
  <c r="AB8" i="247"/>
  <c r="AA8" i="247"/>
  <c r="CC31" i="247"/>
  <c r="CB31" i="247"/>
  <c r="BZ31" i="247"/>
  <c r="CD31" i="247"/>
  <c r="CA31" i="247"/>
  <c r="BY31" i="247"/>
  <c r="BU31" i="247"/>
  <c r="BV31" i="247"/>
  <c r="D24" i="247"/>
  <c r="K34" i="247"/>
  <c r="I34" i="247"/>
  <c r="J34" i="247"/>
  <c r="AC19" i="247"/>
  <c r="D13" i="247"/>
  <c r="E17" i="247"/>
  <c r="K27" i="247"/>
  <c r="I27" i="247"/>
  <c r="F27" i="247"/>
  <c r="E27" i="247"/>
  <c r="J28" i="247"/>
  <c r="D30" i="247"/>
  <c r="E34" i="247"/>
  <c r="K36" i="247"/>
  <c r="I36" i="247"/>
  <c r="N36" i="247"/>
  <c r="M36" i="247"/>
  <c r="D40" i="247"/>
  <c r="N41" i="247"/>
  <c r="U13" i="247"/>
  <c r="AE13" i="247"/>
  <c r="AA13" i="247"/>
  <c r="Z13" i="247"/>
  <c r="U15" i="247"/>
  <c r="AE15" i="247"/>
  <c r="AD15" i="247"/>
  <c r="AC15" i="247"/>
  <c r="AB15" i="247"/>
  <c r="U20" i="247"/>
  <c r="AE20" i="247"/>
  <c r="AD20" i="247"/>
  <c r="AC20" i="247"/>
  <c r="AB20" i="247"/>
  <c r="AA20" i="247"/>
  <c r="Z20" i="247"/>
  <c r="U25" i="247"/>
  <c r="AE25" i="247"/>
  <c r="Z25" i="247"/>
  <c r="AC25" i="247"/>
  <c r="AB25" i="247"/>
  <c r="AA25" i="247"/>
  <c r="U29" i="247"/>
  <c r="AE29" i="247"/>
  <c r="Z29" i="247"/>
  <c r="AC29" i="247"/>
  <c r="AB29" i="247"/>
  <c r="AA29" i="247"/>
  <c r="U33" i="247"/>
  <c r="AE33" i="247"/>
  <c r="Z33" i="247"/>
  <c r="AC33" i="247"/>
  <c r="AB33" i="247"/>
  <c r="AA33" i="247"/>
  <c r="U37" i="247"/>
  <c r="AE37" i="247"/>
  <c r="Z37" i="247"/>
  <c r="AC37" i="247"/>
  <c r="AB37" i="247"/>
  <c r="AA37" i="247"/>
  <c r="AQ16" i="247"/>
  <c r="AV16" i="247"/>
  <c r="AU16" i="247"/>
  <c r="AT16" i="247"/>
  <c r="AS16" i="247"/>
  <c r="AR16" i="247"/>
  <c r="AQ25" i="247"/>
  <c r="AV25" i="247"/>
  <c r="AU25" i="247"/>
  <c r="AT25" i="247"/>
  <c r="AS25" i="247"/>
  <c r="AR25" i="247"/>
  <c r="BK24" i="247"/>
  <c r="BM38" i="247"/>
  <c r="BL41" i="247"/>
  <c r="BJ41" i="247"/>
  <c r="BI41" i="247"/>
  <c r="BD41" i="247"/>
  <c r="BK41" i="247"/>
  <c r="BH41" i="247"/>
  <c r="BE41" i="247"/>
  <c r="BM41" i="247"/>
  <c r="BC41" i="247"/>
  <c r="CC19" i="247"/>
  <c r="CB19" i="247"/>
  <c r="BZ19" i="247"/>
  <c r="BT19" i="247"/>
  <c r="CD19" i="247"/>
  <c r="CA19" i="247"/>
  <c r="BY19" i="247"/>
  <c r="CU19" i="247"/>
  <c r="CL29" i="247"/>
  <c r="AC24" i="247"/>
  <c r="J7" i="247"/>
  <c r="M11" i="247"/>
  <c r="F17" i="247"/>
  <c r="J21" i="247"/>
  <c r="K23" i="247"/>
  <c r="I23" i="247"/>
  <c r="L23" i="247"/>
  <c r="J23" i="247"/>
  <c r="F34" i="247"/>
  <c r="C5" i="247"/>
  <c r="O2" i="248" s="1"/>
  <c r="CC35" i="247"/>
  <c r="CB35" i="247"/>
  <c r="BZ35" i="247"/>
  <c r="CD35" i="247"/>
  <c r="CA35" i="247"/>
  <c r="BY35" i="247"/>
  <c r="BU35" i="247"/>
  <c r="BV35" i="247"/>
  <c r="BT35" i="247"/>
  <c r="CM20" i="247"/>
  <c r="CN20" i="247" s="1"/>
  <c r="CO20" i="247" s="1"/>
  <c r="CK20" i="247"/>
  <c r="CU20" i="247"/>
  <c r="CT20" i="247"/>
  <c r="CS20" i="247"/>
  <c r="CP20" i="247"/>
  <c r="CQ20" i="247"/>
  <c r="CL20" i="247"/>
  <c r="CP29" i="247"/>
  <c r="U14" i="247"/>
  <c r="AE14" i="247"/>
  <c r="AC14" i="247"/>
  <c r="AB14" i="247"/>
  <c r="AA14" i="247"/>
  <c r="Z14" i="247"/>
  <c r="BJ9" i="247"/>
  <c r="BI9" i="247"/>
  <c r="CC15" i="247"/>
  <c r="CB15" i="247"/>
  <c r="CD15" i="247"/>
  <c r="CA15" i="247"/>
  <c r="BY15" i="247"/>
  <c r="BV15" i="247"/>
  <c r="BZ15" i="247"/>
  <c r="BU15" i="247"/>
  <c r="BT15" i="247"/>
  <c r="DT16" i="247"/>
  <c r="EB16" i="247"/>
  <c r="EC16" i="247"/>
  <c r="EA16" i="247"/>
  <c r="DZ16" i="247"/>
  <c r="DY16" i="247"/>
  <c r="DX16" i="247"/>
  <c r="K24" i="247"/>
  <c r="I24" i="247"/>
  <c r="N24" i="247"/>
  <c r="M24" i="247"/>
  <c r="F41" i="247"/>
  <c r="BH6" i="247"/>
  <c r="BH7" i="247" s="1"/>
  <c r="BH8" i="247" s="1"/>
  <c r="BH9" i="247" s="1"/>
  <c r="BH10" i="247" s="1"/>
  <c r="BH11" i="247" s="1"/>
  <c r="BH12" i="247" s="1"/>
  <c r="BJ6" i="247"/>
  <c r="BI6" i="247"/>
  <c r="BK6" i="247" s="1"/>
  <c r="DL34" i="247"/>
  <c r="DJ34" i="247"/>
  <c r="DK34" i="247"/>
  <c r="DI34" i="247"/>
  <c r="DH34" i="247"/>
  <c r="DG34" i="247"/>
  <c r="DD34" i="247"/>
  <c r="DE34" i="247" s="1"/>
  <c r="DF34" i="247" s="1"/>
  <c r="DC34" i="247"/>
  <c r="DB34" i="247"/>
  <c r="K6" i="247"/>
  <c r="I6" i="247"/>
  <c r="I7" i="247" s="1"/>
  <c r="I8" i="247" s="1"/>
  <c r="I9" i="247" s="1"/>
  <c r="I10" i="247" s="1"/>
  <c r="I11" i="247" s="1"/>
  <c r="D21" i="247"/>
  <c r="BI24" i="247"/>
  <c r="K9" i="247"/>
  <c r="F13" i="247"/>
  <c r="K16" i="247"/>
  <c r="I16" i="247"/>
  <c r="K19" i="247"/>
  <c r="I19" i="247"/>
  <c r="L21" i="247"/>
  <c r="D23" i="247"/>
  <c r="M28" i="247"/>
  <c r="F30" i="247"/>
  <c r="L34" i="247"/>
  <c r="F40" i="247"/>
  <c r="AA7" i="247"/>
  <c r="U18" i="247"/>
  <c r="AE18" i="247"/>
  <c r="Z18" i="247"/>
  <c r="W18" i="247"/>
  <c r="X18" i="247" s="1"/>
  <c r="Y18" i="247" s="1"/>
  <c r="V18" i="247"/>
  <c r="BE17" i="247"/>
  <c r="BC17" i="247"/>
  <c r="BL17" i="247"/>
  <c r="BK17" i="247"/>
  <c r="BJ17" i="247"/>
  <c r="BD17" i="247"/>
  <c r="CC14" i="247"/>
  <c r="CB14" i="247"/>
  <c r="CD14" i="247"/>
  <c r="BZ14" i="247"/>
  <c r="BY14" i="247"/>
  <c r="BV14" i="247"/>
  <c r="CA14" i="247"/>
  <c r="BV19" i="247"/>
  <c r="CC36" i="247"/>
  <c r="CB36" i="247"/>
  <c r="BZ36" i="247"/>
  <c r="CD36" i="247"/>
  <c r="BY36" i="247"/>
  <c r="CR20" i="247"/>
  <c r="CR29" i="247"/>
  <c r="U28" i="247"/>
  <c r="AE28" i="247"/>
  <c r="Z28" i="247"/>
  <c r="U32" i="247"/>
  <c r="AE32" i="247"/>
  <c r="Z32" i="247"/>
  <c r="U36" i="247"/>
  <c r="AE36" i="247"/>
  <c r="Z36" i="247"/>
  <c r="AQ6" i="247"/>
  <c r="AQ7" i="247" s="1"/>
  <c r="AQ8" i="247" s="1"/>
  <c r="AQ9" i="247" s="1"/>
  <c r="AQ10" i="247" s="1"/>
  <c r="AQ11" i="247" s="1"/>
  <c r="AQ12" i="247" s="1"/>
  <c r="AQ13" i="247" s="1"/>
  <c r="AQ15" i="247"/>
  <c r="AV15" i="247"/>
  <c r="AQ18" i="247"/>
  <c r="AV18" i="247"/>
  <c r="AQ21" i="247"/>
  <c r="AV21" i="247"/>
  <c r="AQ24" i="247"/>
  <c r="AV24" i="247"/>
  <c r="AQ27" i="247"/>
  <c r="AV27" i="247"/>
  <c r="AQ30" i="247"/>
  <c r="AV30" i="247"/>
  <c r="AU41" i="247"/>
  <c r="AS41" i="247"/>
  <c r="AN41" i="247"/>
  <c r="AM41" i="247"/>
  <c r="AL41" i="247"/>
  <c r="AV41" i="247"/>
  <c r="AT41" i="247"/>
  <c r="BE21" i="247"/>
  <c r="BC21" i="247"/>
  <c r="BH21" i="247"/>
  <c r="BM21" i="247"/>
  <c r="CC27" i="247"/>
  <c r="CB27" i="247"/>
  <c r="CD27" i="247"/>
  <c r="CA27" i="247"/>
  <c r="BZ27" i="247"/>
  <c r="BU27" i="247"/>
  <c r="BT27" i="247"/>
  <c r="BS5" i="247"/>
  <c r="BT6" i="247" s="1"/>
  <c r="BT7" i="247" s="1"/>
  <c r="BT8" i="247" s="1"/>
  <c r="BT9" i="247" s="1"/>
  <c r="BT10" i="247" s="1"/>
  <c r="BT11" i="247" s="1"/>
  <c r="BT12" i="247" s="1"/>
  <c r="BT13" i="247" s="1"/>
  <c r="K14" i="247"/>
  <c r="I14" i="247"/>
  <c r="K20" i="247"/>
  <c r="I20" i="247"/>
  <c r="K26" i="247"/>
  <c r="I26" i="247"/>
  <c r="K32" i="247"/>
  <c r="I32" i="247"/>
  <c r="K38" i="247"/>
  <c r="I38" i="247"/>
  <c r="U11" i="247"/>
  <c r="AE11" i="247"/>
  <c r="U17" i="247"/>
  <c r="AE17" i="247"/>
  <c r="U23" i="247"/>
  <c r="AE23" i="247"/>
  <c r="V28" i="247"/>
  <c r="V32" i="247"/>
  <c r="V36" i="247"/>
  <c r="AL15" i="247"/>
  <c r="AL18" i="247"/>
  <c r="AL21" i="247"/>
  <c r="AL24" i="247"/>
  <c r="AL27" i="247"/>
  <c r="AL30" i="247"/>
  <c r="BD21" i="247"/>
  <c r="BE23" i="247"/>
  <c r="BC23" i="247"/>
  <c r="BL23" i="247"/>
  <c r="BK23" i="247"/>
  <c r="BJ23" i="247"/>
  <c r="BD23" i="247"/>
  <c r="BE30" i="247"/>
  <c r="BC30" i="247"/>
  <c r="BM30" i="247"/>
  <c r="BL30" i="247"/>
  <c r="BH30" i="247"/>
  <c r="BZ8" i="247"/>
  <c r="CA8" i="247"/>
  <c r="CC20" i="247"/>
  <c r="CB20" i="247"/>
  <c r="CD20" i="247"/>
  <c r="BZ20" i="247"/>
  <c r="BY20" i="247"/>
  <c r="BV20" i="247"/>
  <c r="CA20" i="247"/>
  <c r="BV27" i="247"/>
  <c r="D14" i="247"/>
  <c r="D20" i="247"/>
  <c r="D26" i="247"/>
  <c r="W28" i="247"/>
  <c r="X28" i="247" s="1"/>
  <c r="Y28" i="247" s="1"/>
  <c r="W32" i="247"/>
  <c r="X32" i="247" s="1"/>
  <c r="Y32" i="247" s="1"/>
  <c r="W36" i="247"/>
  <c r="X36" i="247" s="1"/>
  <c r="Y36" i="247" s="1"/>
  <c r="AM15" i="247"/>
  <c r="AM18" i="247"/>
  <c r="AM21" i="247"/>
  <c r="AM24" i="247"/>
  <c r="AM27" i="247"/>
  <c r="AM30" i="247"/>
  <c r="BE33" i="247"/>
  <c r="BC33" i="247"/>
  <c r="BH33" i="247"/>
  <c r="BM33" i="247"/>
  <c r="BB5" i="247"/>
  <c r="X2" i="248" s="1"/>
  <c r="Y2" i="248" s="1"/>
  <c r="CC34" i="247"/>
  <c r="CB34" i="247"/>
  <c r="BZ34" i="247"/>
  <c r="BV34" i="247"/>
  <c r="BU34" i="247"/>
  <c r="BY34" i="247"/>
  <c r="BT34" i="247"/>
  <c r="CP35" i="247"/>
  <c r="CS35" i="247"/>
  <c r="CR35" i="247"/>
  <c r="CU35" i="247"/>
  <c r="CT35" i="247"/>
  <c r="CQ35" i="247"/>
  <c r="CL35" i="247"/>
  <c r="CM35" i="247"/>
  <c r="CN35" i="247" s="1"/>
  <c r="CO35" i="247" s="1"/>
  <c r="K31" i="247"/>
  <c r="I31" i="247"/>
  <c r="K37" i="247"/>
  <c r="I37" i="247"/>
  <c r="U16" i="247"/>
  <c r="AE16" i="247"/>
  <c r="U22" i="247"/>
  <c r="AE22" i="247"/>
  <c r="U27" i="247"/>
  <c r="AE27" i="247"/>
  <c r="Z27" i="247"/>
  <c r="U31" i="247"/>
  <c r="AE31" i="247"/>
  <c r="Z31" i="247"/>
  <c r="U35" i="247"/>
  <c r="AE35" i="247"/>
  <c r="Z35" i="247"/>
  <c r="AN15" i="247"/>
  <c r="AN18" i="247"/>
  <c r="AN21" i="247"/>
  <c r="AN24" i="247"/>
  <c r="AN27" i="247"/>
  <c r="AN30" i="247"/>
  <c r="AU38" i="247"/>
  <c r="AS38" i="247"/>
  <c r="AV38" i="247"/>
  <c r="AT38" i="247"/>
  <c r="AR38" i="247"/>
  <c r="AN38" i="247"/>
  <c r="AM38" i="247"/>
  <c r="AQ41" i="247"/>
  <c r="BD33" i="247"/>
  <c r="CC16" i="247"/>
  <c r="CB16" i="247"/>
  <c r="BT16" i="247"/>
  <c r="BZ16" i="247"/>
  <c r="CA34" i="247"/>
  <c r="CM23" i="247"/>
  <c r="CN23" i="247" s="1"/>
  <c r="CO23" i="247" s="1"/>
  <c r="CK23" i="247"/>
  <c r="CQ23" i="247"/>
  <c r="CP23" i="247"/>
  <c r="CL23" i="247"/>
  <c r="CU23" i="247"/>
  <c r="CT23" i="247"/>
  <c r="CS23" i="247"/>
  <c r="CR23" i="247"/>
  <c r="CM27" i="247"/>
  <c r="CN27" i="247" s="1"/>
  <c r="CO27" i="247" s="1"/>
  <c r="CK27" i="247"/>
  <c r="CQ27" i="247"/>
  <c r="CP27" i="247"/>
  <c r="CL27" i="247"/>
  <c r="CU27" i="247"/>
  <c r="CT27" i="247"/>
  <c r="CS27" i="247"/>
  <c r="EB12" i="247"/>
  <c r="DZ12" i="247"/>
  <c r="DY12" i="247"/>
  <c r="DT23" i="247"/>
  <c r="EB23" i="247"/>
  <c r="DZ23" i="247"/>
  <c r="DY23" i="247"/>
  <c r="DX23" i="247"/>
  <c r="DU23" i="247"/>
  <c r="DV23" i="247" s="1"/>
  <c r="DW23" i="247" s="1"/>
  <c r="EC23" i="247"/>
  <c r="EA23" i="247"/>
  <c r="DS23" i="247"/>
  <c r="AR12" i="247"/>
  <c r="AQ14" i="247"/>
  <c r="AV14" i="247"/>
  <c r="AR15" i="247"/>
  <c r="AQ17" i="247"/>
  <c r="AV17" i="247"/>
  <c r="AR18" i="247"/>
  <c r="AQ20" i="247"/>
  <c r="AV20" i="247"/>
  <c r="AR21" i="247"/>
  <c r="AQ23" i="247"/>
  <c r="AV23" i="247"/>
  <c r="AR24" i="247"/>
  <c r="AQ26" i="247"/>
  <c r="AV26" i="247"/>
  <c r="AR27" i="247"/>
  <c r="AQ29" i="247"/>
  <c r="AV29" i="247"/>
  <c r="AR30" i="247"/>
  <c r="AR41" i="247"/>
  <c r="BL12" i="247"/>
  <c r="BM12" i="247" s="1"/>
  <c r="BI33" i="247"/>
  <c r="CA9" i="247"/>
  <c r="CC13" i="247"/>
  <c r="CB13" i="247"/>
  <c r="CD13" i="247" s="1"/>
  <c r="BZ13" i="247"/>
  <c r="CA13" i="247"/>
  <c r="BU16" i="247"/>
  <c r="CC21" i="247"/>
  <c r="CB21" i="247"/>
  <c r="CD21" i="247"/>
  <c r="CA21" i="247"/>
  <c r="BY21" i="247"/>
  <c r="CD34" i="247"/>
  <c r="CM14" i="247"/>
  <c r="CN14" i="247" s="1"/>
  <c r="CO14" i="247" s="1"/>
  <c r="CK14" i="247"/>
  <c r="CU14" i="247"/>
  <c r="CT14" i="247"/>
  <c r="CS14" i="247"/>
  <c r="CP14" i="247"/>
  <c r="CQ14" i="247"/>
  <c r="CL14" i="247"/>
  <c r="CR27" i="247"/>
  <c r="DL23" i="247"/>
  <c r="DJ23" i="247"/>
  <c r="DC23" i="247"/>
  <c r="DH23" i="247"/>
  <c r="DI23" i="247"/>
  <c r="DG23" i="247"/>
  <c r="DD23" i="247"/>
  <c r="DE23" i="247" s="1"/>
  <c r="DF23" i="247" s="1"/>
  <c r="DB23" i="247"/>
  <c r="Z38" i="247"/>
  <c r="Z39" i="247"/>
  <c r="Z40" i="247"/>
  <c r="Z41" i="247"/>
  <c r="AV32" i="247"/>
  <c r="AV33" i="247"/>
  <c r="AV34" i="247"/>
  <c r="AV35" i="247"/>
  <c r="AU37" i="247"/>
  <c r="AS37" i="247"/>
  <c r="BH39" i="247"/>
  <c r="BE39" i="247"/>
  <c r="BD39" i="247"/>
  <c r="CM24" i="247"/>
  <c r="CN24" i="247" s="1"/>
  <c r="CO24" i="247" s="1"/>
  <c r="CK24" i="247"/>
  <c r="CT24" i="247"/>
  <c r="CS24" i="247"/>
  <c r="CR24" i="247"/>
  <c r="CQ24" i="247"/>
  <c r="CL24" i="247"/>
  <c r="CP41" i="247"/>
  <c r="CL41" i="247"/>
  <c r="CK41" i="247"/>
  <c r="CQ41" i="247"/>
  <c r="CM41" i="247"/>
  <c r="CN41" i="247" s="1"/>
  <c r="CO41" i="247" s="1"/>
  <c r="CS41" i="247"/>
  <c r="DT35" i="247"/>
  <c r="EB35" i="247"/>
  <c r="DZ35" i="247"/>
  <c r="DY35" i="247"/>
  <c r="DX35" i="247"/>
  <c r="DU35" i="247"/>
  <c r="DV35" i="247" s="1"/>
  <c r="DW35" i="247" s="1"/>
  <c r="DS35" i="247"/>
  <c r="BE16" i="247"/>
  <c r="BC16" i="247"/>
  <c r="BE22" i="247"/>
  <c r="BC22" i="247"/>
  <c r="BE28" i="247"/>
  <c r="BC28" i="247"/>
  <c r="BE34" i="247"/>
  <c r="BC34" i="247"/>
  <c r="CC18" i="247"/>
  <c r="CB18" i="247"/>
  <c r="BV18" i="247"/>
  <c r="BU18" i="247"/>
  <c r="CC25" i="247"/>
  <c r="CB25" i="247"/>
  <c r="BZ25" i="247"/>
  <c r="BY25" i="247"/>
  <c r="BT25" i="247"/>
  <c r="CM17" i="247"/>
  <c r="CN17" i="247" s="1"/>
  <c r="CO17" i="247" s="1"/>
  <c r="CK17" i="247"/>
  <c r="CP17" i="247"/>
  <c r="CL17" i="247"/>
  <c r="CS17" i="247"/>
  <c r="CP37" i="247"/>
  <c r="CU37" i="247"/>
  <c r="CT37" i="247"/>
  <c r="CR37" i="247"/>
  <c r="CM37" i="247"/>
  <c r="CN37" i="247" s="1"/>
  <c r="CO37" i="247" s="1"/>
  <c r="CL37" i="247"/>
  <c r="CK37" i="247"/>
  <c r="CR41" i="247"/>
  <c r="DL11" i="247"/>
  <c r="DJ11" i="247"/>
  <c r="DC11" i="247"/>
  <c r="DK11" i="247"/>
  <c r="DI11" i="247"/>
  <c r="DD11" i="247"/>
  <c r="DE11" i="247" s="1"/>
  <c r="DF11" i="247" s="1"/>
  <c r="DH11" i="247"/>
  <c r="DG11" i="247"/>
  <c r="DB11" i="247"/>
  <c r="DL19" i="247"/>
  <c r="DJ19" i="247"/>
  <c r="DK19" i="247"/>
  <c r="DI19" i="247"/>
  <c r="DG19" i="247"/>
  <c r="DH19" i="247"/>
  <c r="DB19" i="247"/>
  <c r="DC19" i="247"/>
  <c r="DL38" i="247"/>
  <c r="DJ38" i="247"/>
  <c r="DK38" i="247"/>
  <c r="DI38" i="247"/>
  <c r="DH38" i="247"/>
  <c r="DG38" i="247"/>
  <c r="DD38" i="247"/>
  <c r="DE38" i="247" s="1"/>
  <c r="DF38" i="247" s="1"/>
  <c r="EA35" i="247"/>
  <c r="AE38" i="247"/>
  <c r="AE39" i="247"/>
  <c r="AE40" i="247"/>
  <c r="AE41" i="247"/>
  <c r="BE14" i="247"/>
  <c r="BC14" i="247"/>
  <c r="BH16" i="247"/>
  <c r="BE20" i="247"/>
  <c r="BC20" i="247"/>
  <c r="BH22" i="247"/>
  <c r="BE26" i="247"/>
  <c r="BC26" i="247"/>
  <c r="BH28" i="247"/>
  <c r="BE32" i="247"/>
  <c r="BC32" i="247"/>
  <c r="BH34" i="247"/>
  <c r="BK39" i="247"/>
  <c r="BZ6" i="247"/>
  <c r="CB6" i="247" s="1"/>
  <c r="BZ18" i="247"/>
  <c r="CD25" i="247"/>
  <c r="CU17" i="247"/>
  <c r="AQ37" i="247"/>
  <c r="AU40" i="247"/>
  <c r="AS40" i="247"/>
  <c r="BI10" i="247"/>
  <c r="BI16" i="247"/>
  <c r="BI22" i="247"/>
  <c r="BI28" i="247"/>
  <c r="BI34" i="247"/>
  <c r="BL39" i="247"/>
  <c r="CA6" i="247"/>
  <c r="CC26" i="247"/>
  <c r="CB26" i="247"/>
  <c r="CD26" i="247"/>
  <c r="CA26" i="247"/>
  <c r="BZ26" i="247"/>
  <c r="BY26" i="247"/>
  <c r="BV26" i="247"/>
  <c r="DL17" i="247"/>
  <c r="DJ17" i="247"/>
  <c r="DC17" i="247"/>
  <c r="DK17" i="247"/>
  <c r="DG17" i="247"/>
  <c r="DI17" i="247"/>
  <c r="DH17" i="247"/>
  <c r="DD17" i="247"/>
  <c r="DE17" i="247" s="1"/>
  <c r="DF17" i="247" s="1"/>
  <c r="AQ36" i="247"/>
  <c r="AR37" i="247"/>
  <c r="AL40" i="247"/>
  <c r="BJ10" i="247"/>
  <c r="BE13" i="247"/>
  <c r="BC13" i="247"/>
  <c r="BJ16" i="247"/>
  <c r="BE19" i="247"/>
  <c r="BC19" i="247"/>
  <c r="BJ22" i="247"/>
  <c r="BE25" i="247"/>
  <c r="BC25" i="247"/>
  <c r="BJ28" i="247"/>
  <c r="BE31" i="247"/>
  <c r="BC31" i="247"/>
  <c r="BJ34" i="247"/>
  <c r="BM39" i="247"/>
  <c r="CC12" i="247"/>
  <c r="CC11" i="247" s="1"/>
  <c r="CD18" i="247"/>
  <c r="CC24" i="247"/>
  <c r="CB24" i="247"/>
  <c r="BV24" i="247"/>
  <c r="BU24" i="247"/>
  <c r="BT26" i="247"/>
  <c r="CC32" i="247"/>
  <c r="CB32" i="247"/>
  <c r="BZ32" i="247"/>
  <c r="CD32" i="247"/>
  <c r="DB17" i="247"/>
  <c r="CC38" i="247"/>
  <c r="CB38" i="247"/>
  <c r="CA38" i="247"/>
  <c r="BZ38" i="247"/>
  <c r="CC41" i="247"/>
  <c r="CB41" i="247"/>
  <c r="CA41" i="247"/>
  <c r="BZ41" i="247"/>
  <c r="CP31" i="247"/>
  <c r="CM31" i="247"/>
  <c r="CN31" i="247" s="1"/>
  <c r="CO31" i="247" s="1"/>
  <c r="CK31" i="247"/>
  <c r="CR31" i="247"/>
  <c r="CQ31" i="247"/>
  <c r="CL31" i="247"/>
  <c r="CP38" i="247"/>
  <c r="CU38" i="247"/>
  <c r="CS38" i="247"/>
  <c r="CT38" i="247"/>
  <c r="CR38" i="247"/>
  <c r="CQ38" i="247"/>
  <c r="CL38" i="247"/>
  <c r="DL25" i="247"/>
  <c r="DJ25" i="247"/>
  <c r="DK25" i="247"/>
  <c r="DI25" i="247"/>
  <c r="DG25" i="247"/>
  <c r="DH25" i="247"/>
  <c r="DC25" i="247"/>
  <c r="BE40" i="247"/>
  <c r="CC17" i="247"/>
  <c r="CB17" i="247"/>
  <c r="CC23" i="247"/>
  <c r="CB23" i="247"/>
  <c r="CC29" i="247"/>
  <c r="CB29" i="247"/>
  <c r="BV38" i="247"/>
  <c r="BV41" i="247"/>
  <c r="CN38" i="247"/>
  <c r="CO38" i="247" s="1"/>
  <c r="DL14" i="247"/>
  <c r="DJ14" i="247"/>
  <c r="DI14" i="247"/>
  <c r="DK14" i="247"/>
  <c r="DT20" i="247"/>
  <c r="EB20" i="247"/>
  <c r="EC20" i="247"/>
  <c r="EA20" i="247"/>
  <c r="DZ20" i="247"/>
  <c r="DY20" i="247"/>
  <c r="DT39" i="247"/>
  <c r="EB39" i="247"/>
  <c r="DZ39" i="247"/>
  <c r="DY39" i="247"/>
  <c r="DX39" i="247"/>
  <c r="DU39" i="247"/>
  <c r="DV39" i="247" s="1"/>
  <c r="DW39" i="247" s="1"/>
  <c r="EA39" i="247"/>
  <c r="BC35" i="247"/>
  <c r="BC36" i="247"/>
  <c r="BC37" i="247"/>
  <c r="BH40" i="247"/>
  <c r="BT17" i="247"/>
  <c r="BT23" i="247"/>
  <c r="BT29" i="247"/>
  <c r="CC33" i="247"/>
  <c r="CB33" i="247"/>
  <c r="BZ33" i="247"/>
  <c r="CC37" i="247"/>
  <c r="CB37" i="247"/>
  <c r="CA37" i="247"/>
  <c r="BZ37" i="247"/>
  <c r="CC40" i="247"/>
  <c r="CB40" i="247"/>
  <c r="CA40" i="247"/>
  <c r="BZ40" i="247"/>
  <c r="CM13" i="247"/>
  <c r="CN13" i="247" s="1"/>
  <c r="CO13" i="247" s="1"/>
  <c r="CK13" i="247"/>
  <c r="CT13" i="247"/>
  <c r="CS13" i="247"/>
  <c r="CR13" i="247"/>
  <c r="CQ13" i="247"/>
  <c r="CP32" i="247"/>
  <c r="CL32" i="247"/>
  <c r="CU32" i="247"/>
  <c r="CT32" i="247"/>
  <c r="CS32" i="247"/>
  <c r="CM32" i="247"/>
  <c r="CN32" i="247" s="1"/>
  <c r="CO32" i="247" s="1"/>
  <c r="CP34" i="247"/>
  <c r="CR34" i="247"/>
  <c r="CQ34" i="247"/>
  <c r="CM34" i="247"/>
  <c r="CN34" i="247" s="1"/>
  <c r="CO34" i="247" s="1"/>
  <c r="CL34" i="247"/>
  <c r="CK34" i="247"/>
  <c r="CN40" i="247"/>
  <c r="CO40" i="247" s="1"/>
  <c r="DB14" i="247"/>
  <c r="DS20" i="247"/>
  <c r="DS39" i="247"/>
  <c r="CC22" i="247"/>
  <c r="CB22" i="247"/>
  <c r="CC28" i="247"/>
  <c r="CB28" i="247"/>
  <c r="DL8" i="247"/>
  <c r="DJ8" i="247"/>
  <c r="DI8" i="247"/>
  <c r="DK8" i="247"/>
  <c r="DH8" i="247"/>
  <c r="DC14" i="247"/>
  <c r="DU20" i="247"/>
  <c r="DV20" i="247" s="1"/>
  <c r="DW20" i="247" s="1"/>
  <c r="DT27" i="247"/>
  <c r="EB27" i="247"/>
  <c r="DZ27" i="247"/>
  <c r="DY27" i="247"/>
  <c r="DX27" i="247"/>
  <c r="DU27" i="247"/>
  <c r="DV27" i="247" s="1"/>
  <c r="DW27" i="247" s="1"/>
  <c r="EC27" i="247"/>
  <c r="EA27" i="247"/>
  <c r="EC39" i="247"/>
  <c r="BV17" i="247"/>
  <c r="BT22" i="247"/>
  <c r="BV23" i="247"/>
  <c r="BT28" i="247"/>
  <c r="BV29" i="247"/>
  <c r="BY38" i="247"/>
  <c r="BY41" i="247"/>
  <c r="CM28" i="247"/>
  <c r="CN28" i="247" s="1"/>
  <c r="CO28" i="247" s="1"/>
  <c r="CK28" i="247"/>
  <c r="CT28" i="247"/>
  <c r="CS28" i="247"/>
  <c r="CR28" i="247"/>
  <c r="CQ28" i="247"/>
  <c r="CL28" i="247"/>
  <c r="DE8" i="247"/>
  <c r="DF8" i="247" s="1"/>
  <c r="DB8" i="247"/>
  <c r="DD14" i="247"/>
  <c r="DE14" i="247" s="1"/>
  <c r="DF14" i="247" s="1"/>
  <c r="DL30" i="247"/>
  <c r="DJ30" i="247"/>
  <c r="DK30" i="247"/>
  <c r="DI30" i="247"/>
  <c r="DH30" i="247"/>
  <c r="DG30" i="247"/>
  <c r="DC30" i="247"/>
  <c r="DZ8" i="247"/>
  <c r="DY8" i="247"/>
  <c r="DS27" i="247"/>
  <c r="DT40" i="247"/>
  <c r="EB40" i="247"/>
  <c r="EC40" i="247"/>
  <c r="EA40" i="247"/>
  <c r="DZ40" i="247"/>
  <c r="DY40" i="247"/>
  <c r="DX40" i="247"/>
  <c r="DU40" i="247"/>
  <c r="DV40" i="247" s="1"/>
  <c r="DW40" i="247" s="1"/>
  <c r="DS40" i="247"/>
  <c r="CM12" i="247"/>
  <c r="CN12" i="247" s="1"/>
  <c r="CO12" i="247" s="1"/>
  <c r="CK12" i="247"/>
  <c r="CM18" i="247"/>
  <c r="CN18" i="247" s="1"/>
  <c r="CO18" i="247" s="1"/>
  <c r="CK18" i="247"/>
  <c r="DL7" i="247"/>
  <c r="DK7" i="247"/>
  <c r="DJ7" i="247"/>
  <c r="DH7" i="247"/>
  <c r="DL13" i="247"/>
  <c r="DJ13" i="247"/>
  <c r="DK13" i="247"/>
  <c r="DI13" i="247"/>
  <c r="DG13" i="247"/>
  <c r="DT31" i="247"/>
  <c r="EB31" i="247"/>
  <c r="DZ31" i="247"/>
  <c r="DY31" i="247"/>
  <c r="DX31" i="247"/>
  <c r="DU31" i="247"/>
  <c r="DV31" i="247" s="1"/>
  <c r="DW31" i="247" s="1"/>
  <c r="DD7" i="247"/>
  <c r="DE7" i="247" s="1"/>
  <c r="DF7" i="247" s="1"/>
  <c r="DD13" i="247"/>
  <c r="DE13" i="247" s="1"/>
  <c r="DF13" i="247" s="1"/>
  <c r="DL24" i="247"/>
  <c r="DJ24" i="247"/>
  <c r="DH24" i="247"/>
  <c r="DG24" i="247"/>
  <c r="DL41" i="247"/>
  <c r="DJ41" i="247"/>
  <c r="DH41" i="247"/>
  <c r="DG41" i="247"/>
  <c r="DD41" i="247"/>
  <c r="DE41" i="247" s="1"/>
  <c r="DF41" i="247" s="1"/>
  <c r="DC41" i="247"/>
  <c r="DT19" i="247"/>
  <c r="EB19" i="247"/>
  <c r="DZ19" i="247"/>
  <c r="DY19" i="247"/>
  <c r="DX19" i="247"/>
  <c r="DU19" i="247"/>
  <c r="DV19" i="247" s="1"/>
  <c r="DW19" i="247" s="1"/>
  <c r="EC31" i="247"/>
  <c r="DT36" i="247"/>
  <c r="EB36" i="247"/>
  <c r="EC36" i="247"/>
  <c r="EA36" i="247"/>
  <c r="DZ36" i="247"/>
  <c r="DY36" i="247"/>
  <c r="CP12" i="247"/>
  <c r="CM16" i="247"/>
  <c r="CN16" i="247" s="1"/>
  <c r="CO16" i="247" s="1"/>
  <c r="CK16" i="247"/>
  <c r="CP18" i="247"/>
  <c r="CM22" i="247"/>
  <c r="CN22" i="247" s="1"/>
  <c r="CO22" i="247" s="1"/>
  <c r="CK22" i="247"/>
  <c r="DI6" i="247"/>
  <c r="DG6" i="247"/>
  <c r="DL18" i="247"/>
  <c r="DJ18" i="247"/>
  <c r="DH18" i="247"/>
  <c r="DG18" i="247"/>
  <c r="DB24" i="247"/>
  <c r="DL37" i="247"/>
  <c r="DJ37" i="247"/>
  <c r="DH37" i="247"/>
  <c r="DG37" i="247"/>
  <c r="DD37" i="247"/>
  <c r="DE37" i="247" s="1"/>
  <c r="DF37" i="247" s="1"/>
  <c r="DC37" i="247"/>
  <c r="DB41" i="247"/>
  <c r="DT15" i="247"/>
  <c r="EB15" i="247"/>
  <c r="DZ15" i="247"/>
  <c r="DY15" i="247"/>
  <c r="DX15" i="247"/>
  <c r="DU15" i="247"/>
  <c r="DV15" i="247" s="1"/>
  <c r="DW15" i="247" s="1"/>
  <c r="DS19" i="247"/>
  <c r="DT32" i="247"/>
  <c r="EB32" i="247"/>
  <c r="EC32" i="247"/>
  <c r="EA32" i="247"/>
  <c r="DZ32" i="247"/>
  <c r="DY32" i="247"/>
  <c r="DS36" i="247"/>
  <c r="CL6" i="247"/>
  <c r="CL7" i="247" s="1"/>
  <c r="CL8" i="247" s="1"/>
  <c r="CL9" i="247" s="1"/>
  <c r="CL10" i="247" s="1"/>
  <c r="CL11" i="247" s="1"/>
  <c r="CQ12" i="247"/>
  <c r="CL16" i="247"/>
  <c r="CQ18" i="247"/>
  <c r="CL22" i="247"/>
  <c r="CM26" i="247"/>
  <c r="CN26" i="247" s="1"/>
  <c r="CO26" i="247" s="1"/>
  <c r="CK26" i="247"/>
  <c r="CM30" i="247"/>
  <c r="CN30" i="247" s="1"/>
  <c r="CO30" i="247" s="1"/>
  <c r="CK30" i="247"/>
  <c r="DB6" i="247"/>
  <c r="DL12" i="247"/>
  <c r="DJ12" i="247"/>
  <c r="DH12" i="247"/>
  <c r="DG12" i="247"/>
  <c r="DB18" i="247"/>
  <c r="DC24" i="247"/>
  <c r="DL26" i="247"/>
  <c r="DJ26" i="247"/>
  <c r="DI26" i="247"/>
  <c r="DL33" i="247"/>
  <c r="DJ33" i="247"/>
  <c r="DH33" i="247"/>
  <c r="DG33" i="247"/>
  <c r="DD33" i="247"/>
  <c r="DE33" i="247" s="1"/>
  <c r="DF33" i="247" s="1"/>
  <c r="DC33" i="247"/>
  <c r="DB37" i="247"/>
  <c r="DI41" i="247"/>
  <c r="DZ11" i="247"/>
  <c r="DY11" i="247"/>
  <c r="DS15" i="247"/>
  <c r="EA19" i="247"/>
  <c r="DT28" i="247"/>
  <c r="EB28" i="247"/>
  <c r="EC28" i="247"/>
  <c r="EA28" i="247"/>
  <c r="DZ28" i="247"/>
  <c r="DY28" i="247"/>
  <c r="DS32" i="247"/>
  <c r="DU36" i="247"/>
  <c r="DV36" i="247" s="1"/>
  <c r="DW36" i="247" s="1"/>
  <c r="CR12" i="247"/>
  <c r="CM15" i="247"/>
  <c r="CN15" i="247" s="1"/>
  <c r="CO15" i="247" s="1"/>
  <c r="CK15" i="247"/>
  <c r="CR18" i="247"/>
  <c r="CM21" i="247"/>
  <c r="CN21" i="247" s="1"/>
  <c r="CO21" i="247" s="1"/>
  <c r="CK21" i="247"/>
  <c r="CL26" i="247"/>
  <c r="CL30" i="247"/>
  <c r="CP33" i="247"/>
  <c r="CQ33" i="247"/>
  <c r="CM33" i="247"/>
  <c r="CN33" i="247" s="1"/>
  <c r="CO33" i="247" s="1"/>
  <c r="CP36" i="247"/>
  <c r="CT36" i="247"/>
  <c r="CS36" i="247"/>
  <c r="CQ36" i="247"/>
  <c r="DC6" i="247"/>
  <c r="DG7" i="247"/>
  <c r="DB12" i="247"/>
  <c r="DH13" i="247"/>
  <c r="DC18" i="247"/>
  <c r="DL20" i="247"/>
  <c r="DJ20" i="247"/>
  <c r="DI20" i="247"/>
  <c r="DD24" i="247"/>
  <c r="DE24" i="247" s="1"/>
  <c r="DF24" i="247" s="1"/>
  <c r="DB26" i="247"/>
  <c r="DL29" i="247"/>
  <c r="DJ29" i="247"/>
  <c r="DH29" i="247"/>
  <c r="DG29" i="247"/>
  <c r="DD29" i="247"/>
  <c r="DE29" i="247" s="1"/>
  <c r="DF29" i="247" s="1"/>
  <c r="DC29" i="247"/>
  <c r="DB33" i="247"/>
  <c r="DI37" i="247"/>
  <c r="DK41" i="247"/>
  <c r="DZ7" i="247"/>
  <c r="DY7" i="247"/>
  <c r="EA15" i="247"/>
  <c r="EC19" i="247"/>
  <c r="DT24" i="247"/>
  <c r="EB24" i="247"/>
  <c r="EC24" i="247"/>
  <c r="EA24" i="247"/>
  <c r="DZ24" i="247"/>
  <c r="DY24" i="247"/>
  <c r="DS28" i="247"/>
  <c r="DU32" i="247"/>
  <c r="DV32" i="247" s="1"/>
  <c r="DW32" i="247" s="1"/>
  <c r="CT39" i="247"/>
  <c r="CU40" i="247"/>
  <c r="DL10" i="247"/>
  <c r="DJ10" i="247"/>
  <c r="DL16" i="247"/>
  <c r="DJ16" i="247"/>
  <c r="DL22" i="247"/>
  <c r="DJ22" i="247"/>
  <c r="DL28" i="247"/>
  <c r="DJ28" i="247"/>
  <c r="DL32" i="247"/>
  <c r="DJ32" i="247"/>
  <c r="DL36" i="247"/>
  <c r="DJ36" i="247"/>
  <c r="DL40" i="247"/>
  <c r="DJ40" i="247"/>
  <c r="DT6" i="247"/>
  <c r="DT7" i="247" s="1"/>
  <c r="DT8" i="247" s="1"/>
  <c r="DT9" i="247" s="1"/>
  <c r="DT10" i="247" s="1"/>
  <c r="DT11" i="247" s="1"/>
  <c r="DT12" i="247" s="1"/>
  <c r="DT13" i="247" s="1"/>
  <c r="DT14" i="247"/>
  <c r="EB14" i="247"/>
  <c r="DT18" i="247"/>
  <c r="EB18" i="247"/>
  <c r="DT22" i="247"/>
  <c r="EB22" i="247"/>
  <c r="DT26" i="247"/>
  <c r="EB26" i="247"/>
  <c r="DT30" i="247"/>
  <c r="EB30" i="247"/>
  <c r="DT34" i="247"/>
  <c r="EB34" i="247"/>
  <c r="DT38" i="247"/>
  <c r="EB38" i="247"/>
  <c r="DL9" i="247"/>
  <c r="DJ9" i="247"/>
  <c r="DC10" i="247"/>
  <c r="DL15" i="247"/>
  <c r="DJ15" i="247"/>
  <c r="DC16" i="247"/>
  <c r="DL21" i="247"/>
  <c r="DJ21" i="247"/>
  <c r="DC22" i="247"/>
  <c r="DL27" i="247"/>
  <c r="DJ27" i="247"/>
  <c r="DC28" i="247"/>
  <c r="DB32" i="247"/>
  <c r="DB36" i="247"/>
  <c r="DB40" i="247"/>
  <c r="DS6" i="247"/>
  <c r="DS7" i="247" s="1"/>
  <c r="DS8" i="247" s="1"/>
  <c r="DS9" i="247" s="1"/>
  <c r="DS10" i="247" s="1"/>
  <c r="DS11" i="247" s="1"/>
  <c r="DS12" i="247" s="1"/>
  <c r="DS13" i="247" s="1"/>
  <c r="DS14" i="247"/>
  <c r="DS18" i="247"/>
  <c r="DS22" i="247"/>
  <c r="DS26" i="247"/>
  <c r="DS30" i="247"/>
  <c r="DS34" i="247"/>
  <c r="DS38" i="247"/>
  <c r="CK40" i="247"/>
  <c r="DB9" i="247"/>
  <c r="DD10" i="247"/>
  <c r="DE10" i="247" s="1"/>
  <c r="DF10" i="247" s="1"/>
  <c r="DB15" i="247"/>
  <c r="DD16" i="247"/>
  <c r="DE16" i="247" s="1"/>
  <c r="DF16" i="247" s="1"/>
  <c r="DB21" i="247"/>
  <c r="DD22" i="247"/>
  <c r="DE22" i="247" s="1"/>
  <c r="DF22" i="247" s="1"/>
  <c r="DB27" i="247"/>
  <c r="DD28" i="247"/>
  <c r="DE28" i="247" s="1"/>
  <c r="DF28" i="247" s="1"/>
  <c r="DC32" i="247"/>
  <c r="DC36" i="247"/>
  <c r="DC40" i="247"/>
  <c r="DU6" i="247"/>
  <c r="DV6" i="247" s="1"/>
  <c r="DU14" i="247"/>
  <c r="DV14" i="247" s="1"/>
  <c r="DW14" i="247" s="1"/>
  <c r="DU18" i="247"/>
  <c r="DV18" i="247" s="1"/>
  <c r="DW18" i="247" s="1"/>
  <c r="DU22" i="247"/>
  <c r="DV22" i="247" s="1"/>
  <c r="DW22" i="247" s="1"/>
  <c r="DU26" i="247"/>
  <c r="DV26" i="247" s="1"/>
  <c r="DW26" i="247" s="1"/>
  <c r="DU30" i="247"/>
  <c r="DV30" i="247" s="1"/>
  <c r="DW30" i="247" s="1"/>
  <c r="DU34" i="247"/>
  <c r="DV34" i="247" s="1"/>
  <c r="DW34" i="247" s="1"/>
  <c r="DU38" i="247"/>
  <c r="DV38" i="247" s="1"/>
  <c r="DW38" i="247" s="1"/>
  <c r="DL31" i="247"/>
  <c r="DJ31" i="247"/>
  <c r="DD32" i="247"/>
  <c r="DE32" i="247" s="1"/>
  <c r="DF32" i="247" s="1"/>
  <c r="DL35" i="247"/>
  <c r="DJ35" i="247"/>
  <c r="DD36" i="247"/>
  <c r="DE36" i="247" s="1"/>
  <c r="DF36" i="247" s="1"/>
  <c r="DL39" i="247"/>
  <c r="DJ39" i="247"/>
  <c r="DD40" i="247"/>
  <c r="DE40" i="247" s="1"/>
  <c r="DF40" i="247" s="1"/>
  <c r="EB13" i="247"/>
  <c r="DT17" i="247"/>
  <c r="EB17" i="247"/>
  <c r="DT21" i="247"/>
  <c r="EB21" i="247"/>
  <c r="DT25" i="247"/>
  <c r="EB25" i="247"/>
  <c r="DT29" i="247"/>
  <c r="EB29" i="247"/>
  <c r="DT33" i="247"/>
  <c r="EB33" i="247"/>
  <c r="DT37" i="247"/>
  <c r="EB37" i="247"/>
  <c r="DT41" i="247"/>
  <c r="EB41" i="247"/>
  <c r="Z34" i="248" l="1"/>
  <c r="AF30" i="248"/>
  <c r="AF29" i="248"/>
  <c r="AH86" i="248"/>
  <c r="Y36" i="248"/>
  <c r="AB104" i="248"/>
  <c r="AC104" i="248"/>
  <c r="AH101" i="248"/>
  <c r="BE6" i="247"/>
  <c r="BF6" i="247" s="1"/>
  <c r="BL10" i="247"/>
  <c r="BL9" i="247" s="1"/>
  <c r="BL8" i="247" s="1"/>
  <c r="BL7" i="247" s="1"/>
  <c r="BL6" i="247" s="1"/>
  <c r="T7" i="248"/>
  <c r="BK7" i="247"/>
  <c r="AH95" i="248"/>
  <c r="AK93" i="248"/>
  <c r="T129" i="248"/>
  <c r="S129" i="248"/>
  <c r="Z73" i="248"/>
  <c r="S126" i="248"/>
  <c r="AE27" i="248"/>
  <c r="AF32" i="248"/>
  <c r="BC6" i="247"/>
  <c r="BC7" i="247" s="1"/>
  <c r="BC8" i="247" s="1"/>
  <c r="BC9" i="247" s="1"/>
  <c r="BC10" i="247" s="1"/>
  <c r="BC11" i="247" s="1"/>
  <c r="BC12" i="247" s="1"/>
  <c r="BF3" i="247" s="1"/>
  <c r="BD6" i="247"/>
  <c r="BD7" i="247" s="1"/>
  <c r="BD8" i="247" s="1"/>
  <c r="BD9" i="247" s="1"/>
  <c r="BD10" i="247" s="1"/>
  <c r="BD11" i="247" s="1"/>
  <c r="BD12" i="247" s="1"/>
  <c r="AB143" i="248"/>
  <c r="DE3" i="247"/>
  <c r="DL6" i="247"/>
  <c r="DK5" i="247"/>
  <c r="DL5" i="247" s="1"/>
  <c r="P115" i="248"/>
  <c r="Z133" i="248"/>
  <c r="S134" i="248"/>
  <c r="AI65" i="248"/>
  <c r="Z91" i="248"/>
  <c r="AH64" i="248"/>
  <c r="AE34" i="248"/>
  <c r="Y108" i="248"/>
  <c r="Y111" i="248"/>
  <c r="BM7" i="247"/>
  <c r="BK8" i="247"/>
  <c r="BM6" i="247"/>
  <c r="Q121" i="248"/>
  <c r="AC76" i="248"/>
  <c r="AK60" i="248"/>
  <c r="AF112" i="248"/>
  <c r="AF128" i="248"/>
  <c r="P73" i="248"/>
  <c r="T112" i="248"/>
  <c r="T28" i="248"/>
  <c r="P120" i="248"/>
  <c r="AC103" i="248"/>
  <c r="T41" i="248"/>
  <c r="S111" i="248"/>
  <c r="S109" i="248"/>
  <c r="AK56" i="248"/>
  <c r="AL69" i="248"/>
  <c r="AE114" i="248"/>
  <c r="AB103" i="248"/>
  <c r="AE113" i="248"/>
  <c r="S110" i="248"/>
  <c r="T29" i="248"/>
  <c r="Q120" i="248"/>
  <c r="Y72" i="248"/>
  <c r="T111" i="248"/>
  <c r="AE72" i="248"/>
  <c r="T13" i="248"/>
  <c r="T27" i="248"/>
  <c r="Q74" i="248"/>
  <c r="AL40" i="248"/>
  <c r="Y48" i="248"/>
  <c r="AK55" i="248"/>
  <c r="AL144" i="248"/>
  <c r="Y37" i="248"/>
  <c r="AI9" i="248"/>
  <c r="AK119" i="248"/>
  <c r="S104" i="248"/>
  <c r="S108" i="248"/>
  <c r="T109" i="248"/>
  <c r="AI97" i="248"/>
  <c r="AF87" i="248"/>
  <c r="AF52" i="248"/>
  <c r="S72" i="248"/>
  <c r="T105" i="248"/>
  <c r="P145" i="248"/>
  <c r="P138" i="248"/>
  <c r="AB128" i="248"/>
  <c r="T103" i="248"/>
  <c r="AB130" i="248"/>
  <c r="AK147" i="248"/>
  <c r="T72" i="248"/>
  <c r="AK54" i="248"/>
  <c r="Q73" i="248"/>
  <c r="AL56" i="248"/>
  <c r="AH141" i="248"/>
  <c r="AK51" i="248"/>
  <c r="AB75" i="248"/>
  <c r="P141" i="248"/>
  <c r="AC128" i="248"/>
  <c r="S115" i="248"/>
  <c r="AE70" i="248"/>
  <c r="T16" i="248"/>
  <c r="P84" i="248"/>
  <c r="AK57" i="248"/>
  <c r="Z62" i="248"/>
  <c r="AL119" i="248"/>
  <c r="AC36" i="248"/>
  <c r="AI16" i="248"/>
  <c r="AB37" i="248"/>
  <c r="AF17" i="248"/>
  <c r="AK145" i="248"/>
  <c r="T73" i="248"/>
  <c r="AB129" i="248"/>
  <c r="AC127" i="248"/>
  <c r="Q92" i="248"/>
  <c r="P87" i="248"/>
  <c r="P135" i="248"/>
  <c r="AE77" i="248"/>
  <c r="AK50" i="248"/>
  <c r="S71" i="248"/>
  <c r="Q87" i="248"/>
  <c r="Q135" i="248"/>
  <c r="AF76" i="248"/>
  <c r="AF111" i="248"/>
  <c r="W52" i="248"/>
  <c r="P57" i="248"/>
  <c r="AK118" i="248"/>
  <c r="AE134" i="248"/>
  <c r="AB135" i="248"/>
  <c r="Z115" i="248"/>
  <c r="AL143" i="248"/>
  <c r="AI55" i="248"/>
  <c r="Q55" i="248"/>
  <c r="Z110" i="248"/>
  <c r="S8" i="248"/>
  <c r="AE86" i="248"/>
  <c r="P74" i="248"/>
  <c r="AC40" i="248"/>
  <c r="Q137" i="248"/>
  <c r="AL146" i="248"/>
  <c r="AH56" i="248"/>
  <c r="Y95" i="248"/>
  <c r="AI120" i="248"/>
  <c r="Z107" i="248"/>
  <c r="T8" i="248"/>
  <c r="AF73" i="248"/>
  <c r="T93" i="248"/>
  <c r="AB40" i="248"/>
  <c r="Q6" i="248"/>
  <c r="AK77" i="248"/>
  <c r="W111" i="248"/>
  <c r="AH54" i="248"/>
  <c r="V93" i="248"/>
  <c r="AI93" i="248"/>
  <c r="Z93" i="248"/>
  <c r="P55" i="248"/>
  <c r="Z95" i="248"/>
  <c r="AI47" i="248"/>
  <c r="AB55" i="248"/>
  <c r="S9" i="248"/>
  <c r="P71" i="248"/>
  <c r="AI54" i="248"/>
  <c r="AF41" i="248"/>
  <c r="D6" i="247"/>
  <c r="D7" i="247" s="1"/>
  <c r="D8" i="247" s="1"/>
  <c r="D9" i="247" s="1"/>
  <c r="D10" i="247" s="1"/>
  <c r="D11" i="247" s="1"/>
  <c r="G3" i="247" s="1"/>
  <c r="AH52" i="248"/>
  <c r="AF116" i="248"/>
  <c r="AL117" i="248"/>
  <c r="AK75" i="248"/>
  <c r="T144" i="248"/>
  <c r="V101" i="248"/>
  <c r="Q71" i="248"/>
  <c r="P6" i="248"/>
  <c r="W61" i="248"/>
  <c r="Q72" i="248"/>
  <c r="V51" i="248"/>
  <c r="Y70" i="248"/>
  <c r="AF114" i="248"/>
  <c r="AC41" i="248"/>
  <c r="AI56" i="248"/>
  <c r="AB41" i="248"/>
  <c r="AE95" i="248"/>
  <c r="P139" i="248"/>
  <c r="AF22" i="248"/>
  <c r="AF97" i="248"/>
  <c r="AC105" i="248"/>
  <c r="AI53" i="248"/>
  <c r="AK120" i="248"/>
  <c r="AE111" i="248"/>
  <c r="AL41" i="248"/>
  <c r="AL52" i="248"/>
  <c r="T146" i="248"/>
  <c r="V99" i="248"/>
  <c r="P58" i="248"/>
  <c r="P29" i="248"/>
  <c r="P7" i="248"/>
  <c r="V60" i="248"/>
  <c r="P136" i="248"/>
  <c r="AL60" i="248"/>
  <c r="Z71" i="248"/>
  <c r="S144" i="248"/>
  <c r="Z35" i="248"/>
  <c r="AE115" i="248"/>
  <c r="AE79" i="248"/>
  <c r="AI15" i="248"/>
  <c r="AE25" i="248"/>
  <c r="AI57" i="248"/>
  <c r="AI51" i="248"/>
  <c r="AL77" i="248"/>
  <c r="AC61" i="248"/>
  <c r="AF94" i="248"/>
  <c r="AE76" i="248"/>
  <c r="AL121" i="248"/>
  <c r="AF113" i="248"/>
  <c r="AB69" i="248"/>
  <c r="AK53" i="248"/>
  <c r="S146" i="248"/>
  <c r="S133" i="248"/>
  <c r="V98" i="248"/>
  <c r="W99" i="248"/>
  <c r="Q7" i="248"/>
  <c r="P83" i="248"/>
  <c r="Q136" i="248"/>
  <c r="Y107" i="248"/>
  <c r="AF115" i="248"/>
  <c r="S40" i="248"/>
  <c r="AF67" i="248"/>
  <c r="Q56" i="248"/>
  <c r="W79" i="248"/>
  <c r="V85" i="248"/>
  <c r="W80" i="248"/>
  <c r="V84" i="248"/>
  <c r="W83" i="248"/>
  <c r="W84" i="248"/>
  <c r="V80" i="248"/>
  <c r="P20" i="248"/>
  <c r="Q20" i="248"/>
  <c r="Q19" i="248"/>
  <c r="P19" i="248"/>
  <c r="P25" i="248"/>
  <c r="Q24" i="248"/>
  <c r="P21" i="248"/>
  <c r="Q23" i="248"/>
  <c r="P23" i="248"/>
  <c r="AE37" i="248"/>
  <c r="AE31" i="248"/>
  <c r="AE35" i="248"/>
  <c r="AF31" i="248"/>
  <c r="AF35" i="248"/>
  <c r="AE36" i="248"/>
  <c r="AF34" i="248"/>
  <c r="AE33" i="248"/>
  <c r="AE32" i="248"/>
  <c r="V86" i="248"/>
  <c r="W87" i="248"/>
  <c r="V87" i="248"/>
  <c r="W86" i="248"/>
  <c r="W89" i="248"/>
  <c r="AL99" i="248"/>
  <c r="AK97" i="248"/>
  <c r="AL98" i="248"/>
  <c r="AK99" i="248"/>
  <c r="V50" i="248"/>
  <c r="W53" i="248"/>
  <c r="AC149" i="248"/>
  <c r="AC147" i="248"/>
  <c r="T52" i="248"/>
  <c r="S50" i="248"/>
  <c r="S51" i="248"/>
  <c r="T50" i="248"/>
  <c r="T53" i="248"/>
  <c r="AK35" i="248"/>
  <c r="AL35" i="248"/>
  <c r="AK40" i="248"/>
  <c r="AL36" i="248"/>
  <c r="AL39" i="248"/>
  <c r="AK36" i="248"/>
  <c r="AK39" i="248"/>
  <c r="AK41" i="248"/>
  <c r="AH114" i="248"/>
  <c r="AI117" i="248"/>
  <c r="AI116" i="248"/>
  <c r="AH116" i="248"/>
  <c r="AI115" i="248"/>
  <c r="AH115" i="248"/>
  <c r="AC7" i="247"/>
  <c r="AC8" i="247" s="1"/>
  <c r="AF145" i="248"/>
  <c r="Y11" i="248"/>
  <c r="Y16" i="248"/>
  <c r="Y15" i="248"/>
  <c r="Y13" i="248"/>
  <c r="V20" i="248"/>
  <c r="V21" i="248"/>
  <c r="W19" i="248"/>
  <c r="V142" i="248"/>
  <c r="V143" i="248"/>
  <c r="AC139" i="248"/>
  <c r="AB139" i="248"/>
  <c r="AB140" i="248"/>
  <c r="AB145" i="248"/>
  <c r="AC141" i="248"/>
  <c r="AB141" i="248"/>
  <c r="W35" i="248"/>
  <c r="W38" i="248"/>
  <c r="W36" i="248"/>
  <c r="V37" i="248"/>
  <c r="AH128" i="248"/>
  <c r="AH129" i="248"/>
  <c r="AI124" i="248"/>
  <c r="AI129" i="248"/>
  <c r="AC27" i="248"/>
  <c r="AB30" i="248"/>
  <c r="AB27" i="248"/>
  <c r="AC29" i="248"/>
  <c r="AL38" i="248"/>
  <c r="AF33" i="248"/>
  <c r="P24" i="248"/>
  <c r="AF6" i="248"/>
  <c r="AF8" i="248"/>
  <c r="AE3" i="248"/>
  <c r="AF4" i="248"/>
  <c r="AF37" i="248"/>
  <c r="AH30" i="248"/>
  <c r="AI28" i="248"/>
  <c r="AI33" i="248"/>
  <c r="AI29" i="248"/>
  <c r="AH31" i="248"/>
  <c r="AH27" i="248"/>
  <c r="AI27" i="248"/>
  <c r="AH28" i="248"/>
  <c r="AK37" i="248"/>
  <c r="AI123" i="248"/>
  <c r="AI125" i="248"/>
  <c r="AB148" i="248"/>
  <c r="Q22" i="248"/>
  <c r="AK101" i="248"/>
  <c r="AK98" i="248"/>
  <c r="Y84" i="248"/>
  <c r="Y83" i="248"/>
  <c r="Z83" i="248"/>
  <c r="AK102" i="248"/>
  <c r="AF9" i="248"/>
  <c r="V36" i="248"/>
  <c r="AH29" i="248"/>
  <c r="W88" i="248"/>
  <c r="V81" i="248"/>
  <c r="T51" i="248"/>
  <c r="AL66" i="248"/>
  <c r="AL68" i="248"/>
  <c r="Y144" i="248"/>
  <c r="Z143" i="248"/>
  <c r="Z141" i="248"/>
  <c r="Y140" i="248"/>
  <c r="Y141" i="248"/>
  <c r="Y142" i="248"/>
  <c r="Z20" i="248"/>
  <c r="Z21" i="248"/>
  <c r="Z18" i="248"/>
  <c r="Z145" i="248"/>
  <c r="F6" i="247"/>
  <c r="G6" i="247" s="1"/>
  <c r="Q5" i="248"/>
  <c r="Q4" i="248"/>
  <c r="P3" i="248"/>
  <c r="AL37" i="248"/>
  <c r="AB142" i="248"/>
  <c r="AC148" i="248"/>
  <c r="V19" i="248"/>
  <c r="AI30" i="248"/>
  <c r="V89" i="248"/>
  <c r="S52" i="248"/>
  <c r="Z140" i="248"/>
  <c r="AF147" i="248"/>
  <c r="AE149" i="248"/>
  <c r="AE147" i="248"/>
  <c r="AE146" i="248"/>
  <c r="AL125" i="248"/>
  <c r="AK126" i="248"/>
  <c r="AL124" i="248"/>
  <c r="AL126" i="248"/>
  <c r="AK124" i="248"/>
  <c r="AL127" i="248"/>
  <c r="AF36" i="248"/>
  <c r="AH112" i="248"/>
  <c r="AI112" i="248"/>
  <c r="AI113" i="248"/>
  <c r="AH113" i="248"/>
  <c r="CC10" i="247"/>
  <c r="CC9" i="247" s="1"/>
  <c r="CC8" i="247" s="1"/>
  <c r="CC7" i="247" s="1"/>
  <c r="CC6" i="247" s="1"/>
  <c r="AK123" i="248"/>
  <c r="AB24" i="248"/>
  <c r="AC24" i="248"/>
  <c r="Q21" i="248"/>
  <c r="Y12" i="248"/>
  <c r="AL123" i="248"/>
  <c r="AI126" i="248"/>
  <c r="Z2" i="248"/>
  <c r="V88" i="248"/>
  <c r="W81" i="248"/>
  <c r="AB101" i="248"/>
  <c r="AB99" i="248"/>
  <c r="AC98" i="248"/>
  <c r="AC96" i="248"/>
  <c r="AB96" i="248"/>
  <c r="AC95" i="248"/>
  <c r="AB98" i="248"/>
  <c r="V23" i="248"/>
  <c r="AC33" i="248"/>
  <c r="AH32" i="248"/>
  <c r="W50" i="248"/>
  <c r="S53" i="248"/>
  <c r="AK128" i="248"/>
  <c r="AK125" i="248"/>
  <c r="Q25" i="248"/>
  <c r="V71" i="248"/>
  <c r="W76" i="248"/>
  <c r="V75" i="248"/>
  <c r="W75" i="248"/>
  <c r="V76" i="248"/>
  <c r="AE143" i="248"/>
  <c r="Q35" i="248"/>
  <c r="P37" i="248"/>
  <c r="Q36" i="248"/>
  <c r="P36" i="248"/>
  <c r="AI95" i="248"/>
  <c r="AE9" i="248"/>
  <c r="AC112" i="248"/>
  <c r="AC37" i="248"/>
  <c r="AC55" i="248"/>
  <c r="Q109" i="248"/>
  <c r="AH119" i="248"/>
  <c r="AE23" i="248"/>
  <c r="AI96" i="248"/>
  <c r="Y124" i="248"/>
  <c r="AE140" i="248"/>
  <c r="W129" i="248"/>
  <c r="T104" i="248"/>
  <c r="T108" i="248"/>
  <c r="CB7" i="247"/>
  <c r="CB8" i="247" s="1"/>
  <c r="AD8" i="247"/>
  <c r="AK81" i="248"/>
  <c r="AK146" i="248"/>
  <c r="AF28" i="248"/>
  <c r="S148" i="248"/>
  <c r="AB56" i="248"/>
  <c r="AB127" i="248"/>
  <c r="AI119" i="248"/>
  <c r="AE29" i="248"/>
  <c r="AH97" i="248"/>
  <c r="AB76" i="248"/>
  <c r="AK61" i="248"/>
  <c r="S105" i="248"/>
  <c r="AI5" i="248"/>
  <c r="AH124" i="248"/>
  <c r="EC13" i="247"/>
  <c r="AI2" i="248"/>
  <c r="AI101" i="248"/>
  <c r="AL147" i="248"/>
  <c r="AH123" i="248"/>
  <c r="T77" i="248"/>
  <c r="Z111" i="248"/>
  <c r="P119" i="248"/>
  <c r="AH92" i="248"/>
  <c r="AI100" i="248"/>
  <c r="AH100" i="248"/>
  <c r="AH122" i="248"/>
  <c r="AB35" i="248"/>
  <c r="AK144" i="248"/>
  <c r="AE28" i="248"/>
  <c r="AH98" i="248"/>
  <c r="AI122" i="248"/>
  <c r="V69" i="248"/>
  <c r="AB36" i="248"/>
  <c r="W67" i="248"/>
  <c r="AK135" i="248"/>
  <c r="W59" i="248"/>
  <c r="W110" i="248"/>
  <c r="AC80" i="248"/>
  <c r="AE26" i="248"/>
  <c r="T107" i="248"/>
  <c r="T106" i="248"/>
  <c r="AK64" i="248"/>
  <c r="AH96" i="248"/>
  <c r="AF53" i="248"/>
  <c r="AH99" i="248"/>
  <c r="AI98" i="248"/>
  <c r="AH125" i="248"/>
  <c r="AI92" i="248"/>
  <c r="S106" i="248"/>
  <c r="AB107" i="248"/>
  <c r="V62" i="248"/>
  <c r="Q144" i="248"/>
  <c r="S107" i="248"/>
  <c r="V61" i="248"/>
  <c r="AC39" i="248"/>
  <c r="AE48" i="248"/>
  <c r="Z108" i="248"/>
  <c r="AF26" i="248"/>
  <c r="DV3" i="247"/>
  <c r="Y73" i="248"/>
  <c r="DW6" i="247"/>
  <c r="DU7" i="247"/>
  <c r="DV7" i="247" s="1"/>
  <c r="DW7" i="247" s="1"/>
  <c r="AK83" i="248"/>
  <c r="AH12" i="248"/>
  <c r="AI11" i="248"/>
  <c r="AH11" i="248"/>
  <c r="AH10" i="248"/>
  <c r="AK87" i="248"/>
  <c r="W42" i="248"/>
  <c r="W40" i="248"/>
  <c r="W43" i="248"/>
  <c r="W44" i="248"/>
  <c r="P62" i="248"/>
  <c r="Q62" i="248"/>
  <c r="Q65" i="248"/>
  <c r="Q64" i="248"/>
  <c r="P60" i="248"/>
  <c r="P64" i="248"/>
  <c r="Q63" i="248"/>
  <c r="P65" i="248"/>
  <c r="AF55" i="248"/>
  <c r="AF54" i="248"/>
  <c r="AF57" i="248"/>
  <c r="AE54" i="248"/>
  <c r="AE57" i="248"/>
  <c r="AE56" i="248"/>
  <c r="AF56" i="248"/>
  <c r="V44" i="248"/>
  <c r="V45" i="248"/>
  <c r="AL22" i="248"/>
  <c r="AL25" i="248"/>
  <c r="AL134" i="248"/>
  <c r="AK137" i="248"/>
  <c r="AL136" i="248"/>
  <c r="AA2" i="248"/>
  <c r="AB4" i="248" s="1"/>
  <c r="BV6" i="247"/>
  <c r="BW6" i="247" s="1"/>
  <c r="AK23" i="248"/>
  <c r="W123" i="248"/>
  <c r="AL111" i="248"/>
  <c r="AK111" i="248"/>
  <c r="AL24" i="248"/>
  <c r="AI132" i="248"/>
  <c r="AH136" i="248"/>
  <c r="AI137" i="248"/>
  <c r="AE99" i="248"/>
  <c r="AK134" i="248"/>
  <c r="AF99" i="248"/>
  <c r="AK25" i="248"/>
  <c r="AB87" i="248"/>
  <c r="AI12" i="248"/>
  <c r="AE127" i="248"/>
  <c r="AF95" i="248"/>
  <c r="AH105" i="248"/>
  <c r="AI109" i="248"/>
  <c r="AI108" i="248"/>
  <c r="AH109" i="248"/>
  <c r="AI106" i="248"/>
  <c r="AH106" i="248"/>
  <c r="BW3" i="247"/>
  <c r="AL94" i="248"/>
  <c r="AE89" i="248"/>
  <c r="AF84" i="248"/>
  <c r="AF83" i="248"/>
  <c r="AE87" i="248"/>
  <c r="AE84" i="248"/>
  <c r="AE85" i="248"/>
  <c r="AL72" i="248"/>
  <c r="AK70" i="248"/>
  <c r="AL71" i="248"/>
  <c r="AK71" i="248"/>
  <c r="V42" i="248"/>
  <c r="AK104" i="248"/>
  <c r="AL103" i="248"/>
  <c r="AK103" i="248"/>
  <c r="AF85" i="248"/>
  <c r="Q101" i="248"/>
  <c r="P101" i="248"/>
  <c r="AI10" i="248"/>
  <c r="AL104" i="248"/>
  <c r="AE55" i="248"/>
  <c r="AF105" i="248"/>
  <c r="P121" i="248"/>
  <c r="AI105" i="248"/>
  <c r="AF63" i="248"/>
  <c r="P61" i="248"/>
  <c r="AF129" i="248"/>
  <c r="Y91" i="248"/>
  <c r="AH13" i="248"/>
  <c r="AH14" i="248"/>
  <c r="AH16" i="248"/>
  <c r="AI18" i="248"/>
  <c r="AE42" i="248"/>
  <c r="W55" i="248"/>
  <c r="V55" i="248"/>
  <c r="V53" i="248"/>
  <c r="V54" i="248"/>
  <c r="V43" i="248"/>
  <c r="V46" i="248"/>
  <c r="V47" i="248"/>
  <c r="W48" i="248"/>
  <c r="W49" i="248"/>
  <c r="W47" i="248"/>
  <c r="S116" i="248"/>
  <c r="S119" i="248"/>
  <c r="T121" i="248"/>
  <c r="T120" i="248"/>
  <c r="S121" i="248"/>
  <c r="T117" i="248"/>
  <c r="T119" i="248"/>
  <c r="W51" i="248"/>
  <c r="BU6" i="247"/>
  <c r="BU7" i="247" s="1"/>
  <c r="BU8" i="247" s="1"/>
  <c r="BU9" i="247" s="1"/>
  <c r="BU10" i="247" s="1"/>
  <c r="BU11" i="247" s="1"/>
  <c r="BU12" i="247" s="1"/>
  <c r="BU13" i="247" s="1"/>
  <c r="AI13" i="248"/>
  <c r="AL75" i="248"/>
  <c r="W46" i="248"/>
  <c r="AC107" i="248"/>
  <c r="AH108" i="248"/>
  <c r="AE68" i="248"/>
  <c r="T143" i="248"/>
  <c r="AF88" i="248"/>
  <c r="AE49" i="248"/>
  <c r="AK76" i="248"/>
  <c r="P63" i="248"/>
  <c r="AF124" i="248"/>
  <c r="S75" i="248"/>
  <c r="T74" i="248"/>
  <c r="S73" i="248"/>
  <c r="W108" i="248"/>
  <c r="V108" i="248"/>
  <c r="W107" i="248"/>
  <c r="W109" i="248"/>
  <c r="V107" i="248"/>
  <c r="V109" i="248"/>
  <c r="W113" i="248"/>
  <c r="U2" i="248"/>
  <c r="AM6" i="247"/>
  <c r="AM7" i="247" s="1"/>
  <c r="AM8" i="247" s="1"/>
  <c r="AM9" i="247" s="1"/>
  <c r="AM10" i="247" s="1"/>
  <c r="AM11" i="247" s="1"/>
  <c r="AM12" i="247" s="1"/>
  <c r="AM13" i="247" s="1"/>
  <c r="AL6" i="247"/>
  <c r="AL7" i="247" s="1"/>
  <c r="AL8" i="247" s="1"/>
  <c r="AL9" i="247" s="1"/>
  <c r="AL10" i="247" s="1"/>
  <c r="AL11" i="247" s="1"/>
  <c r="AL12" i="247" s="1"/>
  <c r="AL13" i="247" s="1"/>
  <c r="AK89" i="248"/>
  <c r="AK88" i="248"/>
  <c r="AL89" i="248"/>
  <c r="AL86" i="248"/>
  <c r="AL88" i="248"/>
  <c r="AK86" i="248"/>
  <c r="W114" i="248"/>
  <c r="V115" i="248"/>
  <c r="V117" i="248"/>
  <c r="AF103" i="248"/>
  <c r="AF104" i="248"/>
  <c r="AE105" i="248"/>
  <c r="AK91" i="248"/>
  <c r="AL91" i="248"/>
  <c r="AL92" i="248"/>
  <c r="AK92" i="248"/>
  <c r="AC88" i="248"/>
  <c r="AC89" i="248"/>
  <c r="AC86" i="248"/>
  <c r="AB86" i="248"/>
  <c r="W26" i="248"/>
  <c r="W23" i="248"/>
  <c r="W24" i="248"/>
  <c r="AF140" i="248"/>
  <c r="V27" i="248"/>
  <c r="AK136" i="248"/>
  <c r="AK24" i="248"/>
  <c r="AB89" i="248"/>
  <c r="AF24" i="248"/>
  <c r="AF21" i="248"/>
  <c r="AF23" i="248"/>
  <c r="S44" i="248"/>
  <c r="S45" i="248"/>
  <c r="AC56" i="248"/>
  <c r="AB57" i="248"/>
  <c r="AB58" i="248"/>
  <c r="AB60" i="248"/>
  <c r="AC59" i="248"/>
  <c r="AB59" i="248"/>
  <c r="AL137" i="248"/>
  <c r="V26" i="248"/>
  <c r="V41" i="248"/>
  <c r="AB88" i="248"/>
  <c r="AH80" i="248"/>
  <c r="AI77" i="248"/>
  <c r="T91" i="248"/>
  <c r="T96" i="248"/>
  <c r="W122" i="248"/>
  <c r="AK20" i="248"/>
  <c r="AK18" i="248"/>
  <c r="AK21" i="248"/>
  <c r="AL21" i="248"/>
  <c r="AK19" i="248"/>
  <c r="AL19" i="248"/>
  <c r="AF77" i="248"/>
  <c r="AE78" i="248"/>
  <c r="AE80" i="248"/>
  <c r="AF78" i="248"/>
  <c r="AE81" i="248"/>
  <c r="AF80" i="248"/>
  <c r="AF79" i="248"/>
  <c r="AF81" i="248"/>
  <c r="AE97" i="248"/>
  <c r="AE92" i="248"/>
  <c r="AE94" i="248"/>
  <c r="AF96" i="248"/>
  <c r="AF92" i="248"/>
  <c r="AF91" i="248"/>
  <c r="AE91" i="248"/>
  <c r="AL93" i="248"/>
  <c r="Z94" i="248"/>
  <c r="Y94" i="248"/>
  <c r="Z97" i="248"/>
  <c r="Y97" i="248"/>
  <c r="Z96" i="248"/>
  <c r="Y96" i="248"/>
  <c r="W41" i="248"/>
  <c r="AK96" i="248"/>
  <c r="AC28" i="248"/>
  <c r="AB29" i="248"/>
  <c r="AI41" i="248"/>
  <c r="AH38" i="248"/>
  <c r="AI38" i="248"/>
  <c r="T132" i="248"/>
  <c r="S131" i="248"/>
  <c r="T134" i="248"/>
  <c r="T131" i="248"/>
  <c r="S132" i="248"/>
  <c r="AE39" i="248"/>
  <c r="AE41" i="248"/>
  <c r="AF40" i="248"/>
  <c r="AK85" i="248"/>
  <c r="AK17" i="248"/>
  <c r="AE100" i="248"/>
  <c r="Q60" i="248"/>
  <c r="T47" i="248"/>
  <c r="AH82" i="248"/>
  <c r="AH85" i="248"/>
  <c r="AI85" i="248"/>
  <c r="AH84" i="248"/>
  <c r="AI84" i="248"/>
  <c r="AI83" i="248"/>
  <c r="AF42" i="248"/>
  <c r="AF75" i="248"/>
  <c r="AB18" i="248"/>
  <c r="AB21" i="248"/>
  <c r="AB19" i="248"/>
  <c r="AC16" i="248"/>
  <c r="AC18" i="248"/>
  <c r="AB16" i="248"/>
  <c r="Z29" i="248"/>
  <c r="Z31" i="248"/>
  <c r="Z27" i="248"/>
  <c r="Z30" i="248"/>
  <c r="Y30" i="248"/>
  <c r="Y29" i="248"/>
  <c r="Z28" i="248"/>
  <c r="Y28" i="248"/>
  <c r="N11" i="247"/>
  <c r="AI39" i="248"/>
  <c r="AI42" i="248"/>
  <c r="AC60" i="248"/>
  <c r="AE104" i="248"/>
  <c r="AB108" i="248"/>
  <c r="P102" i="248"/>
  <c r="Z123" i="248"/>
  <c r="P103" i="248"/>
  <c r="AE69" i="248"/>
  <c r="Y31" i="248"/>
  <c r="AH83" i="248"/>
  <c r="AE83" i="248"/>
  <c r="AL96" i="248"/>
  <c r="T92" i="248"/>
  <c r="AF93" i="248"/>
  <c r="AE43" i="248"/>
  <c r="Y93" i="248"/>
  <c r="AH145" i="248"/>
  <c r="AH143" i="248"/>
  <c r="AL73" i="248"/>
  <c r="AF39" i="248"/>
  <c r="S92" i="248"/>
  <c r="W7" i="247"/>
  <c r="X7" i="247" s="1"/>
  <c r="W8" i="247" s="1"/>
  <c r="X8" i="247" s="1"/>
  <c r="S7" i="248"/>
  <c r="S13" i="248"/>
  <c r="T11" i="248"/>
  <c r="S11" i="248"/>
  <c r="AH40" i="248"/>
  <c r="AF20" i="248"/>
  <c r="AE135" i="248"/>
  <c r="AI14" i="248"/>
  <c r="S120" i="248"/>
  <c r="AC58" i="248"/>
  <c r="AB61" i="248"/>
  <c r="Z122" i="248"/>
  <c r="Q103" i="248"/>
  <c r="AE67" i="248"/>
  <c r="Y32" i="248"/>
  <c r="AF89" i="248"/>
  <c r="AC17" i="248"/>
  <c r="S93" i="248"/>
  <c r="AE96" i="248"/>
  <c r="Y92" i="248"/>
  <c r="Z49" i="248"/>
  <c r="Z53" i="248"/>
  <c r="AE136" i="248"/>
  <c r="P2" i="248"/>
  <c r="Q2" i="248"/>
  <c r="Z84" i="248"/>
  <c r="T127" i="248"/>
  <c r="Z121" i="248"/>
  <c r="Y116" i="248"/>
  <c r="Y85" i="248"/>
  <c r="W101" i="248"/>
  <c r="P90" i="248"/>
  <c r="AB105" i="248"/>
  <c r="AB149" i="248"/>
  <c r="AK65" i="248"/>
  <c r="T128" i="248"/>
  <c r="AC99" i="248"/>
  <c r="V52" i="248"/>
  <c r="AI52" i="248"/>
  <c r="AB95" i="248"/>
  <c r="M9" i="247"/>
  <c r="M8" i="247" s="1"/>
  <c r="M7" i="247" s="1"/>
  <c r="M6" i="247" s="1"/>
  <c r="AB67" i="248"/>
  <c r="AF149" i="248"/>
  <c r="AE148" i="248"/>
  <c r="AC143" i="248"/>
  <c r="Z85" i="248"/>
  <c r="Y79" i="248"/>
  <c r="AL53" i="248"/>
  <c r="W85" i="248"/>
  <c r="V82" i="248"/>
  <c r="AB109" i="248"/>
  <c r="Z116" i="248"/>
  <c r="V100" i="248"/>
  <c r="AB144" i="248"/>
  <c r="Y112" i="248"/>
  <c r="AK67" i="248"/>
  <c r="P89" i="248"/>
  <c r="V79" i="248"/>
  <c r="V59" i="248"/>
  <c r="P88" i="248"/>
  <c r="P35" i="248"/>
  <c r="AB100" i="248"/>
  <c r="AF148" i="248"/>
  <c r="AH53" i="248"/>
  <c r="AI44" i="248"/>
  <c r="Z69" i="248"/>
  <c r="AK143" i="248"/>
  <c r="Z11" i="248"/>
  <c r="Q61" i="248"/>
  <c r="AL95" i="248"/>
  <c r="W131" i="248"/>
  <c r="AD7" i="247"/>
  <c r="AD6" i="247" s="1"/>
  <c r="AD5" i="247" s="1"/>
  <c r="AE5" i="247" s="1"/>
  <c r="AL120" i="248"/>
  <c r="P91" i="248"/>
  <c r="P93" i="248"/>
  <c r="AL64" i="248"/>
  <c r="V123" i="248"/>
  <c r="AH51" i="248"/>
  <c r="Z79" i="248"/>
  <c r="W82" i="248"/>
  <c r="AC109" i="248"/>
  <c r="V83" i="248"/>
  <c r="AC146" i="248"/>
  <c r="Q3" i="248"/>
  <c r="Q88" i="248"/>
  <c r="AC100" i="248"/>
  <c r="S123" i="248"/>
  <c r="Z70" i="248"/>
  <c r="Y139" i="248"/>
  <c r="AL49" i="248"/>
  <c r="CU11" i="247"/>
  <c r="EB11" i="247"/>
  <c r="EB10" i="247" s="1"/>
  <c r="EB9" i="247" s="1"/>
  <c r="EB8" i="247" s="1"/>
  <c r="EB7" i="247" s="1"/>
  <c r="EB6" i="247" s="1"/>
  <c r="EB5" i="247" s="1"/>
  <c r="EC5" i="247" s="1"/>
  <c r="E6" i="247"/>
  <c r="E7" i="247" s="1"/>
  <c r="E8" i="247" s="1"/>
  <c r="E9" i="247" s="1"/>
  <c r="E10" i="247" s="1"/>
  <c r="E11" i="247" s="1"/>
  <c r="AC144" i="248"/>
  <c r="AH55" i="248"/>
  <c r="Y80" i="248"/>
  <c r="AL50" i="248"/>
  <c r="AB146" i="248"/>
  <c r="AB147" i="248"/>
  <c r="S103" i="248"/>
  <c r="S28" i="248"/>
  <c r="P4" i="248"/>
  <c r="AC140" i="248"/>
  <c r="W25" i="248"/>
  <c r="S12" i="248"/>
  <c r="Z139" i="248"/>
  <c r="Z13" i="248"/>
  <c r="CN3" i="247"/>
  <c r="AH79" i="248"/>
  <c r="W97" i="248"/>
  <c r="AF46" i="248"/>
  <c r="AF45" i="248"/>
  <c r="AI142" i="248"/>
  <c r="AH142" i="248"/>
  <c r="AI145" i="248"/>
  <c r="AI139" i="248"/>
  <c r="AB134" i="248"/>
  <c r="AC137" i="248"/>
  <c r="AC134" i="248"/>
  <c r="AB132" i="248"/>
  <c r="AB136" i="248"/>
  <c r="AB137" i="248"/>
  <c r="Q85" i="248"/>
  <c r="Q82" i="248"/>
  <c r="P82" i="248"/>
  <c r="Q113" i="248"/>
  <c r="P113" i="248"/>
  <c r="Q112" i="248"/>
  <c r="P112" i="248"/>
  <c r="P110" i="248"/>
  <c r="Q111" i="248"/>
  <c r="P111" i="248"/>
  <c r="Q110" i="248"/>
  <c r="Q107" i="248"/>
  <c r="P107" i="248"/>
  <c r="AI133" i="248"/>
  <c r="AK129" i="248"/>
  <c r="AH44" i="248"/>
  <c r="V136" i="248"/>
  <c r="V91" i="248"/>
  <c r="AC136" i="248"/>
  <c r="AC132" i="248"/>
  <c r="AF47" i="248"/>
  <c r="AB22" i="248"/>
  <c r="AB23" i="248"/>
  <c r="AC23" i="248"/>
  <c r="AC22" i="248"/>
  <c r="AC25" i="248"/>
  <c r="AE17" i="248"/>
  <c r="AE14" i="248"/>
  <c r="AF15" i="248"/>
  <c r="AF16" i="248"/>
  <c r="AE11" i="248"/>
  <c r="AF14" i="248"/>
  <c r="AF11" i="248"/>
  <c r="AE16" i="248"/>
  <c r="AF12" i="248"/>
  <c r="AE12" i="248"/>
  <c r="Z64" i="248"/>
  <c r="AF142" i="248"/>
  <c r="AE145" i="248"/>
  <c r="AF144" i="248"/>
  <c r="AE142" i="248"/>
  <c r="Z8" i="248"/>
  <c r="Y5" i="248"/>
  <c r="Y4" i="248"/>
  <c r="Y3" i="248"/>
  <c r="Y8" i="248"/>
  <c r="Y7" i="248"/>
  <c r="Z5" i="248"/>
  <c r="Z6" i="248"/>
  <c r="Z7" i="248"/>
  <c r="Z4" i="248"/>
  <c r="Z3" i="248"/>
  <c r="AE124" i="248"/>
  <c r="AK131" i="248"/>
  <c r="AI143" i="248"/>
  <c r="P126" i="248"/>
  <c r="AE15" i="248"/>
  <c r="Q108" i="248"/>
  <c r="V92" i="248"/>
  <c r="AB133" i="248"/>
  <c r="AH69" i="248"/>
  <c r="AI67" i="248"/>
  <c r="AH68" i="248"/>
  <c r="AH67" i="248"/>
  <c r="AI68" i="248"/>
  <c r="AH66" i="248"/>
  <c r="AH65" i="248"/>
  <c r="AI69" i="248"/>
  <c r="AI63" i="248"/>
  <c r="AI64" i="248"/>
  <c r="W74" i="248"/>
  <c r="V74" i="248"/>
  <c r="V77" i="248"/>
  <c r="V72" i="248"/>
  <c r="V73" i="248"/>
  <c r="W77" i="248"/>
  <c r="W71" i="248"/>
  <c r="W72" i="248"/>
  <c r="Q79" i="248"/>
  <c r="Q81" i="248"/>
  <c r="P81" i="248"/>
  <c r="Q80" i="248"/>
  <c r="P80" i="248"/>
  <c r="P77" i="248"/>
  <c r="Q76" i="248"/>
  <c r="Q75" i="248"/>
  <c r="P78" i="248"/>
  <c r="Q77" i="248"/>
  <c r="P79" i="248"/>
  <c r="P76" i="248"/>
  <c r="AK46" i="248"/>
  <c r="AK47" i="248"/>
  <c r="AL46" i="248"/>
  <c r="AL44" i="248"/>
  <c r="AL48" i="248"/>
  <c r="AK44" i="248"/>
  <c r="AK45" i="248"/>
  <c r="AK43" i="248"/>
  <c r="AK49" i="248"/>
  <c r="AL45" i="248"/>
  <c r="AC47" i="248"/>
  <c r="AB46" i="248"/>
  <c r="AB48" i="248"/>
  <c r="AB47" i="248"/>
  <c r="AC46" i="248"/>
  <c r="AB44" i="248"/>
  <c r="AC44" i="248"/>
  <c r="AB43" i="248"/>
  <c r="AC48" i="248"/>
  <c r="AC49" i="248"/>
  <c r="AC43" i="248"/>
  <c r="AB45" i="248"/>
  <c r="AB49" i="248"/>
  <c r="V137" i="248"/>
  <c r="V134" i="248"/>
  <c r="W137" i="248"/>
  <c r="W135" i="248"/>
  <c r="V135" i="248"/>
  <c r="W134" i="248"/>
  <c r="W136" i="248"/>
  <c r="W132" i="248"/>
  <c r="P75" i="248"/>
  <c r="AK132" i="248"/>
  <c r="AK130" i="248"/>
  <c r="AL132" i="248"/>
  <c r="AL130" i="248"/>
  <c r="AL133" i="248"/>
  <c r="AF48" i="248"/>
  <c r="AE46" i="248"/>
  <c r="AF44" i="248"/>
  <c r="AE45" i="248"/>
  <c r="AE44" i="248"/>
  <c r="AE47" i="248"/>
  <c r="AF49" i="248"/>
  <c r="AF43" i="248"/>
  <c r="AI25" i="248"/>
  <c r="AH23" i="248"/>
  <c r="AI22" i="248"/>
  <c r="AH25" i="248"/>
  <c r="AH22" i="248"/>
  <c r="AI24" i="248"/>
  <c r="AH21" i="248"/>
  <c r="AH18" i="248"/>
  <c r="AI21" i="248"/>
  <c r="AH15" i="248"/>
  <c r="AH20" i="248"/>
  <c r="AH19" i="248"/>
  <c r="AI20" i="248"/>
  <c r="AI19" i="248"/>
  <c r="T139" i="248"/>
  <c r="S140" i="248"/>
  <c r="T138" i="248"/>
  <c r="S138" i="248"/>
  <c r="S135" i="248"/>
  <c r="S137" i="248"/>
  <c r="T136" i="248"/>
  <c r="T137" i="248"/>
  <c r="T141" i="248"/>
  <c r="T140" i="248"/>
  <c r="S139" i="248"/>
  <c r="S136" i="248"/>
  <c r="W96" i="248"/>
  <c r="AL128" i="248"/>
  <c r="AH48" i="248"/>
  <c r="AI48" i="248"/>
  <c r="AI49" i="248"/>
  <c r="AH47" i="248"/>
  <c r="AH46" i="248"/>
  <c r="AI43" i="248"/>
  <c r="AH43" i="248"/>
  <c r="AF125" i="248"/>
  <c r="AE125" i="248"/>
  <c r="AF122" i="248"/>
  <c r="AE122" i="248"/>
  <c r="AF119" i="248"/>
  <c r="AF123" i="248"/>
  <c r="AF120" i="248"/>
  <c r="AE123" i="248"/>
  <c r="AE119" i="248"/>
  <c r="AE121" i="248"/>
  <c r="AT7" i="247"/>
  <c r="Z68" i="248"/>
  <c r="W92" i="248"/>
  <c r="T40" i="248"/>
  <c r="S41" i="248"/>
  <c r="T39" i="248"/>
  <c r="S39" i="248"/>
  <c r="T38" i="248"/>
  <c r="S38" i="248"/>
  <c r="L7" i="247"/>
  <c r="AC113" i="248"/>
  <c r="AC116" i="248"/>
  <c r="AB117" i="248"/>
  <c r="AB115" i="248"/>
  <c r="AC114" i="248"/>
  <c r="AC117" i="248"/>
  <c r="AC115" i="248"/>
  <c r="AB114" i="248"/>
  <c r="AI45" i="248"/>
  <c r="AB25" i="248"/>
  <c r="AC133" i="248"/>
  <c r="CS7" i="247"/>
  <c r="CS8" i="247" s="1"/>
  <c r="AB97" i="248"/>
  <c r="AC97" i="248"/>
  <c r="AB94" i="248"/>
  <c r="AC92" i="248"/>
  <c r="AB93" i="248"/>
  <c r="AC94" i="248"/>
  <c r="AB92" i="248"/>
  <c r="AC91" i="248"/>
  <c r="Y131" i="248"/>
  <c r="Z130" i="248"/>
  <c r="Y130" i="248"/>
  <c r="Z132" i="248"/>
  <c r="Y132" i="248"/>
  <c r="Z131" i="248"/>
  <c r="V111" i="248"/>
  <c r="AC20" i="248"/>
  <c r="AC19" i="248"/>
  <c r="AB20" i="248"/>
  <c r="AB17" i="248"/>
  <c r="AK14" i="248"/>
  <c r="AL15" i="248"/>
  <c r="AL17" i="248"/>
  <c r="AK15" i="248"/>
  <c r="AL14" i="248"/>
  <c r="AK11" i="248"/>
  <c r="AL16" i="248"/>
  <c r="AL11" i="248"/>
  <c r="AL13" i="248"/>
  <c r="AK16" i="248"/>
  <c r="AK13" i="248"/>
  <c r="AK12" i="248"/>
  <c r="AL12" i="248"/>
  <c r="T49" i="248"/>
  <c r="S49" i="248"/>
  <c r="T46" i="248"/>
  <c r="S46" i="248"/>
  <c r="T43" i="248"/>
  <c r="S47" i="248"/>
  <c r="S43" i="248"/>
  <c r="T45" i="248"/>
  <c r="AK133" i="248"/>
  <c r="AI76" i="248"/>
  <c r="AE141" i="248"/>
  <c r="Z9" i="248"/>
  <c r="P108" i="248"/>
  <c r="AL43" i="248"/>
  <c r="AC93" i="248"/>
  <c r="AC131" i="248"/>
  <c r="Z15" i="248"/>
  <c r="Y17" i="248"/>
  <c r="Z14" i="248"/>
  <c r="Z12" i="248"/>
  <c r="Z17" i="248"/>
  <c r="Z16" i="248"/>
  <c r="Y14" i="248"/>
  <c r="AF132" i="248"/>
  <c r="AE132" i="248"/>
  <c r="AF130" i="248"/>
  <c r="AF131" i="248"/>
  <c r="AE131" i="248"/>
  <c r="AE130" i="248"/>
  <c r="AE133" i="248"/>
  <c r="AF133" i="248"/>
  <c r="AB73" i="248"/>
  <c r="AC71" i="248"/>
  <c r="AC72" i="248"/>
  <c r="AB72" i="248"/>
  <c r="AB71" i="248"/>
  <c r="AB70" i="248"/>
  <c r="AC70" i="248"/>
  <c r="AC68" i="248"/>
  <c r="AC69" i="248"/>
  <c r="AB68" i="248"/>
  <c r="Q146" i="248"/>
  <c r="P146" i="248"/>
  <c r="P148" i="248"/>
  <c r="Q147" i="248"/>
  <c r="P147" i="248"/>
  <c r="Q149" i="248"/>
  <c r="P149" i="248"/>
  <c r="Q148" i="248"/>
  <c r="AF68" i="248"/>
  <c r="AF69" i="248"/>
  <c r="AF66" i="248"/>
  <c r="AE66" i="248"/>
  <c r="AF65" i="248"/>
  <c r="AE65" i="248"/>
  <c r="AE63" i="248"/>
  <c r="AF64" i="248"/>
  <c r="AE64" i="248"/>
  <c r="AK62" i="248"/>
  <c r="AK63" i="248"/>
  <c r="AL62" i="248"/>
  <c r="AL65" i="248"/>
  <c r="AL59" i="248"/>
  <c r="AL63" i="248"/>
  <c r="AL61" i="248"/>
  <c r="P49" i="248"/>
  <c r="Q46" i="248"/>
  <c r="Q49" i="248"/>
  <c r="Q47" i="248"/>
  <c r="P47" i="248"/>
  <c r="P43" i="248"/>
  <c r="Q48" i="248"/>
  <c r="P45" i="248"/>
  <c r="Q45" i="248"/>
  <c r="Q43" i="248"/>
  <c r="Q44" i="248"/>
  <c r="P44" i="248"/>
  <c r="AL131" i="248"/>
  <c r="AI144" i="248"/>
  <c r="S141" i="248"/>
  <c r="AH45" i="248"/>
  <c r="S30" i="248"/>
  <c r="S32" i="248"/>
  <c r="S31" i="248"/>
  <c r="T30" i="248"/>
  <c r="T33" i="248"/>
  <c r="S33" i="248"/>
  <c r="T32" i="248"/>
  <c r="S29" i="248"/>
  <c r="AF143" i="248"/>
  <c r="P127" i="248"/>
  <c r="AB91" i="248"/>
  <c r="Y6" i="248"/>
  <c r="AB15" i="248"/>
  <c r="AI23" i="248"/>
  <c r="Q83" i="248"/>
  <c r="S48" i="248"/>
  <c r="AF121" i="248"/>
  <c r="AI36" i="248"/>
  <c r="AH35" i="248"/>
  <c r="AI35" i="248"/>
  <c r="AH36" i="248"/>
  <c r="AH33" i="248"/>
  <c r="AI32" i="248"/>
  <c r="AI37" i="248"/>
  <c r="AI31" i="248"/>
  <c r="AH37" i="248"/>
  <c r="AI34" i="248"/>
  <c r="AH34" i="248"/>
  <c r="AU11" i="247"/>
  <c r="AU10" i="247" s="1"/>
  <c r="AU9" i="247" s="1"/>
  <c r="AU8" i="247" s="1"/>
  <c r="AU7" i="247" s="1"/>
  <c r="AU6" i="247" s="1"/>
  <c r="AU5" i="247" s="1"/>
  <c r="AV5" i="247" s="1"/>
  <c r="AE129" i="248"/>
  <c r="AE128" i="248"/>
  <c r="AF127" i="248"/>
  <c r="AF126" i="248"/>
  <c r="AE126" i="248"/>
  <c r="AB6" i="248"/>
  <c r="AC7" i="248"/>
  <c r="AB9" i="248"/>
  <c r="AC6" i="248"/>
  <c r="AB8" i="248"/>
  <c r="AB7" i="248"/>
  <c r="AC8" i="248"/>
  <c r="AL105" i="248"/>
  <c r="AK105" i="248"/>
  <c r="AK100" i="248"/>
  <c r="AO3" i="247"/>
  <c r="X3" i="247"/>
  <c r="AH81" i="248"/>
  <c r="AI78" i="248"/>
  <c r="AI81" i="248"/>
  <c r="AH75" i="248"/>
  <c r="AH76" i="248"/>
  <c r="AI80" i="248"/>
  <c r="AI79" i="248"/>
  <c r="AH78" i="248"/>
  <c r="W93" i="248"/>
  <c r="W91" i="248"/>
  <c r="V97" i="248"/>
  <c r="W94" i="248"/>
  <c r="V96" i="248"/>
  <c r="W95" i="248"/>
  <c r="V95" i="248"/>
  <c r="V94" i="248"/>
  <c r="Z67" i="248"/>
  <c r="Y67" i="248"/>
  <c r="Z66" i="248"/>
  <c r="Y66" i="248"/>
  <c r="Z65" i="248"/>
  <c r="Y65" i="248"/>
  <c r="Z63" i="248"/>
  <c r="Y64" i="248"/>
  <c r="Y69" i="248"/>
  <c r="Y63" i="248"/>
  <c r="Y68" i="248"/>
  <c r="Q127" i="248"/>
  <c r="P129" i="248"/>
  <c r="Q128" i="248"/>
  <c r="P128" i="248"/>
  <c r="P123" i="248"/>
  <c r="Q129" i="248"/>
  <c r="Q125" i="248"/>
  <c r="P125" i="248"/>
  <c r="AB50" i="248"/>
  <c r="AC53" i="248"/>
  <c r="AB52" i="248"/>
  <c r="AB51" i="248"/>
  <c r="AC50" i="248"/>
  <c r="AC52" i="248"/>
  <c r="AC51" i="248"/>
  <c r="AB53" i="248"/>
  <c r="Q78" i="248"/>
  <c r="Q124" i="248"/>
  <c r="AB82" i="248"/>
  <c r="AB85" i="248"/>
  <c r="AC83" i="248"/>
  <c r="AC85" i="248"/>
  <c r="AC84" i="248"/>
  <c r="AB84" i="248"/>
  <c r="AB83" i="248"/>
  <c r="AC82" i="248"/>
  <c r="AB81" i="248"/>
  <c r="V129" i="248"/>
  <c r="W128" i="248"/>
  <c r="V128" i="248"/>
  <c r="W126" i="248"/>
  <c r="V124" i="248"/>
  <c r="V126" i="248"/>
  <c r="W124" i="248"/>
  <c r="W125" i="248"/>
  <c r="V127" i="248"/>
  <c r="W117" i="248"/>
  <c r="V113" i="248"/>
  <c r="W112" i="248"/>
  <c r="V112" i="248"/>
  <c r="V114" i="248"/>
  <c r="W116" i="248"/>
  <c r="V116" i="248"/>
  <c r="W115" i="248"/>
  <c r="AK127" i="248"/>
  <c r="AI75" i="248"/>
  <c r="AH135" i="248"/>
  <c r="AI136" i="248"/>
  <c r="AI134" i="248"/>
  <c r="AH134" i="248"/>
  <c r="AI135" i="248"/>
  <c r="AI131" i="248"/>
  <c r="AH132" i="248"/>
  <c r="AH133" i="248"/>
  <c r="AH131" i="248"/>
  <c r="AH137" i="248"/>
  <c r="AH144" i="248"/>
  <c r="AB131" i="248"/>
  <c r="AK116" i="248"/>
  <c r="AK117" i="248"/>
  <c r="AL114" i="248"/>
  <c r="AK114" i="248"/>
  <c r="AL113" i="248"/>
  <c r="AL115" i="248"/>
  <c r="AK115" i="248"/>
  <c r="AK113" i="248"/>
  <c r="AL116" i="248"/>
  <c r="AL112" i="248"/>
  <c r="AK112" i="248"/>
  <c r="AL129" i="248"/>
  <c r="T135" i="248"/>
  <c r="AE21" i="248"/>
  <c r="AE20" i="248"/>
  <c r="AF19" i="248"/>
  <c r="AF18" i="248"/>
  <c r="AE18" i="248"/>
  <c r="AE19" i="248"/>
  <c r="AB116" i="248"/>
  <c r="AL47" i="248"/>
  <c r="Q126" i="248"/>
  <c r="AC81" i="248"/>
  <c r="AH77" i="248"/>
  <c r="AE144" i="248"/>
  <c r="AC21" i="248"/>
  <c r="AH63" i="248"/>
  <c r="W127" i="248"/>
  <c r="AC15" i="248"/>
  <c r="AH24" i="248"/>
  <c r="Q84" i="248"/>
  <c r="P124" i="248"/>
  <c r="AI46" i="248"/>
  <c r="T48" i="248"/>
  <c r="AE120" i="248"/>
  <c r="AC73" i="248"/>
  <c r="AC75" i="248"/>
  <c r="AC74" i="248"/>
  <c r="AB74" i="248"/>
  <c r="AC77" i="248"/>
  <c r="AB77" i="248"/>
  <c r="Z126" i="248"/>
  <c r="Z128" i="248"/>
  <c r="Y127" i="248"/>
  <c r="Y126" i="248"/>
  <c r="Y123" i="248"/>
  <c r="Z124" i="248"/>
  <c r="Z125" i="248"/>
  <c r="Y128" i="248"/>
  <c r="Y125" i="248"/>
  <c r="Z127" i="248"/>
  <c r="Z129" i="248"/>
  <c r="Y129" i="248"/>
  <c r="AK8" i="248"/>
  <c r="AL4" i="248"/>
  <c r="AL9" i="248"/>
  <c r="AL7" i="248"/>
  <c r="AK5" i="248"/>
  <c r="AK4" i="248"/>
  <c r="AK7" i="248"/>
  <c r="AL5" i="248"/>
  <c r="AL3" i="248"/>
  <c r="AK9" i="248"/>
  <c r="AK3" i="248"/>
  <c r="AL8" i="248"/>
  <c r="AL6" i="248"/>
  <c r="AK6" i="248"/>
  <c r="T44" i="248"/>
  <c r="V125" i="248"/>
  <c r="P100" i="248"/>
  <c r="Q105" i="248"/>
  <c r="P105" i="248"/>
  <c r="Q104" i="248"/>
  <c r="Q99" i="248"/>
  <c r="P99" i="248"/>
  <c r="P104" i="248"/>
  <c r="Q100" i="248"/>
  <c r="Y21" i="248"/>
  <c r="Y18" i="248"/>
  <c r="Z19" i="248"/>
  <c r="Y20" i="248"/>
  <c r="Q30" i="248"/>
  <c r="P31" i="248"/>
  <c r="P32" i="248"/>
  <c r="Q31" i="248"/>
  <c r="P33" i="248"/>
  <c r="Q32" i="248"/>
  <c r="V39" i="248"/>
  <c r="V38" i="248"/>
  <c r="W39" i="248"/>
  <c r="V40" i="248"/>
  <c r="T31" i="248"/>
  <c r="T37" i="248"/>
  <c r="S37" i="248"/>
  <c r="T36" i="248"/>
  <c r="S36" i="248"/>
  <c r="Z58" i="248"/>
  <c r="Z59" i="248"/>
  <c r="Z61" i="248"/>
  <c r="Y61" i="248"/>
  <c r="Z60" i="248"/>
  <c r="Y60" i="248"/>
  <c r="Y59" i="248"/>
  <c r="Y58" i="248"/>
  <c r="AB31" i="248"/>
  <c r="Q33" i="248"/>
  <c r="AB28" i="248"/>
  <c r="AF139" i="248"/>
  <c r="AE138" i="248"/>
  <c r="AF141" i="248"/>
  <c r="AE139" i="248"/>
  <c r="AF138" i="248"/>
  <c r="W64" i="248"/>
  <c r="W65" i="248"/>
  <c r="V65" i="248"/>
  <c r="V64" i="248"/>
  <c r="W63" i="248"/>
  <c r="AL82" i="248"/>
  <c r="AL84" i="248"/>
  <c r="AK84" i="248"/>
  <c r="AK82" i="248"/>
  <c r="W21" i="248"/>
  <c r="AH7" i="248"/>
  <c r="AH4" i="248"/>
  <c r="AI4" i="248"/>
  <c r="AI3" i="248"/>
  <c r="AH3" i="248"/>
  <c r="AH6" i="248"/>
  <c r="AH5" i="248"/>
  <c r="AI8" i="248"/>
  <c r="AI6" i="248"/>
  <c r="EA7" i="247"/>
  <c r="AI103" i="248"/>
  <c r="AH140" i="248"/>
  <c r="W20" i="248"/>
  <c r="AF102" i="248"/>
  <c r="S34" i="248"/>
  <c r="AH107" i="248"/>
  <c r="AC32" i="248"/>
  <c r="AE4" i="248"/>
  <c r="S142" i="248"/>
  <c r="T142" i="248"/>
  <c r="S145" i="248"/>
  <c r="S143" i="248"/>
  <c r="T145" i="248"/>
  <c r="W144" i="248"/>
  <c r="W145" i="248"/>
  <c r="W142" i="248"/>
  <c r="V144" i="248"/>
  <c r="W143" i="248"/>
  <c r="V145" i="248"/>
  <c r="AF101" i="248"/>
  <c r="V141" i="248"/>
  <c r="W139" i="248"/>
  <c r="V138" i="248"/>
  <c r="W140" i="248"/>
  <c r="V140" i="248"/>
  <c r="V139" i="248"/>
  <c r="W138" i="248"/>
  <c r="W141" i="248"/>
  <c r="AH89" i="248"/>
  <c r="AE52" i="248"/>
  <c r="AE53" i="248"/>
  <c r="AF50" i="248"/>
  <c r="AE50" i="248"/>
  <c r="V121" i="248"/>
  <c r="V119" i="248"/>
  <c r="W120" i="248"/>
  <c r="V120" i="248"/>
  <c r="W119" i="248"/>
  <c r="W118" i="248"/>
  <c r="V118" i="248"/>
  <c r="W121" i="248"/>
  <c r="Q145" i="248"/>
  <c r="Q143" i="248"/>
  <c r="P143" i="248"/>
  <c r="AC78" i="248"/>
  <c r="AC79" i="248"/>
  <c r="AB79" i="248"/>
  <c r="AB78" i="248"/>
  <c r="Y55" i="248"/>
  <c r="AH104" i="248"/>
  <c r="AF100" i="248"/>
  <c r="AK121" i="248"/>
  <c r="AI140" i="248"/>
  <c r="AF51" i="248"/>
  <c r="AI91" i="248"/>
  <c r="AH90" i="248"/>
  <c r="AE103" i="248"/>
  <c r="AL23" i="248"/>
  <c r="Y117" i="248"/>
  <c r="AI107" i="248"/>
  <c r="Y121" i="248"/>
  <c r="Z37" i="248"/>
  <c r="AB33" i="248"/>
  <c r="AE5" i="248"/>
  <c r="Q142" i="248"/>
  <c r="AL100" i="248"/>
  <c r="AF70" i="248"/>
  <c r="AF86" i="248"/>
  <c r="AL97" i="248"/>
  <c r="P27" i="248"/>
  <c r="P8" i="248"/>
  <c r="W22" i="248"/>
  <c r="AL149" i="248"/>
  <c r="AK149" i="248"/>
  <c r="AL148" i="248"/>
  <c r="AK148" i="248"/>
  <c r="CT8" i="247"/>
  <c r="CT7" i="247" s="1"/>
  <c r="CT6" i="247" s="1"/>
  <c r="CT5" i="247" s="1"/>
  <c r="CU5" i="247" s="1"/>
  <c r="V133" i="248"/>
  <c r="W130" i="248"/>
  <c r="V131" i="248"/>
  <c r="V130" i="248"/>
  <c r="W133" i="248"/>
  <c r="V132" i="248"/>
  <c r="Z112" i="248"/>
  <c r="Z113" i="248"/>
  <c r="Y113" i="248"/>
  <c r="Y110" i="248"/>
  <c r="Y109" i="248"/>
  <c r="AK78" i="248"/>
  <c r="AL81" i="248"/>
  <c r="AL79" i="248"/>
  <c r="AK80" i="248"/>
  <c r="AK79" i="248"/>
  <c r="AL78" i="248"/>
  <c r="AL80" i="248"/>
  <c r="AL107" i="248"/>
  <c r="AL106" i="248"/>
  <c r="AK109" i="248"/>
  <c r="AL108" i="248"/>
  <c r="AK108" i="248"/>
  <c r="AK107" i="248"/>
  <c r="AL109" i="248"/>
  <c r="T147" i="248"/>
  <c r="T148" i="248"/>
  <c r="S149" i="248"/>
  <c r="T149" i="248"/>
  <c r="V67" i="248"/>
  <c r="V66" i="248"/>
  <c r="V68" i="248"/>
  <c r="W66" i="248"/>
  <c r="W69" i="248"/>
  <c r="Q90" i="248"/>
  <c r="P92" i="248"/>
  <c r="Q91" i="248"/>
  <c r="Q93" i="248"/>
  <c r="AK72" i="248"/>
  <c r="AL70" i="248"/>
  <c r="Y57" i="248"/>
  <c r="Q59" i="248"/>
  <c r="Q58" i="248"/>
  <c r="P59" i="248"/>
  <c r="V35" i="248"/>
  <c r="Z40" i="248"/>
  <c r="Y39" i="248"/>
  <c r="Z41" i="248"/>
  <c r="Y41" i="248"/>
  <c r="Y40" i="248"/>
  <c r="Z39" i="248"/>
  <c r="Z38" i="248"/>
  <c r="Y38" i="248"/>
  <c r="AK48" i="248"/>
  <c r="AK52" i="248"/>
  <c r="Y52" i="248"/>
  <c r="Z50" i="248"/>
  <c r="Y51" i="248"/>
  <c r="Y50" i="248"/>
  <c r="Z51" i="248"/>
  <c r="Y53" i="248"/>
  <c r="W37" i="248"/>
  <c r="AF137" i="248"/>
  <c r="AL83" i="248"/>
  <c r="Z36" i="248"/>
  <c r="AF71" i="248"/>
  <c r="V24" i="248"/>
  <c r="AI7" i="248"/>
  <c r="AI88" i="248"/>
  <c r="AL20" i="248"/>
  <c r="AH87" i="248"/>
  <c r="AI138" i="248"/>
  <c r="AL51" i="248"/>
  <c r="Y35" i="248"/>
  <c r="T35" i="248"/>
  <c r="AE102" i="248"/>
  <c r="AH91" i="248"/>
  <c r="AE6" i="248"/>
  <c r="P144" i="248"/>
  <c r="AK22" i="248"/>
  <c r="Z117" i="248"/>
  <c r="AH103" i="248"/>
  <c r="AK95" i="248"/>
  <c r="Q29" i="248"/>
  <c r="Q8" i="248"/>
  <c r="V25" i="248"/>
  <c r="AH39" i="248"/>
  <c r="AF25" i="248"/>
  <c r="AE24" i="248"/>
  <c r="T14" i="248"/>
  <c r="S14" i="248"/>
  <c r="T17" i="248"/>
  <c r="S16" i="248"/>
  <c r="T15" i="248"/>
  <c r="S17" i="248"/>
  <c r="Q118" i="248"/>
  <c r="P118" i="248"/>
  <c r="P117" i="248"/>
  <c r="Q116" i="248"/>
  <c r="Q115" i="248"/>
  <c r="P116" i="248"/>
  <c r="W90" i="248"/>
  <c r="V90" i="248"/>
  <c r="AC145" i="248"/>
  <c r="AC142" i="248"/>
  <c r="AB113" i="248"/>
  <c r="AB111" i="248"/>
  <c r="AC110" i="248"/>
  <c r="AB112" i="248"/>
  <c r="AC111" i="248"/>
  <c r="AC108" i="248"/>
  <c r="AB106" i="248"/>
  <c r="V28" i="248"/>
  <c r="V29" i="248"/>
  <c r="W27" i="248"/>
  <c r="W29" i="248"/>
  <c r="W28" i="248"/>
  <c r="S74" i="248"/>
  <c r="S76" i="248"/>
  <c r="S77" i="248"/>
  <c r="T76" i="248"/>
  <c r="T75" i="248"/>
  <c r="T12" i="248"/>
  <c r="S10" i="248"/>
  <c r="T10" i="248"/>
  <c r="AH127" i="248"/>
  <c r="AI127" i="248"/>
  <c r="AH126" i="248"/>
  <c r="AI128" i="248"/>
  <c r="Z74" i="248"/>
  <c r="Y77" i="248"/>
  <c r="Z75" i="248"/>
  <c r="Y74" i="248"/>
  <c r="Z77" i="248"/>
  <c r="Z76" i="248"/>
  <c r="Y76" i="248"/>
  <c r="Y71" i="248"/>
  <c r="Z72" i="248"/>
  <c r="T118" i="248"/>
  <c r="S118" i="248"/>
  <c r="S117" i="248"/>
  <c r="Z55" i="248"/>
  <c r="AC31" i="248"/>
  <c r="AF3" i="248"/>
  <c r="AF5" i="248"/>
  <c r="AE73" i="248"/>
  <c r="AF72" i="248"/>
  <c r="AH9" i="248"/>
  <c r="AH8" i="248"/>
  <c r="AI87" i="248"/>
  <c r="AH138" i="248"/>
  <c r="Y56" i="248"/>
  <c r="Z48" i="248"/>
  <c r="AI90" i="248"/>
  <c r="Q140" i="248"/>
  <c r="AL101" i="248"/>
  <c r="AB80" i="248"/>
  <c r="W62" i="248"/>
  <c r="AI104" i="248"/>
  <c r="T34" i="248"/>
  <c r="AE7" i="248"/>
  <c r="AK68" i="248"/>
  <c r="P28" i="248"/>
  <c r="P9" i="248"/>
  <c r="AI40" i="248"/>
  <c r="AI17" i="248"/>
  <c r="AH17" i="248"/>
  <c r="AE13" i="248"/>
  <c r="AF13" i="248"/>
  <c r="AF10" i="248"/>
  <c r="AE10" i="248"/>
  <c r="P34" i="248"/>
  <c r="Q34" i="248"/>
  <c r="Y33" i="248"/>
  <c r="Z32" i="248"/>
  <c r="Z33" i="248"/>
  <c r="AF135" i="248"/>
  <c r="V48" i="248"/>
  <c r="V49" i="248"/>
  <c r="W45" i="248"/>
  <c r="Z56" i="248"/>
  <c r="AL67" i="248"/>
  <c r="AH139" i="248"/>
  <c r="AL85" i="248"/>
  <c r="AE137" i="248"/>
  <c r="AH88" i="248"/>
  <c r="AI141" i="248"/>
  <c r="Z52" i="248"/>
  <c r="AE51" i="248"/>
  <c r="AF7" i="248"/>
  <c r="AH93" i="248"/>
  <c r="Z47" i="248"/>
  <c r="Y49" i="248"/>
  <c r="V63" i="248"/>
  <c r="P30" i="248"/>
  <c r="S35" i="248"/>
  <c r="AK69" i="248"/>
  <c r="Q28" i="248"/>
  <c r="P5" i="248"/>
  <c r="AI111" i="248"/>
  <c r="AH110" i="248"/>
  <c r="AH111" i="248"/>
  <c r="AI110" i="248"/>
  <c r="AH41" i="248"/>
  <c r="Z144" i="248"/>
  <c r="Y145" i="248"/>
  <c r="Y143" i="248"/>
  <c r="Z142" i="248"/>
  <c r="Z88" i="248"/>
  <c r="Y89" i="248"/>
  <c r="Z86" i="248"/>
  <c r="Y86" i="248"/>
  <c r="Z89" i="248"/>
  <c r="Z87" i="248"/>
  <c r="Y87" i="248"/>
  <c r="AB38" i="248"/>
  <c r="AC38" i="248"/>
  <c r="AC35" i="248"/>
  <c r="Z120" i="248"/>
  <c r="Z118" i="248"/>
  <c r="Y118" i="248"/>
  <c r="Z119" i="248"/>
  <c r="Y120" i="248"/>
  <c r="S94" i="248"/>
  <c r="T97" i="248"/>
  <c r="S95" i="248"/>
  <c r="S97" i="248"/>
  <c r="S96" i="248"/>
  <c r="T94" i="248"/>
  <c r="T95" i="248"/>
  <c r="CM7" i="247"/>
  <c r="CN7" i="247" s="1"/>
  <c r="Y119" i="248"/>
  <c r="V56" i="248"/>
  <c r="W56" i="248"/>
  <c r="Q138" i="248"/>
  <c r="P140" i="248"/>
  <c r="Q141" i="248"/>
  <c r="Q139" i="248"/>
  <c r="AF136" i="248"/>
  <c r="Q117" i="248"/>
  <c r="P56" i="248"/>
  <c r="BF41" i="247"/>
  <c r="BG41" i="247" s="1"/>
  <c r="BF40" i="247"/>
  <c r="BG40" i="247" s="1"/>
  <c r="BF38" i="247"/>
  <c r="BG38" i="247" s="1"/>
  <c r="BF32" i="247"/>
  <c r="BG32" i="247" s="1"/>
  <c r="BF26" i="247"/>
  <c r="BG26" i="247" s="1"/>
  <c r="BF20" i="247"/>
  <c r="BG20" i="247" s="1"/>
  <c r="BF14" i="247"/>
  <c r="BG14" i="247" s="1"/>
  <c r="BL5" i="247"/>
  <c r="BM5" i="247" s="1"/>
  <c r="BF33" i="247"/>
  <c r="BG33" i="247" s="1"/>
  <c r="BF27" i="247"/>
  <c r="BG27" i="247" s="1"/>
  <c r="BF21" i="247"/>
  <c r="BG21" i="247" s="1"/>
  <c r="BF15" i="247"/>
  <c r="BG15" i="247" s="1"/>
  <c r="BF35" i="247"/>
  <c r="BG35" i="247" s="1"/>
  <c r="BF29" i="247"/>
  <c r="BG29" i="247" s="1"/>
  <c r="BF23" i="247"/>
  <c r="BG23" i="247" s="1"/>
  <c r="BF17" i="247"/>
  <c r="BG17" i="247" s="1"/>
  <c r="BF30" i="247"/>
  <c r="BG30" i="247" s="1"/>
  <c r="BF28" i="247"/>
  <c r="BG28" i="247" s="1"/>
  <c r="BF36" i="247"/>
  <c r="BG36" i="247" s="1"/>
  <c r="BF25" i="247"/>
  <c r="BG25" i="247" s="1"/>
  <c r="BF39" i="247"/>
  <c r="BG39" i="247" s="1"/>
  <c r="BF18" i="247"/>
  <c r="BG18" i="247" s="1"/>
  <c r="BF16" i="247"/>
  <c r="BG16" i="247" s="1"/>
  <c r="BF13" i="247"/>
  <c r="BG13" i="247" s="1"/>
  <c r="BF31" i="247"/>
  <c r="BG31" i="247" s="1"/>
  <c r="BF24" i="247"/>
  <c r="BG24" i="247" s="1"/>
  <c r="BF37" i="247"/>
  <c r="BG37" i="247" s="1"/>
  <c r="BF34" i="247"/>
  <c r="BG34" i="247" s="1"/>
  <c r="BF22" i="247"/>
  <c r="BG22" i="247" s="1"/>
  <c r="BF19" i="247"/>
  <c r="BG19" i="247" s="1"/>
  <c r="G39" i="247"/>
  <c r="H39" i="247" s="1"/>
  <c r="G33" i="247"/>
  <c r="H33" i="247" s="1"/>
  <c r="G40" i="247"/>
  <c r="H40" i="247" s="1"/>
  <c r="G34" i="247"/>
  <c r="H34" i="247" s="1"/>
  <c r="G28" i="247"/>
  <c r="H28" i="247" s="1"/>
  <c r="G22" i="247"/>
  <c r="H22" i="247" s="1"/>
  <c r="G16" i="247"/>
  <c r="H16" i="247" s="1"/>
  <c r="G27" i="247"/>
  <c r="H27" i="247" s="1"/>
  <c r="G17" i="247"/>
  <c r="H17" i="247" s="1"/>
  <c r="G38" i="247"/>
  <c r="H38" i="247" s="1"/>
  <c r="G24" i="247"/>
  <c r="H24" i="247" s="1"/>
  <c r="G35" i="247"/>
  <c r="H35" i="247" s="1"/>
  <c r="G25" i="247"/>
  <c r="H25" i="247" s="1"/>
  <c r="G37" i="247"/>
  <c r="H37" i="247" s="1"/>
  <c r="G14" i="247"/>
  <c r="H14" i="247" s="1"/>
  <c r="G41" i="247"/>
  <c r="H41" i="247" s="1"/>
  <c r="G18" i="247"/>
  <c r="H18" i="247" s="1"/>
  <c r="G32" i="247"/>
  <c r="H32" i="247" s="1"/>
  <c r="G31" i="247"/>
  <c r="H31" i="247" s="1"/>
  <c r="G21" i="247"/>
  <c r="H21" i="247" s="1"/>
  <c r="G29" i="247"/>
  <c r="H29" i="247" s="1"/>
  <c r="G15" i="247"/>
  <c r="H15" i="247" s="1"/>
  <c r="G12" i="247"/>
  <c r="H12" i="247" s="1"/>
  <c r="G13" i="247"/>
  <c r="H13" i="247" s="1"/>
  <c r="G26" i="247"/>
  <c r="H26" i="247" s="1"/>
  <c r="G19" i="247"/>
  <c r="H19" i="247" s="1"/>
  <c r="G20" i="247"/>
  <c r="H20" i="247" s="1"/>
  <c r="G30" i="247"/>
  <c r="H30" i="247" s="1"/>
  <c r="G36" i="247"/>
  <c r="H36" i="247" s="1"/>
  <c r="G23" i="247"/>
  <c r="H23" i="247" s="1"/>
  <c r="AO36" i="247"/>
  <c r="AP36" i="247" s="1"/>
  <c r="AO35" i="247"/>
  <c r="AP35" i="247" s="1"/>
  <c r="AO34" i="247"/>
  <c r="AP34" i="247" s="1"/>
  <c r="AO33" i="247"/>
  <c r="AP33" i="247" s="1"/>
  <c r="AO32" i="247"/>
  <c r="AP32" i="247" s="1"/>
  <c r="AO31" i="247"/>
  <c r="AP31" i="247" s="1"/>
  <c r="AO30" i="247"/>
  <c r="AP30" i="247" s="1"/>
  <c r="AO29" i="247"/>
  <c r="AP29" i="247" s="1"/>
  <c r="AO28" i="247"/>
  <c r="AP28" i="247" s="1"/>
  <c r="AO27" i="247"/>
  <c r="AP27" i="247" s="1"/>
  <c r="AO26" i="247"/>
  <c r="AP26" i="247" s="1"/>
  <c r="AO25" i="247"/>
  <c r="AP25" i="247" s="1"/>
  <c r="AO24" i="247"/>
  <c r="AP24" i="247" s="1"/>
  <c r="AO23" i="247"/>
  <c r="AP23" i="247" s="1"/>
  <c r="AO22" i="247"/>
  <c r="AP22" i="247" s="1"/>
  <c r="AO21" i="247"/>
  <c r="AP21" i="247" s="1"/>
  <c r="AO20" i="247"/>
  <c r="AP20" i="247" s="1"/>
  <c r="AO19" i="247"/>
  <c r="AP19" i="247" s="1"/>
  <c r="AO18" i="247"/>
  <c r="AP18" i="247" s="1"/>
  <c r="AO17" i="247"/>
  <c r="AP17" i="247" s="1"/>
  <c r="AO16" i="247"/>
  <c r="AP16" i="247" s="1"/>
  <c r="AO15" i="247"/>
  <c r="AP15" i="247" s="1"/>
  <c r="AO14" i="247"/>
  <c r="AP14" i="247" s="1"/>
  <c r="AO6" i="247"/>
  <c r="AO39" i="247"/>
  <c r="AP39" i="247" s="1"/>
  <c r="AO41" i="247"/>
  <c r="AP41" i="247" s="1"/>
  <c r="AO37" i="247"/>
  <c r="AP37" i="247" s="1"/>
  <c r="AO38" i="247"/>
  <c r="AP38" i="247" s="1"/>
  <c r="AO40" i="247"/>
  <c r="AP40" i="247" s="1"/>
  <c r="BW34" i="247"/>
  <c r="BX34" i="247" s="1"/>
  <c r="BW30" i="247"/>
  <c r="BX30" i="247" s="1"/>
  <c r="BW24" i="247"/>
  <c r="BX24" i="247" s="1"/>
  <c r="BW41" i="247"/>
  <c r="BX41" i="247" s="1"/>
  <c r="BW38" i="247"/>
  <c r="BX38" i="247" s="1"/>
  <c r="BW25" i="247"/>
  <c r="BX25" i="247" s="1"/>
  <c r="BW19" i="247"/>
  <c r="BX19" i="247" s="1"/>
  <c r="BW39" i="247"/>
  <c r="BX39" i="247" s="1"/>
  <c r="BW37" i="247"/>
  <c r="BX37" i="247" s="1"/>
  <c r="BW35" i="247"/>
  <c r="BX35" i="247" s="1"/>
  <c r="BW17" i="247"/>
  <c r="BX17" i="247" s="1"/>
  <c r="BW33" i="247"/>
  <c r="BX33" i="247" s="1"/>
  <c r="BW31" i="247"/>
  <c r="BX31" i="247" s="1"/>
  <c r="BW22" i="247"/>
  <c r="BX22" i="247" s="1"/>
  <c r="BW15" i="247"/>
  <c r="BX15" i="247" s="1"/>
  <c r="BW20" i="247"/>
  <c r="BX20" i="247" s="1"/>
  <c r="BW40" i="247"/>
  <c r="BX40" i="247" s="1"/>
  <c r="BW23" i="247"/>
  <c r="BX23" i="247" s="1"/>
  <c r="BW36" i="247"/>
  <c r="BX36" i="247" s="1"/>
  <c r="BW21" i="247"/>
  <c r="BX21" i="247" s="1"/>
  <c r="BW16" i="247"/>
  <c r="BX16" i="247" s="1"/>
  <c r="BW32" i="247"/>
  <c r="BX32" i="247" s="1"/>
  <c r="BW29" i="247"/>
  <c r="BX29" i="247" s="1"/>
  <c r="BW27" i="247"/>
  <c r="BX27" i="247" s="1"/>
  <c r="BW26" i="247"/>
  <c r="BX26" i="247" s="1"/>
  <c r="BW18" i="247"/>
  <c r="BX18" i="247" s="1"/>
  <c r="BW28" i="247"/>
  <c r="BX28" i="247" s="1"/>
  <c r="BW14" i="247"/>
  <c r="BX14" i="247" s="1"/>
  <c r="AE8" i="247" l="1"/>
  <c r="BG6" i="247"/>
  <c r="BE7" i="247"/>
  <c r="BF7" i="247" s="1"/>
  <c r="BM8" i="247"/>
  <c r="BK9" i="247"/>
  <c r="CC5" i="247"/>
  <c r="CD5" i="247" s="1"/>
  <c r="CD6" i="247"/>
  <c r="CD8" i="247"/>
  <c r="CB9" i="247"/>
  <c r="Y7" i="247"/>
  <c r="DU8" i="247"/>
  <c r="DV8" i="247" s="1"/>
  <c r="DU9" i="247" s="1"/>
  <c r="DV9" i="247" s="1"/>
  <c r="AV6" i="247"/>
  <c r="M5" i="247"/>
  <c r="N5" i="247" s="1"/>
  <c r="N6" i="247"/>
  <c r="W2" i="248"/>
  <c r="W3" i="248"/>
  <c r="V5" i="248"/>
  <c r="W4" i="248"/>
  <c r="W5" i="248"/>
  <c r="V2" i="248"/>
  <c r="V4" i="248"/>
  <c r="V3" i="248"/>
  <c r="EC6" i="247"/>
  <c r="AC3" i="248"/>
  <c r="AC9" i="247"/>
  <c r="AE6" i="247"/>
  <c r="N7" i="247"/>
  <c r="AB3" i="248"/>
  <c r="B1" i="247"/>
  <c r="CD7" i="247"/>
  <c r="AE7" i="247"/>
  <c r="AC2" i="248"/>
  <c r="AC5" i="248"/>
  <c r="AB5" i="248"/>
  <c r="AC4" i="248"/>
  <c r="AB2" i="248"/>
  <c r="CS9" i="247"/>
  <c r="CU8" i="247"/>
  <c r="AP6" i="247"/>
  <c r="AN7" i="247"/>
  <c r="AO7" i="247" s="1"/>
  <c r="Y8" i="247"/>
  <c r="W9" i="247"/>
  <c r="X9" i="247" s="1"/>
  <c r="BX6" i="247"/>
  <c r="BV7" i="247"/>
  <c r="BW7" i="247" s="1"/>
  <c r="AT8" i="247"/>
  <c r="AV7" i="247"/>
  <c r="CO7" i="247"/>
  <c r="CM8" i="247"/>
  <c r="CN8" i="247" s="1"/>
  <c r="EC7" i="247"/>
  <c r="EA8" i="247"/>
  <c r="CU7" i="247"/>
  <c r="H6" i="247"/>
  <c r="F7" i="247"/>
  <c r="G7" i="247" s="1"/>
  <c r="CU6" i="247"/>
  <c r="L8" i="247"/>
  <c r="AE9" i="247" l="1"/>
  <c r="AC10" i="247"/>
  <c r="AE10" i="247" s="1"/>
  <c r="BG7" i="247"/>
  <c r="BE8" i="247"/>
  <c r="BF8" i="247" s="1"/>
  <c r="BK10" i="247"/>
  <c r="BM9" i="247"/>
  <c r="DW8" i="247"/>
  <c r="CD9" i="247"/>
  <c r="CB10" i="247"/>
  <c r="BX7" i="247"/>
  <c r="BV8" i="247"/>
  <c r="BW8" i="247" s="1"/>
  <c r="N8" i="247"/>
  <c r="L9" i="247"/>
  <c r="AV8" i="247"/>
  <c r="AT9" i="247"/>
  <c r="EC8" i="247"/>
  <c r="EA9" i="247"/>
  <c r="CO8" i="247"/>
  <c r="CM9" i="247"/>
  <c r="CN9" i="247" s="1"/>
  <c r="DW9" i="247"/>
  <c r="DU10" i="247"/>
  <c r="DV10" i="247" s="1"/>
  <c r="H7" i="247"/>
  <c r="F8" i="247"/>
  <c r="G8" i="247" s="1"/>
  <c r="Y9" i="247"/>
  <c r="W10" i="247"/>
  <c r="X10" i="247" s="1"/>
  <c r="Y10" i="247" s="1"/>
  <c r="AP7" i="247"/>
  <c r="AN8" i="247"/>
  <c r="AO8" i="247" s="1"/>
  <c r="CU9" i="247"/>
  <c r="CS10" i="247"/>
  <c r="CU10" i="247" s="1"/>
  <c r="BK11" i="247" l="1"/>
  <c r="BM11" i="247" s="1"/>
  <c r="BM10" i="247"/>
  <c r="BG8" i="247"/>
  <c r="BE9" i="247"/>
  <c r="BF9" i="247" s="1"/>
  <c r="CB11" i="247"/>
  <c r="CD10" i="247"/>
  <c r="CO9" i="247"/>
  <c r="CM10" i="247"/>
  <c r="CN10" i="247" s="1"/>
  <c r="EC9" i="247"/>
  <c r="EA10" i="247"/>
  <c r="BX8" i="247"/>
  <c r="BV9" i="247"/>
  <c r="BW9" i="247" s="1"/>
  <c r="DW10" i="247"/>
  <c r="DU11" i="247"/>
  <c r="DV11" i="247" s="1"/>
  <c r="AP8" i="247"/>
  <c r="AN9" i="247"/>
  <c r="AO9" i="247" s="1"/>
  <c r="AV9" i="247"/>
  <c r="AT10" i="247"/>
  <c r="N9" i="247"/>
  <c r="L10" i="247"/>
  <c r="N10" i="247" s="1"/>
  <c r="H8" i="247"/>
  <c r="F9" i="247"/>
  <c r="G9" i="247" s="1"/>
  <c r="BG9" i="247" l="1"/>
  <c r="BE10" i="247"/>
  <c r="BF10" i="247" s="1"/>
  <c r="CB12" i="247"/>
  <c r="CD12" i="247" s="1"/>
  <c r="CD11" i="247"/>
  <c r="AV10" i="247"/>
  <c r="AT11" i="247"/>
  <c r="BX9" i="247"/>
  <c r="BV10" i="247"/>
  <c r="BW10" i="247" s="1"/>
  <c r="EC10" i="247"/>
  <c r="EA11" i="247"/>
  <c r="DW11" i="247"/>
  <c r="DU12" i="247"/>
  <c r="DV12" i="247" s="1"/>
  <c r="AP9" i="247"/>
  <c r="AN10" i="247"/>
  <c r="AO10" i="247" s="1"/>
  <c r="H9" i="247"/>
  <c r="F10" i="247"/>
  <c r="G10" i="247" s="1"/>
  <c r="CO10" i="247"/>
  <c r="CM11" i="247"/>
  <c r="CN11" i="247" s="1"/>
  <c r="CO11" i="247" s="1"/>
  <c r="BG10" i="247" l="1"/>
  <c r="BE11" i="247"/>
  <c r="BF11" i="247" s="1"/>
  <c r="AP10" i="247"/>
  <c r="AN11" i="247"/>
  <c r="AO11" i="247" s="1"/>
  <c r="BX10" i="247"/>
  <c r="BV11" i="247"/>
  <c r="BW11" i="247" s="1"/>
  <c r="H10" i="247"/>
  <c r="F11" i="247"/>
  <c r="G11" i="247" s="1"/>
  <c r="H11" i="247" s="1"/>
  <c r="DW12" i="247"/>
  <c r="DU13" i="247"/>
  <c r="DV13" i="247" s="1"/>
  <c r="DW13" i="247" s="1"/>
  <c r="EC11" i="247"/>
  <c r="EA12" i="247"/>
  <c r="EC12" i="247" s="1"/>
  <c r="AV11" i="247"/>
  <c r="AT12" i="247"/>
  <c r="AV12" i="247" s="1"/>
  <c r="BG11" i="247" l="1"/>
  <c r="BE12" i="247"/>
  <c r="BF12" i="247" s="1"/>
  <c r="BG12" i="247" s="1"/>
  <c r="AP11" i="247"/>
  <c r="AN12" i="247"/>
  <c r="AO12" i="247" s="1"/>
  <c r="BX11" i="247"/>
  <c r="BV12" i="247"/>
  <c r="BW12" i="247" s="1"/>
  <c r="D26" i="231"/>
  <c r="BX12" i="247" l="1"/>
  <c r="BV13" i="247"/>
  <c r="BW13" i="247" s="1"/>
  <c r="BX13" i="247" s="1"/>
  <c r="AP12" i="247"/>
  <c r="AN13" i="247"/>
  <c r="AO13" i="247" s="1"/>
  <c r="AP13" i="247" s="1"/>
</calcChain>
</file>

<file path=xl/sharedStrings.xml><?xml version="1.0" encoding="utf-8"?>
<sst xmlns="http://schemas.openxmlformats.org/spreadsheetml/2006/main" count="9638" uniqueCount="5141">
  <si>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</si>
  <si>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</si>
  <si>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</si>
  <si>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</si>
  <si>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</si>
  <si>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</si>
  <si>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</si>
  <si>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</si>
  <si>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</si>
  <si>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</si>
  <si>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</si>
  <si>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</si>
  <si>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</si>
  <si>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</si>
  <si>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</si>
  <si>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</si>
  <si>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</si>
  <si>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</si>
  <si>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</si>
  <si>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</si>
  <si>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</si>
  <si>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</si>
  <si>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Number of depots</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</si>
  <si>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</si>
  <si>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</si>
  <si>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</si>
  <si>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</si>
  <si>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</si>
  <si>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</si>
  <si>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</si>
  <si>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</si>
  <si>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</si>
  <si>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</si>
  <si>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</si>
  <si>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</si>
  <si>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</si>
  <si>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</si>
  <si>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</si>
  <si>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</si>
  <si>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</si>
  <si>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</si>
  <si>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</si>
  <si>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</si>
  <si>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</si>
  <si>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</si>
  <si>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</si>
  <si>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</si>
  <si>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</si>
  <si>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</si>
  <si>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</si>
  <si>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</si>
  <si>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</si>
  <si>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</si>
  <si>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</si>
  <si>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</si>
  <si>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</si>
  <si>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</si>
  <si>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</si>
  <si>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</si>
  <si>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</si>
  <si>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</si>
  <si>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</si>
  <si>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</si>
  <si>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</si>
  <si>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</si>
  <si>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</si>
  <si>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</si>
  <si>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</si>
  <si>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</si>
  <si>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</si>
  <si>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</si>
  <si>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</si>
  <si>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</si>
  <si>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</si>
  <si>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</si>
  <si>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</si>
  <si>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</si>
  <si>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</si>
  <si>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</si>
  <si>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</si>
  <si>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</si>
  <si>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</si>
  <si>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</si>
  <si>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</si>
  <si>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</si>
  <si>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</si>
  <si>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</si>
  <si>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</si>
  <si>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</si>
  <si>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</si>
  <si>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</si>
  <si>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</si>
  <si>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</si>
  <si>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</si>
  <si>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</si>
  <si>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</si>
  <si>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</si>
  <si>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</si>
  <si>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</si>
  <si>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</si>
  <si>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</si>
  <si>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</si>
  <si>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</si>
  <si>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</si>
  <si>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</si>
  <si>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</si>
  <si>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</si>
  <si>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</si>
  <si>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</si>
  <si>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</si>
  <si>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</si>
  <si>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</si>
  <si>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</si>
  <si>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</si>
  <si>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</si>
  <si>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</si>
  <si>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</si>
  <si>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</si>
  <si>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</si>
  <si>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</si>
  <si>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</si>
  <si>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</si>
  <si>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</si>
  <si>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</si>
  <si>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</si>
  <si>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</si>
  <si>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</si>
  <si>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</si>
  <si>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</si>
  <si>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</si>
  <si>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</si>
  <si>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</si>
  <si>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</si>
  <si>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</si>
  <si>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</si>
  <si>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</si>
  <si>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</si>
  <si>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</si>
  <si>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</si>
  <si>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</si>
  <si>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</si>
  <si>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</si>
  <si>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</si>
  <si>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</si>
  <si>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</si>
  <si>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</si>
  <si>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</si>
  <si>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</si>
  <si>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</si>
  <si>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</si>
  <si>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</si>
  <si>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</si>
  <si>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</si>
  <si>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</si>
  <si>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</si>
  <si>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</si>
  <si>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</si>
  <si>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</si>
  <si>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</si>
  <si>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</si>
  <si>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</si>
  <si>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</si>
  <si>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</si>
  <si>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</si>
  <si>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</si>
  <si>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</si>
  <si>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</si>
  <si>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</si>
  <si>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</si>
  <si>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</si>
  <si>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</si>
  <si>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</si>
  <si>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</si>
  <si>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</si>
  <si>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</si>
  <si>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</si>
  <si>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</si>
  <si>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</si>
  <si>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</si>
  <si>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</si>
  <si>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</si>
  <si>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</si>
  <si>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</si>
  <si>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</si>
  <si>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</si>
  <si>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</si>
  <si>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</si>
  <si>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</si>
  <si>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</si>
  <si>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</si>
  <si>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</si>
  <si>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</si>
  <si>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</si>
  <si>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</si>
  <si>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</si>
  <si>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</si>
  <si>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</si>
  <si>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</si>
  <si>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</si>
  <si>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</si>
  <si>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</si>
  <si>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</si>
  <si>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</si>
  <si>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</si>
  <si>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</si>
  <si>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</si>
  <si>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</si>
  <si>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</si>
  <si>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</si>
  <si>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</si>
  <si>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</si>
  <si>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</si>
  <si>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</si>
  <si>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</si>
  <si>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</si>
  <si>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</si>
  <si>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</si>
  <si>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</si>
  <si>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</si>
  <si>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</si>
  <si>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</si>
  <si>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</si>
  <si>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</si>
  <si>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</si>
  <si>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</si>
  <si>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</si>
  <si>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</si>
  <si>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</si>
  <si>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</si>
  <si>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</si>
  <si>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</si>
  <si>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</si>
  <si>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</si>
  <si>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</si>
  <si>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</si>
  <si>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</si>
  <si>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</si>
  <si>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</si>
  <si>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</si>
  <si>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</si>
  <si>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</si>
  <si>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</si>
  <si>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</si>
  <si>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</si>
  <si>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</si>
  <si>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</si>
  <si>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</si>
  <si>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</si>
  <si>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</si>
  <si>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</si>
  <si>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</si>
  <si>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</si>
  <si>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</si>
  <si>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</si>
  <si>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</si>
  <si>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</si>
  <si>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</si>
  <si>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</si>
  <si>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</si>
  <si>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</si>
  <si>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</si>
  <si>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</si>
  <si>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</si>
  <si>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</si>
  <si>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</si>
  <si>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</si>
  <si>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</si>
  <si>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</si>
  <si>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</si>
  <si>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</si>
  <si>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</si>
  <si>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</si>
  <si>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</si>
  <si>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</si>
  <si>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</si>
  <si>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</si>
  <si>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</si>
  <si>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</si>
  <si>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</si>
  <si>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</si>
  <si>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</si>
  <si>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</si>
  <si>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</si>
  <si>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</si>
  <si>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</si>
  <si>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</si>
  <si>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</si>
  <si>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</si>
  <si>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</si>
  <si>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</si>
  <si>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</si>
  <si>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</si>
  <si>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</si>
  <si>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</si>
  <si>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</si>
  <si>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</si>
  <si>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</si>
  <si>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</si>
  <si>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</si>
  <si>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</si>
  <si>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</si>
  <si>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</si>
  <si>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</si>
  <si>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</si>
  <si>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</si>
  <si>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</si>
  <si>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</si>
  <si>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</si>
  <si>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</si>
  <si>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</si>
  <si>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</si>
  <si>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</si>
  <si>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</si>
  <si>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</si>
  <si>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</si>
  <si>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</si>
  <si>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</si>
  <si>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</si>
  <si>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</si>
  <si>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</si>
  <si>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</si>
  <si>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</si>
  <si>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</si>
  <si>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</si>
  <si>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</si>
  <si>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</si>
  <si>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</si>
  <si>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</si>
  <si>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</si>
  <si>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</si>
  <si>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</si>
  <si>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</si>
  <si>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</si>
  <si>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</si>
  <si>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</si>
  <si>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</si>
  <si>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</si>
  <si>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</si>
  <si>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</si>
  <si>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</si>
  <si>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</si>
  <si>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</si>
  <si>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</si>
  <si>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</si>
  <si>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</si>
  <si>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</si>
  <si>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</si>
  <si>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</si>
  <si>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</si>
  <si>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</si>
  <si>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</si>
  <si>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</si>
  <si>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</si>
  <si>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</si>
  <si>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</si>
  <si>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</si>
  <si>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</si>
  <si>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</si>
  <si>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</si>
  <si>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</si>
  <si>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</si>
  <si>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</si>
  <si>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</si>
  <si>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</si>
  <si>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</si>
  <si>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</si>
  <si>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</si>
  <si>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</si>
  <si>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</si>
  <si>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</si>
  <si>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</si>
  <si>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</si>
  <si>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</si>
  <si>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</si>
  <si>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</si>
  <si>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</si>
  <si>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</si>
  <si>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</si>
  <si>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</si>
  <si>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</si>
  <si>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</si>
  <si>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</si>
  <si>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</si>
  <si>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</si>
  <si>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</si>
  <si>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</si>
  <si>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</si>
  <si>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</si>
  <si>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</si>
  <si>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</si>
  <si>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</si>
  <si>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</si>
  <si>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</si>
  <si>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</si>
  <si>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</si>
  <si>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</si>
  <si>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</si>
  <si>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</si>
  <si>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</si>
  <si>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</si>
  <si>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</si>
  <si>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</si>
  <si>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</si>
  <si>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</si>
  <si>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</si>
  <si>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</si>
  <si>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</si>
  <si>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</si>
  <si>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</si>
  <si>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</si>
  <si>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</si>
  <si>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</si>
  <si>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</si>
  <si>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</si>
  <si>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</si>
  <si>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</si>
  <si>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</si>
  <si>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</si>
  <si>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</si>
  <si>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</si>
  <si>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</si>
  <si>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</si>
  <si>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</si>
  <si>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</si>
  <si>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</si>
  <si>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</si>
  <si>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</si>
  <si>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</si>
  <si>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</si>
  <si>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</si>
  <si>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</si>
  <si>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</si>
  <si>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</si>
  <si>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</si>
  <si>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</si>
  <si>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</si>
  <si>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</si>
  <si>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</si>
  <si>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</si>
  <si>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</si>
  <si>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</si>
  <si>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</si>
  <si>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</si>
  <si>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</si>
  <si>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</si>
  <si>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</si>
  <si>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</si>
  <si>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</si>
  <si>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</si>
  <si>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</si>
  <si>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</si>
  <si>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</si>
  <si>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</si>
  <si>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</si>
  <si>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</si>
  <si>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</si>
  <si>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</si>
  <si>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</si>
  <si>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</si>
  <si>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</si>
  <si>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</si>
  <si>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</si>
  <si>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</si>
  <si>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</si>
  <si>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</si>
  <si>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</si>
  <si>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</si>
  <si>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</si>
  <si>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</si>
  <si>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</si>
  <si>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</si>
  <si>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</si>
  <si>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</si>
  <si>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</si>
  <si>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</si>
  <si>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</si>
  <si>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</si>
  <si>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</si>
  <si>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</si>
  <si>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</si>
  <si>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</si>
  <si>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</si>
  <si>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</si>
  <si>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</si>
  <si>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</si>
  <si>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</si>
  <si>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</si>
  <si>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</si>
  <si>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</si>
  <si>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</si>
  <si>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</si>
  <si>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</si>
  <si>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</si>
  <si>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</si>
  <si>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</si>
  <si>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</si>
  <si>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</si>
  <si>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</si>
  <si>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</si>
  <si>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</si>
  <si>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</si>
  <si>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</si>
  <si>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</si>
  <si>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</si>
  <si>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</si>
  <si>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</si>
  <si>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</si>
  <si>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</si>
  <si>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</si>
  <si>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</si>
  <si>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</si>
  <si>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</si>
  <si>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</si>
  <si>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</si>
  <si>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</si>
  <si>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</si>
  <si>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</si>
  <si>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</si>
  <si>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</si>
  <si>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</si>
  <si>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</si>
  <si>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</si>
  <si>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</si>
  <si>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</si>
  <si>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</si>
  <si>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</si>
  <si>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</si>
  <si>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</si>
  <si>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</si>
  <si>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</si>
  <si>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</si>
  <si>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</si>
  <si>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</si>
  <si>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</si>
  <si>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</si>
  <si>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</si>
  <si>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</si>
  <si>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</si>
  <si>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</si>
  <si>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</si>
  <si>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</si>
  <si>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</si>
  <si>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</si>
  <si>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</si>
  <si>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</si>
  <si>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</si>
  <si>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</si>
  <si>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</si>
  <si>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</si>
  <si>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</si>
  <si>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</si>
  <si>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</si>
  <si>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</si>
  <si>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</si>
  <si>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</si>
  <si>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</si>
  <si>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</si>
  <si>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</si>
  <si>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</si>
  <si>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</si>
  <si>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</si>
  <si>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</si>
  <si>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</si>
  <si>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</si>
  <si>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</si>
  <si>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</si>
  <si>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</si>
  <si>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</si>
  <si>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</si>
  <si>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</si>
  <si>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</si>
  <si>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</si>
  <si>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</si>
  <si>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</si>
  <si>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</si>
  <si>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</si>
  <si>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</si>
  <si>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</si>
  <si>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</si>
  <si>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</si>
  <si>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</si>
  <si>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</si>
  <si>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</si>
  <si>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</si>
  <si>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</si>
  <si>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</si>
  <si>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</si>
  <si>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</si>
  <si>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</si>
  <si>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</si>
  <si>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</si>
  <si>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</si>
  <si>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</si>
  <si>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</si>
  <si>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</si>
  <si>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</si>
  <si>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</si>
  <si>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</si>
  <si>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</si>
  <si>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</si>
  <si>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</si>
  <si>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</si>
  <si>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</si>
  <si>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</si>
  <si>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</si>
  <si>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</si>
  <si>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</si>
  <si>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</si>
  <si>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</si>
  <si>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</si>
  <si>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</si>
  <si>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</si>
  <si>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</si>
  <si>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</si>
  <si>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</si>
  <si>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</si>
  <si>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</si>
  <si>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</si>
  <si>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</si>
  <si>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</si>
  <si>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</si>
  <si>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</si>
  <si>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</si>
  <si>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</si>
  <si>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</si>
  <si>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</si>
  <si>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</si>
  <si>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</si>
  <si>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</si>
  <si>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</si>
  <si>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</si>
  <si>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</si>
  <si>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</si>
  <si>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</si>
  <si>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</si>
  <si>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</si>
  <si>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</si>
  <si>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</si>
  <si>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</si>
  <si>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</si>
  <si>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</si>
  <si>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</si>
  <si>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</si>
  <si>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</si>
  <si>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</si>
  <si>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</si>
  <si>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</si>
  <si>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</si>
  <si>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</si>
  <si>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</si>
  <si>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</si>
  <si>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</si>
  <si>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</si>
  <si>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</si>
  <si>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</si>
  <si>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</si>
  <si>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</si>
  <si>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</si>
  <si>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</si>
  <si>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</si>
  <si>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</si>
  <si>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</si>
  <si>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</si>
  <si>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</si>
  <si>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</si>
  <si>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</si>
  <si>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</si>
  <si>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</si>
  <si>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</si>
  <si>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</si>
  <si>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</si>
  <si>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</si>
  <si>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</si>
  <si>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</si>
  <si>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</si>
  <si>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</si>
  <si>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</si>
  <si>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</si>
  <si>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</si>
  <si>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</si>
  <si>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</si>
  <si>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</si>
  <si>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</si>
  <si>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</si>
  <si>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</si>
  <si>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</si>
  <si>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</si>
  <si>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</si>
  <si>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</si>
  <si>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</si>
  <si>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</si>
  <si>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</si>
  <si>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</si>
  <si>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</si>
  <si>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</si>
  <si>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</si>
  <si>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</si>
  <si>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</si>
  <si>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</si>
  <si>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</si>
  <si>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</si>
  <si>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</si>
  <si>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</si>
  <si>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</si>
  <si>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</si>
  <si>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</si>
  <si>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</si>
  <si>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</si>
  <si>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</si>
  <si>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</si>
  <si>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</si>
  <si>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</si>
  <si>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</si>
  <si>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</si>
  <si>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</si>
  <si>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</si>
  <si>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</si>
  <si>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</si>
  <si>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</si>
  <si>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</si>
  <si>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</si>
  <si>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</si>
  <si>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</si>
  <si>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</si>
  <si>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</si>
  <si>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</si>
  <si>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</si>
  <si>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</si>
  <si>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</si>
  <si>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</si>
  <si>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</si>
  <si>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</si>
  <si>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</si>
  <si>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</si>
  <si>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</si>
  <si>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</si>
  <si>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</si>
  <si>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</si>
  <si>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</si>
  <si>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</si>
  <si>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</si>
  <si>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</si>
  <si>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</si>
  <si>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</si>
  <si>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</si>
  <si>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</si>
  <si>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</si>
  <si>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</si>
  <si>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</si>
  <si>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</si>
  <si>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</si>
  <si>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</si>
  <si>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</si>
  <si>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</si>
  <si>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</si>
  <si>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</si>
  <si>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</si>
  <si>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</si>
  <si>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</si>
  <si>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</si>
  <si>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</si>
  <si>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</si>
  <si>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</si>
  <si>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</si>
  <si>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</si>
  <si>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</si>
  <si>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</si>
  <si>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</si>
  <si>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</si>
  <si>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</si>
  <si>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</si>
  <si>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</si>
  <si>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</si>
  <si>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</si>
  <si>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</si>
  <si>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</si>
  <si>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</si>
  <si>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</si>
  <si>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</si>
  <si>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</si>
  <si>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</si>
  <si>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</si>
  <si>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</si>
  <si>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</si>
  <si>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</si>
  <si>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</si>
  <si>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</si>
  <si>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</si>
  <si>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</si>
  <si>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</si>
  <si>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</si>
  <si>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</si>
  <si>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</si>
  <si>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</si>
  <si>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</si>
  <si>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</si>
  <si>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</si>
  <si>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</si>
  <si>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</si>
  <si>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</si>
  <si>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</si>
  <si>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</si>
  <si>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</si>
  <si>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</si>
  <si>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</si>
  <si>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</si>
  <si>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</si>
  <si>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</si>
  <si>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</si>
  <si>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</si>
  <si>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</si>
  <si>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</si>
  <si>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</si>
  <si>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</si>
  <si>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</si>
  <si>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</si>
  <si>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</si>
  <si>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</si>
  <si>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</si>
  <si>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</si>
  <si>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</si>
  <si>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</si>
  <si>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</si>
  <si>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</si>
  <si>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</si>
  <si>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</si>
  <si>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</si>
  <si>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</si>
  <si>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</si>
  <si>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</si>
  <si>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</si>
  <si>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</si>
  <si>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</si>
  <si>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</si>
  <si>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</si>
  <si>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</si>
  <si>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</si>
  <si>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</si>
  <si>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</si>
  <si>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</si>
  <si>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</si>
  <si>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</si>
  <si>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</si>
  <si>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</si>
  <si>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</si>
  <si>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</si>
  <si>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</si>
  <si>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</si>
  <si>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</si>
  <si>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</si>
  <si>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</si>
  <si>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</si>
  <si>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</si>
  <si>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</si>
  <si>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</si>
  <si>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</si>
  <si>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</si>
  <si>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</si>
  <si>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</si>
  <si>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</si>
  <si>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</si>
  <si>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</si>
  <si>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</si>
  <si>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</si>
  <si>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</si>
  <si>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</si>
  <si>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</si>
  <si>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</si>
  <si>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</si>
  <si>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</si>
  <si>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</si>
  <si>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</si>
  <si>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</si>
  <si>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</si>
  <si>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</si>
  <si>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</si>
  <si>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</si>
  <si>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</si>
  <si>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</si>
  <si>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</si>
  <si>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</si>
  <si>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</si>
  <si>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</si>
  <si>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</si>
  <si>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</si>
  <si>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</si>
  <si>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</si>
  <si>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</si>
  <si>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</si>
  <si>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</si>
  <si>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</si>
  <si>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</si>
  <si>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</si>
  <si>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</si>
  <si>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</si>
  <si>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</si>
  <si>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</si>
  <si>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</si>
  <si>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</si>
  <si>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</si>
  <si>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</si>
  <si>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</si>
  <si>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</si>
  <si>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</si>
  <si>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</si>
  <si>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</si>
  <si>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</si>
  <si>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</si>
  <si>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</si>
  <si>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</si>
  <si>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</si>
  <si>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</si>
  <si>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</si>
  <si>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</si>
  <si>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</si>
  <si>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</si>
  <si>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</si>
  <si>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</si>
  <si>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</si>
  <si>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</si>
  <si>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</si>
  <si>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</si>
  <si>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</si>
  <si>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</si>
  <si>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</si>
  <si>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</si>
  <si>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</si>
  <si>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</si>
  <si>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</si>
  <si>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</si>
  <si>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</si>
  <si>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</si>
  <si>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</si>
  <si>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</si>
  <si>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</si>
  <si>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</si>
  <si>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</si>
  <si>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</si>
  <si>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</si>
  <si>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</si>
  <si>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</si>
  <si>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</si>
  <si>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</si>
  <si>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</si>
  <si>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</si>
  <si>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</si>
  <si>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</si>
  <si>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</si>
  <si>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</si>
  <si>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</si>
  <si>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</si>
  <si>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</si>
  <si>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</si>
  <si>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</si>
  <si>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</si>
  <si>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</si>
  <si>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</si>
  <si>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</si>
  <si>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</si>
  <si>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</si>
  <si>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</si>
  <si>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</si>
  <si>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</si>
  <si>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</si>
  <si>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</si>
  <si>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</si>
  <si>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</si>
  <si>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</si>
  <si>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</si>
  <si>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</si>
  <si>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</si>
  <si>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</si>
  <si>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</si>
  <si>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</si>
  <si>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</si>
  <si>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</si>
  <si>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</si>
  <si>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</si>
  <si>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</si>
  <si>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</si>
  <si>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</si>
  <si>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</si>
  <si>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</si>
  <si>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</si>
  <si>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</si>
  <si>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</si>
  <si>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</si>
  <si>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</si>
  <si>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</si>
  <si>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</si>
  <si>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</si>
  <si>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</si>
  <si>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</si>
  <si>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</si>
  <si>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</si>
  <si>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</si>
  <si>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</si>
  <si>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</si>
  <si>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</si>
  <si>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</si>
  <si>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</si>
  <si>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</si>
  <si>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</si>
  <si>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</si>
  <si>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</si>
  <si>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</si>
  <si>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</si>
  <si>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</si>
  <si>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</si>
  <si>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</si>
  <si>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</si>
  <si>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</si>
  <si>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</si>
  <si>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</si>
  <si>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</si>
  <si>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</si>
  <si>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</si>
  <si>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</si>
  <si>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</si>
  <si>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</si>
  <si>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</si>
  <si>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</si>
  <si>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</si>
  <si>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</si>
  <si>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</si>
  <si>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</si>
  <si>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</si>
  <si>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</si>
  <si>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</si>
  <si>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</si>
  <si>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</si>
  <si>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</si>
  <si>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</si>
  <si>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</si>
  <si>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</si>
  <si>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</si>
  <si>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</si>
  <si>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</si>
  <si>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</si>
  <si>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</si>
  <si>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</si>
  <si>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</si>
  <si>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</si>
  <si>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</si>
  <si>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</si>
  <si>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</si>
  <si>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</si>
  <si>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</si>
  <si>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</si>
  <si>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</si>
  <si>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</si>
  <si>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</si>
  <si>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</si>
  <si>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</si>
  <si>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</si>
  <si>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</si>
  <si>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</si>
  <si>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</si>
  <si>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</si>
  <si>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</si>
  <si>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</si>
  <si>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</si>
  <si>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</si>
  <si>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</si>
  <si>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</si>
  <si>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</si>
  <si>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</si>
  <si>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</si>
  <si>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</si>
  <si>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</si>
  <si>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</si>
  <si>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</si>
  <si>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</si>
  <si>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</si>
  <si>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</si>
  <si>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</si>
  <si>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</si>
  <si>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</si>
  <si>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</si>
  <si>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</si>
  <si>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</si>
  <si>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</si>
  <si>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</si>
  <si>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</si>
  <si>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</si>
  <si>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</si>
  <si>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</si>
  <si>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</si>
  <si>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</si>
  <si>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</si>
  <si>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</si>
  <si>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</si>
  <si>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</si>
  <si>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</si>
  <si>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</si>
  <si>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</si>
  <si>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</si>
  <si>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</si>
  <si>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</si>
  <si>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</si>
  <si>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</si>
  <si>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</si>
  <si>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</si>
  <si>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</si>
  <si>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</si>
  <si>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</si>
  <si>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</si>
  <si>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</si>
  <si>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</si>
  <si>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</si>
  <si>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</si>
  <si>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</si>
  <si>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</si>
  <si>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</si>
  <si>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</si>
  <si>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</si>
  <si>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</si>
  <si>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</si>
  <si>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</si>
  <si>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</si>
  <si>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</si>
  <si>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</si>
  <si>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</si>
  <si>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</si>
  <si>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</si>
  <si>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</si>
  <si>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</si>
  <si>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</si>
  <si>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</si>
  <si>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</si>
  <si>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</si>
  <si>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</si>
  <si>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</si>
  <si>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</si>
  <si>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</si>
  <si>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</si>
  <si>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</si>
  <si>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</si>
  <si>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</si>
  <si>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</si>
  <si>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</si>
  <si>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</si>
  <si>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</si>
  <si>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</si>
  <si>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</si>
  <si>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</si>
  <si>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</si>
  <si>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</si>
  <si>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</si>
  <si>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</si>
  <si>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</si>
  <si>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</si>
  <si>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</si>
  <si>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</si>
  <si>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</si>
  <si>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</si>
  <si>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</si>
  <si>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</si>
  <si>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</si>
  <si>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</si>
  <si>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</si>
  <si>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</si>
  <si>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</si>
  <si>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</si>
  <si>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</si>
  <si>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</si>
  <si>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</si>
  <si>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</si>
  <si>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</si>
  <si>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</si>
  <si>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</si>
  <si>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</si>
  <si>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</si>
  <si>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</si>
  <si>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</si>
  <si>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</si>
  <si>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</si>
  <si>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</si>
  <si>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</si>
  <si>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</si>
  <si>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</si>
  <si>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</si>
  <si>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</si>
  <si>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</si>
  <si>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</si>
  <si>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</si>
  <si>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</si>
  <si>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</si>
  <si>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</si>
  <si>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</si>
  <si>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</si>
  <si>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</si>
  <si>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</si>
  <si>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</si>
  <si>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</si>
  <si>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</si>
  <si>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</si>
  <si>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</si>
  <si>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</si>
  <si>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</si>
  <si>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</si>
  <si>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</si>
  <si>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</si>
  <si>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</si>
  <si>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</si>
  <si>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</si>
  <si>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</si>
  <si>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</si>
  <si>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</si>
  <si>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</si>
  <si>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</si>
  <si>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</si>
  <si>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</si>
  <si>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</si>
  <si>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</si>
  <si>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</si>
  <si>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</si>
  <si>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</si>
  <si>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</si>
  <si>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</si>
  <si>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</si>
  <si>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</si>
  <si>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</si>
  <si>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</si>
  <si>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</si>
  <si>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</si>
  <si>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</si>
  <si>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</si>
  <si>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</si>
  <si>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</si>
  <si>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</si>
  <si>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</si>
  <si>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</si>
  <si>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</si>
  <si>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</si>
  <si>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</si>
  <si>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</si>
  <si>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</si>
  <si>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</si>
  <si>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</si>
  <si>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</si>
  <si>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</si>
  <si>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</si>
  <si>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</si>
  <si>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</si>
  <si>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</si>
  <si>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</si>
  <si>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</si>
  <si>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</si>
  <si>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</si>
  <si>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</si>
  <si>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</si>
  <si>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</si>
  <si>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</si>
  <si>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</si>
  <si>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</si>
  <si>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</si>
  <si>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</si>
  <si>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</si>
  <si>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</si>
  <si>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</si>
  <si>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</si>
  <si>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</si>
  <si>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</si>
  <si>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</si>
  <si>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</si>
  <si>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</si>
  <si>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</si>
  <si>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</si>
  <si>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</si>
  <si>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</si>
  <si>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</si>
  <si>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</si>
  <si>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</si>
  <si>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</si>
  <si>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</si>
  <si>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</si>
  <si>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</si>
  <si>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</si>
  <si>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</si>
  <si>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</si>
  <si>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</si>
  <si>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</si>
  <si>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</si>
  <si>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</si>
  <si>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</si>
  <si>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</si>
  <si>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</si>
  <si>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</si>
  <si>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</si>
  <si>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</si>
  <si>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</si>
  <si>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</si>
  <si>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</si>
  <si>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</si>
  <si>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</si>
  <si>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</si>
  <si>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</si>
  <si>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</si>
  <si>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</si>
  <si>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</si>
  <si>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</si>
  <si>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</si>
  <si>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</si>
  <si>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</si>
  <si>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</si>
  <si>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</si>
  <si>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</si>
  <si>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</si>
  <si>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</si>
  <si>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</si>
  <si>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</si>
  <si>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</si>
  <si>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</si>
  <si>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</si>
  <si>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</si>
  <si>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</si>
  <si>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</si>
  <si>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</si>
  <si>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</si>
  <si>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</si>
  <si>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</si>
  <si>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</si>
  <si>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</si>
  <si>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</si>
  <si>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</si>
  <si>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</si>
  <si>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</si>
  <si>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</si>
  <si>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</si>
  <si>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</si>
  <si>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</si>
  <si>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</si>
  <si>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</si>
  <si>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</si>
  <si>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</si>
  <si>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</si>
  <si>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</si>
  <si>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</si>
  <si>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</si>
  <si>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</si>
  <si>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</si>
  <si>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</si>
  <si>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</si>
  <si>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</si>
  <si>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</si>
  <si>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</si>
  <si>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</si>
  <si>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</si>
  <si>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</si>
  <si>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</si>
  <si>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</si>
  <si>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</si>
  <si>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</si>
  <si>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</si>
  <si>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</si>
  <si>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</si>
  <si>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</si>
  <si>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</si>
  <si>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</si>
  <si>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</si>
  <si>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</si>
  <si>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</si>
  <si>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</si>
  <si>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</si>
  <si>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</si>
  <si>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</si>
  <si>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</si>
  <si>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</si>
  <si>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</si>
  <si>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</si>
  <si>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</si>
  <si>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</si>
  <si>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</si>
  <si>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</si>
  <si>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</si>
  <si>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</si>
  <si>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</si>
  <si>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</si>
  <si>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</si>
  <si>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</si>
  <si>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</si>
  <si>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</si>
  <si>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</si>
  <si>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</si>
  <si>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</si>
  <si>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</si>
  <si>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</si>
  <si>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</si>
  <si>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</si>
  <si>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</si>
  <si>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</si>
  <si>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</si>
  <si>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</si>
  <si>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</si>
  <si>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</si>
  <si>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</si>
  <si>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</si>
  <si>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</si>
  <si>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</si>
  <si>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</si>
  <si>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</si>
  <si>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</si>
  <si>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</si>
  <si>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</si>
  <si>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</si>
  <si>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</si>
  <si>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</si>
  <si>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</si>
  <si>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</si>
  <si>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</si>
  <si>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</si>
  <si>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</si>
  <si>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</si>
  <si>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</si>
  <si>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</si>
  <si>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</si>
  <si>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</si>
  <si>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</si>
  <si>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</si>
  <si>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</si>
  <si>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</si>
  <si>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</si>
  <si>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</si>
  <si>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</si>
  <si>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</si>
  <si>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</si>
  <si>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</si>
  <si>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</si>
  <si>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</si>
  <si>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</si>
  <si>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</si>
  <si>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</si>
  <si>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</si>
  <si>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</si>
  <si>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</si>
  <si>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</si>
  <si>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</si>
  <si>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</si>
  <si>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</si>
  <si>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</si>
  <si>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</si>
  <si>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</si>
  <si>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</si>
  <si>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</si>
  <si>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</si>
  <si>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</si>
  <si>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</si>
  <si>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</si>
  <si>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</si>
  <si>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</si>
  <si>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</si>
  <si>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</si>
  <si>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</si>
  <si>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</si>
  <si>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</si>
  <si>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</si>
  <si>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</si>
  <si>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</si>
  <si>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</si>
  <si>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</si>
  <si>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</si>
  <si>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</si>
  <si>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</si>
  <si>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</si>
  <si>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</si>
  <si>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</si>
  <si>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</si>
  <si>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</si>
  <si>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</si>
  <si>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</si>
  <si>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</si>
  <si>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</si>
  <si>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</si>
  <si>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</si>
  <si>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</si>
  <si>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</si>
  <si>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</si>
  <si>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</si>
  <si>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</si>
  <si>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</si>
  <si>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</si>
  <si>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</si>
  <si>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</si>
  <si>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</si>
  <si>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</si>
  <si>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</si>
  <si>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</si>
  <si>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</si>
  <si>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</si>
  <si>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</si>
  <si>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</si>
  <si>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</si>
  <si>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</si>
  <si>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</si>
  <si>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</si>
  <si>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</si>
  <si>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</si>
  <si>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</si>
  <si>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</si>
  <si>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</si>
  <si>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</si>
  <si>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</si>
  <si>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</si>
  <si>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</si>
  <si>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</si>
  <si>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</si>
  <si>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</si>
  <si>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</si>
  <si>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</si>
  <si>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</si>
  <si>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</si>
  <si>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</si>
  <si>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</si>
  <si>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</si>
  <si>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</si>
  <si>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</si>
  <si>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</si>
  <si>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</si>
  <si>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</si>
  <si>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</si>
  <si>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</si>
  <si>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</si>
  <si>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</si>
  <si>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</si>
  <si>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</si>
  <si>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</si>
  <si>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</si>
  <si>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</si>
  <si>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</si>
  <si>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</si>
  <si>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</si>
  <si>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</si>
  <si>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</si>
  <si>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</si>
  <si>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</si>
  <si>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</si>
  <si>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</si>
  <si>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</si>
  <si>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</si>
  <si>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</si>
  <si>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</si>
  <si>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</si>
  <si>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</si>
  <si>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</si>
  <si>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</si>
  <si>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</si>
  <si>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</si>
  <si>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</si>
  <si>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</si>
  <si>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</si>
  <si>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</si>
  <si>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</si>
  <si>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</si>
  <si>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</si>
  <si>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</si>
  <si>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</si>
  <si>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</si>
  <si>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</si>
  <si>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</si>
  <si>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</si>
  <si>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</si>
  <si>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</si>
  <si>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</si>
  <si>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</si>
  <si>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</si>
  <si>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</si>
  <si>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</si>
  <si>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</si>
  <si>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</si>
  <si>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</si>
  <si>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</si>
  <si>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</si>
  <si>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</si>
  <si>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</si>
  <si>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</si>
  <si>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</si>
  <si>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</si>
  <si>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</si>
  <si>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</si>
  <si>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</si>
  <si>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</si>
  <si>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</si>
  <si>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</si>
  <si>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</si>
  <si>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</si>
  <si>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</si>
  <si>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</si>
  <si>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</si>
  <si>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</si>
  <si>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</si>
  <si>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</si>
  <si>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</si>
  <si>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</si>
  <si>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</si>
  <si>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</si>
  <si>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</si>
  <si>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</si>
  <si>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</si>
  <si>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</si>
  <si>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</si>
  <si>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</si>
  <si>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</si>
  <si>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</si>
  <si>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</si>
  <si>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</si>
  <si>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</si>
  <si>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</si>
  <si>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</si>
  <si>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</si>
  <si>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</si>
  <si>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</si>
  <si>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</si>
  <si>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</si>
  <si>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</si>
  <si>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</si>
  <si>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</si>
  <si>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</si>
  <si>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</si>
  <si>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</si>
  <si>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</si>
  <si>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</si>
  <si>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</si>
  <si>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</si>
  <si>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</si>
  <si>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</si>
  <si>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</si>
  <si>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</si>
  <si>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</si>
  <si>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</si>
  <si>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</si>
  <si>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</si>
  <si>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</si>
  <si>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</si>
  <si>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</si>
  <si>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</si>
  <si>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</si>
  <si>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</si>
  <si>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</si>
  <si>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</si>
  <si>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</si>
  <si>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</si>
  <si>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</si>
  <si>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</si>
  <si>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</si>
  <si>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</si>
  <si>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</si>
  <si>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</si>
  <si>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</si>
  <si>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</si>
  <si>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</si>
  <si>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</si>
  <si>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</si>
  <si>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</si>
  <si>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</si>
  <si>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</si>
  <si>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</si>
  <si>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</si>
  <si>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</si>
  <si>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</si>
  <si>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</si>
  <si>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</si>
  <si>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</si>
  <si>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</si>
  <si>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</si>
  <si>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</si>
  <si>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</si>
  <si>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</si>
  <si>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</si>
  <si>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</si>
  <si>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</si>
  <si>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</si>
  <si>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</si>
  <si>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</si>
  <si>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</si>
  <si>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</si>
  <si>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</si>
  <si>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</si>
  <si>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</si>
  <si>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</si>
  <si>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</si>
  <si>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</si>
  <si>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</si>
  <si>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</si>
  <si>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</si>
  <si>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</si>
  <si>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</si>
  <si>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</si>
  <si>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</si>
  <si>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</si>
  <si>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</si>
  <si>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</si>
  <si>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</si>
  <si>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</si>
  <si>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</si>
  <si>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</si>
  <si>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</si>
  <si>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</si>
  <si>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</si>
  <si>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</si>
  <si>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</si>
  <si>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</si>
  <si>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</si>
  <si>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</si>
  <si>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</si>
  <si>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</si>
  <si>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</si>
  <si>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</si>
  <si>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</si>
  <si>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</si>
  <si>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</si>
  <si>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</si>
  <si>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</si>
  <si>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</si>
  <si>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</si>
  <si>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</si>
  <si>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</si>
  <si>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</si>
  <si>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</si>
  <si>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</si>
  <si>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</si>
  <si>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</si>
  <si>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</si>
  <si>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</si>
  <si>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</si>
  <si>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</si>
  <si>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</si>
  <si>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</si>
  <si>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</si>
  <si>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</si>
  <si>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</si>
  <si>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</si>
  <si>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</si>
  <si>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</si>
  <si>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</si>
  <si>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</si>
  <si>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</si>
  <si>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</si>
  <si>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</si>
  <si>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</si>
  <si>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</si>
  <si>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</si>
  <si>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</si>
  <si>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</si>
  <si>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</si>
  <si>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</si>
  <si>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</si>
  <si>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</si>
  <si>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</si>
  <si>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</si>
  <si>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</si>
  <si>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</si>
  <si>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</si>
  <si>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</si>
  <si>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</si>
  <si>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</si>
  <si>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</si>
  <si>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</si>
  <si>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</si>
  <si>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</si>
  <si>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</si>
  <si>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</si>
  <si>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</si>
  <si>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</si>
  <si>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</si>
  <si>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</si>
  <si>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</si>
  <si>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</si>
  <si>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</si>
  <si>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</si>
  <si>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</si>
  <si>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</si>
  <si>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</si>
  <si>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</si>
  <si>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</si>
  <si>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</si>
  <si>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</si>
  <si>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</si>
  <si>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</si>
  <si>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</si>
  <si>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</si>
  <si>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</si>
  <si>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</si>
  <si>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</si>
  <si>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</si>
  <si>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</si>
  <si>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</si>
  <si>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</si>
  <si>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</si>
  <si>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</si>
  <si>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</si>
  <si>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</si>
  <si>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</si>
  <si>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</si>
  <si>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</si>
  <si>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</si>
  <si>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</si>
  <si>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</si>
  <si>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</si>
  <si>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</si>
  <si>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</si>
  <si>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</si>
  <si>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</si>
  <si>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</si>
  <si>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</si>
  <si>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</si>
  <si>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</si>
  <si>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</si>
  <si>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</si>
  <si>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</si>
  <si>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</si>
  <si>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</si>
  <si>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</si>
  <si>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</si>
  <si>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</si>
  <si>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</si>
  <si>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</si>
  <si>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</si>
  <si>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</si>
  <si>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</si>
  <si>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</si>
  <si>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</si>
  <si>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</si>
  <si>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</si>
  <si>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</si>
  <si>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</si>
  <si>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</si>
  <si>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</si>
  <si>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</si>
  <si>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</si>
  <si>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</si>
  <si>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</si>
  <si>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</si>
  <si>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</si>
  <si>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</si>
  <si>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</si>
  <si>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</si>
  <si>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</si>
  <si>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</si>
  <si>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</si>
  <si>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</si>
  <si>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</si>
  <si>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</si>
  <si>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</si>
  <si>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</si>
  <si>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</si>
  <si>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</si>
  <si>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</si>
  <si>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</si>
  <si>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</si>
  <si>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</si>
  <si>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</si>
  <si>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</si>
  <si>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</si>
  <si>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</si>
  <si>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</si>
  <si>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</si>
  <si>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</si>
  <si>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</si>
  <si>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</si>
  <si>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</si>
  <si>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</si>
  <si>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</si>
  <si>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</si>
  <si>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</si>
  <si>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</si>
  <si>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</si>
  <si>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</si>
  <si>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</si>
  <si>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</si>
  <si>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</si>
  <si>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</si>
  <si>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</si>
  <si>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</si>
  <si>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</si>
  <si>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</si>
  <si>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</si>
  <si>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</si>
  <si>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</si>
  <si>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</si>
  <si>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</si>
  <si>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</si>
  <si>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</si>
  <si>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</si>
  <si>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</si>
  <si>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</si>
  <si>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</si>
  <si>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</si>
  <si>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</si>
  <si>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</si>
  <si>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</si>
  <si>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</si>
  <si>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</si>
  <si>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</si>
  <si>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</si>
  <si>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</si>
  <si>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</si>
  <si>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</si>
  <si>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</si>
  <si>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</si>
  <si>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</si>
  <si>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</si>
  <si>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</si>
  <si>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</si>
  <si>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</si>
  <si>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</si>
  <si>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</si>
  <si>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</si>
  <si>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</si>
  <si>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</si>
  <si>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</si>
  <si>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</si>
  <si>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</si>
  <si>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</si>
  <si>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</si>
  <si>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</si>
  <si>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</si>
  <si>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</si>
  <si>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</si>
  <si>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</si>
  <si>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</si>
  <si>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</si>
  <si>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</si>
  <si>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</si>
  <si>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</si>
  <si>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</si>
  <si>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</si>
  <si>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</si>
  <si>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</si>
  <si>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</si>
  <si>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</si>
  <si>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</si>
  <si>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</si>
  <si>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</si>
  <si>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</si>
  <si>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</si>
  <si>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</si>
  <si>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</si>
  <si>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</si>
  <si>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</si>
  <si>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</si>
  <si>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</si>
  <si>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</si>
  <si>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</si>
  <si>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</si>
  <si>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</si>
  <si>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</si>
  <si>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</si>
  <si>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</si>
  <si>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</si>
  <si>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</si>
  <si>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</si>
  <si>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</si>
  <si>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</si>
  <si>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</si>
  <si>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</si>
  <si>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</si>
  <si>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</si>
  <si>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</si>
  <si>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</si>
  <si>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</si>
  <si>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</si>
  <si>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</si>
  <si>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</si>
  <si>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</si>
  <si>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</si>
  <si>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</si>
  <si>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</si>
  <si>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</si>
  <si>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</si>
  <si>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</si>
  <si>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</si>
  <si>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</si>
  <si>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</si>
  <si>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</si>
  <si>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</si>
  <si>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</si>
  <si>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</si>
  <si>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</si>
  <si>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</si>
  <si>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</si>
  <si>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</si>
  <si>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</si>
  <si>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</si>
  <si>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</si>
  <si>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</si>
  <si>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</si>
  <si>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</si>
  <si>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</si>
  <si>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</si>
  <si>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</si>
  <si>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</si>
  <si>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</si>
  <si>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</si>
  <si>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</si>
  <si>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</si>
  <si>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</si>
  <si>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</si>
  <si>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</si>
  <si>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</si>
  <si>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</si>
  <si>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</si>
  <si>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</si>
  <si>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</si>
  <si>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</si>
  <si>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</si>
  <si>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</si>
  <si>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</si>
  <si>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</si>
  <si>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</si>
  <si>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</si>
  <si>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</si>
  <si>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</si>
  <si>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</si>
  <si>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</si>
  <si>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</si>
  <si>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</si>
  <si>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</si>
  <si>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</si>
  <si>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</si>
  <si>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</si>
  <si>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</si>
  <si>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</si>
  <si>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</si>
  <si>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</si>
  <si>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</si>
  <si>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</si>
  <si>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</si>
  <si>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</si>
  <si>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</si>
  <si>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</si>
  <si>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</si>
  <si>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</si>
  <si>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</si>
  <si>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</si>
  <si>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</si>
  <si>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</si>
  <si>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</si>
  <si>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</si>
  <si>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</si>
  <si>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</si>
  <si>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</si>
  <si>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</si>
  <si>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</si>
  <si>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</si>
  <si>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</si>
  <si>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</si>
  <si>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</si>
  <si>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</si>
  <si>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</si>
  <si>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</si>
  <si>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</si>
  <si>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</si>
  <si>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</si>
  <si>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</si>
  <si>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</si>
  <si>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</si>
  <si>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</si>
  <si>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</si>
  <si>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</si>
  <si>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</si>
  <si>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</si>
  <si>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</si>
  <si>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</si>
  <si>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</si>
  <si>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</si>
  <si>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</si>
  <si>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</si>
  <si>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</si>
  <si>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</si>
  <si>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</si>
  <si>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</si>
  <si>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</si>
  <si>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</si>
  <si>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</si>
  <si>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</si>
  <si>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</si>
  <si>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</si>
  <si>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</si>
  <si>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</si>
  <si>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</si>
  <si>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</si>
  <si>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</si>
  <si>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</si>
  <si>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</si>
  <si>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</si>
  <si>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</si>
  <si>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</si>
  <si>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</si>
  <si>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</si>
  <si>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</si>
  <si>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</si>
  <si>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</si>
  <si>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</si>
  <si>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</si>
  <si>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</si>
  <si>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</si>
  <si>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</si>
  <si>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</si>
  <si>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</si>
  <si>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</si>
  <si>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</si>
  <si>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</si>
  <si>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</si>
  <si>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</si>
  <si>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</si>
  <si>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</si>
  <si>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</si>
  <si>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</si>
  <si>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</si>
  <si>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</si>
  <si>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</si>
  <si>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</si>
  <si>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</si>
  <si>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</si>
  <si>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</si>
  <si>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</si>
  <si>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</si>
  <si>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</si>
  <si>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</si>
  <si>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</si>
  <si>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</si>
  <si>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</si>
  <si>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</si>
  <si>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</si>
  <si>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</si>
  <si>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</si>
  <si>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</si>
  <si>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</si>
  <si>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</si>
  <si>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</si>
  <si>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</si>
  <si>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</si>
  <si>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</si>
  <si>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</si>
  <si>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</si>
  <si>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</si>
  <si>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</si>
  <si>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</si>
  <si>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</si>
  <si>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</si>
  <si>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</si>
  <si>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</si>
  <si>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</si>
  <si>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</si>
  <si>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</si>
  <si>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</si>
  <si>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</si>
  <si>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</si>
  <si>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</si>
  <si>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</si>
  <si>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</si>
  <si>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</si>
  <si>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</si>
  <si>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</si>
  <si>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</si>
  <si>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</si>
  <si>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</si>
  <si>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</si>
  <si>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</si>
  <si>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</si>
  <si>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</si>
  <si>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</si>
  <si>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</si>
  <si>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</si>
  <si>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</si>
  <si>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</si>
  <si>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</si>
  <si>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</si>
  <si>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</si>
  <si>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</si>
  <si>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</si>
  <si>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</si>
  <si>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</si>
  <si>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</si>
  <si>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</si>
  <si>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</si>
  <si>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</si>
  <si>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</si>
  <si>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</si>
  <si>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</si>
  <si>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</si>
  <si>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</si>
  <si>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</si>
  <si>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</si>
  <si>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</si>
  <si>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</si>
  <si>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</si>
  <si>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</si>
  <si>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</si>
  <si>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</si>
  <si>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</si>
  <si>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</si>
  <si>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</si>
  <si>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</si>
  <si>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</si>
  <si>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</si>
  <si>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</si>
  <si>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</si>
  <si>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</si>
  <si>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</si>
  <si>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</si>
  <si>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</si>
  <si>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</si>
  <si>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</si>
  <si>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</si>
  <si>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</si>
  <si>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</si>
  <si>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</si>
  <si>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</si>
  <si>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</si>
  <si>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</si>
  <si>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</si>
  <si>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</si>
  <si>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</si>
  <si>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</si>
  <si>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</si>
  <si>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</si>
  <si>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</si>
  <si>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</si>
  <si>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</si>
  <si>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</si>
  <si>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</si>
  <si>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</si>
  <si>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</si>
  <si>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</si>
  <si>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</si>
  <si>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</si>
  <si>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</si>
  <si>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</si>
  <si>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</si>
  <si>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</si>
  <si>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</si>
  <si>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</si>
  <si>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</si>
  <si>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</si>
  <si>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</si>
  <si>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</si>
  <si>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</si>
  <si>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</si>
  <si>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</si>
  <si>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</si>
  <si>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</si>
  <si>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</si>
  <si>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</si>
  <si>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</si>
  <si>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</si>
  <si>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</si>
  <si>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</si>
  <si>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</si>
  <si>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</si>
  <si>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</si>
  <si>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</si>
  <si>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</si>
  <si>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</si>
  <si>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</si>
  <si>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</si>
  <si>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</si>
  <si>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</si>
  <si>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</si>
  <si>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</si>
  <si>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</si>
  <si>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</si>
  <si>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</si>
  <si>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</si>
  <si>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</si>
  <si>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</si>
  <si>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</si>
  <si>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</si>
  <si>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</si>
  <si>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</si>
  <si>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</si>
  <si>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</si>
  <si>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</si>
  <si>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</si>
  <si>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</si>
  <si>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</si>
  <si>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</si>
  <si>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</si>
  <si>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</si>
  <si>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</si>
  <si>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</si>
  <si>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</si>
  <si>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</si>
  <si>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</si>
  <si>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</si>
  <si>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</si>
  <si>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</si>
  <si>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</si>
  <si>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</si>
  <si>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</si>
  <si>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</si>
  <si>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</si>
  <si>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</si>
  <si>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</si>
  <si>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</si>
  <si>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</si>
  <si>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</si>
  <si>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</si>
  <si>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</si>
  <si>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</si>
  <si>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</si>
  <si>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</si>
  <si>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</si>
  <si>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</si>
  <si>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</si>
  <si>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</si>
  <si>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</si>
  <si>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</si>
  <si>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</si>
  <si>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</si>
  <si>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</si>
  <si>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</si>
  <si>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</si>
  <si>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</si>
  <si>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</si>
  <si>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</si>
  <si>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</si>
  <si>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</si>
  <si>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</si>
  <si>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</si>
  <si>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</si>
  <si>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</si>
  <si>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</si>
  <si>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</si>
  <si>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</si>
  <si>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</si>
  <si>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</si>
  <si>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</si>
  <si>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</si>
  <si>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</si>
  <si>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</si>
  <si>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</si>
  <si>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</si>
  <si>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</si>
  <si>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</si>
  <si>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</si>
  <si>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</si>
  <si>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</si>
  <si>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</si>
  <si>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</si>
  <si>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</si>
  <si>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</si>
  <si>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</si>
  <si>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</si>
  <si>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</si>
  <si>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</si>
  <si>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</si>
  <si>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</si>
  <si>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</si>
  <si>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</si>
  <si>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</si>
  <si>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</si>
  <si>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</si>
  <si>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</si>
  <si>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</si>
  <si>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</si>
  <si>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</si>
  <si>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</si>
  <si>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</si>
  <si>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</si>
  <si>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</si>
  <si>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</si>
  <si>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</si>
  <si>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</si>
  <si>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</si>
  <si>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</si>
  <si>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</si>
  <si>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</si>
  <si>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</si>
  <si>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</si>
  <si>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</si>
  <si>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</si>
  <si>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</si>
  <si>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</si>
  <si>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</si>
  <si>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</si>
  <si>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</si>
  <si>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</si>
  <si>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</si>
  <si>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</si>
  <si>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</si>
  <si>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</si>
  <si>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</si>
  <si>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</si>
  <si>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</si>
  <si>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</si>
  <si>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</si>
  <si>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</si>
  <si>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</si>
  <si>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</si>
  <si>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</si>
  <si>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</si>
  <si>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</si>
  <si>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</si>
  <si>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</si>
  <si>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</si>
  <si>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</si>
  <si>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</si>
  <si>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</si>
  <si>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</si>
  <si>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</si>
  <si>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</si>
  <si>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</si>
  <si>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</si>
  <si>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</si>
  <si>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</si>
  <si>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</si>
  <si>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</si>
  <si>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</si>
  <si>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</si>
  <si>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</si>
  <si>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</si>
  <si>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</si>
  <si>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</si>
  <si>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</si>
  <si>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</si>
  <si>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</si>
  <si>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</si>
  <si>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</si>
  <si>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</si>
  <si>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</si>
  <si>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</si>
  <si>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</si>
  <si>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</si>
  <si>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</si>
  <si>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</si>
  <si>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</si>
  <si>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</si>
  <si>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</si>
  <si>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</si>
  <si>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</si>
  <si>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</si>
  <si>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</si>
  <si>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</si>
  <si>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</si>
  <si>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</si>
  <si>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</si>
  <si>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</si>
  <si>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</si>
  <si>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</si>
  <si>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</si>
  <si>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</si>
  <si>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</si>
  <si>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</si>
  <si>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</si>
  <si>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</si>
  <si>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</si>
  <si>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</si>
  <si>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</si>
  <si>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</si>
  <si>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</si>
  <si>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</si>
  <si>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</si>
  <si>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</si>
  <si>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</si>
  <si>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</si>
  <si>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</si>
  <si>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</si>
  <si>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</si>
  <si>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</si>
  <si>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</si>
  <si>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</si>
  <si>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</si>
  <si>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</si>
  <si>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</si>
  <si>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</si>
  <si>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</si>
  <si>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</si>
  <si>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</si>
  <si>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</si>
  <si>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</si>
  <si>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</si>
  <si>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</si>
  <si>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</si>
  <si>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</si>
  <si>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</si>
  <si>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</si>
  <si>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</si>
  <si>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</si>
  <si>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</si>
  <si>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</si>
  <si>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</si>
  <si>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</si>
  <si>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</si>
  <si>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</si>
  <si>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</si>
  <si>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</si>
  <si>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</si>
  <si>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</si>
  <si>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</si>
  <si>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</si>
  <si>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</si>
  <si>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</si>
  <si>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</si>
  <si>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</si>
  <si>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</si>
  <si>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</si>
  <si>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</si>
  <si>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</si>
  <si>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</si>
  <si>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</si>
  <si>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</si>
  <si>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</si>
  <si>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</si>
  <si>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</si>
  <si>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</si>
  <si>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</si>
  <si>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</si>
  <si>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</si>
  <si>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</si>
  <si>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</si>
  <si>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</si>
  <si>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</si>
  <si>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</si>
  <si>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</si>
  <si>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</si>
  <si>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</si>
  <si>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</si>
  <si>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</si>
  <si>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</si>
  <si>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</si>
  <si>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</si>
  <si>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</si>
  <si>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</si>
  <si>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</si>
  <si>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</si>
  <si>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</si>
  <si>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</si>
  <si>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</si>
  <si>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</si>
  <si>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</si>
  <si>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</si>
  <si>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</si>
  <si>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</si>
  <si>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</si>
  <si>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</si>
  <si>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</si>
  <si>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</si>
  <si>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</si>
  <si>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</si>
  <si>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</si>
  <si>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</si>
  <si>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</si>
  <si>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</si>
  <si>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</si>
  <si>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</si>
  <si>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</si>
  <si>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</si>
  <si>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</si>
  <si>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</si>
  <si>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</si>
  <si>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</si>
  <si>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</si>
  <si>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</si>
  <si>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</si>
  <si>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</si>
  <si>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</si>
  <si>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</si>
  <si>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</si>
  <si>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</si>
  <si>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</si>
  <si>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</si>
  <si>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</si>
  <si>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</si>
  <si>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</si>
  <si>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</si>
  <si>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</si>
  <si>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</si>
  <si>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</si>
  <si>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</si>
  <si>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</si>
  <si>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</si>
  <si>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</si>
  <si>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</si>
  <si>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</si>
  <si>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</si>
  <si>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</si>
  <si>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</si>
  <si>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</si>
  <si>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</si>
  <si>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</si>
  <si>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</si>
  <si>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</si>
  <si>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</si>
  <si>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</si>
  <si>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</si>
  <si>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</si>
  <si>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</si>
  <si>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</si>
  <si>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</si>
  <si>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</si>
  <si>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</si>
  <si>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</si>
  <si>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</si>
  <si>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</si>
  <si>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</si>
  <si>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</si>
  <si>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</si>
  <si>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</si>
  <si>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</si>
  <si>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</si>
  <si>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</si>
  <si>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</si>
  <si>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</si>
  <si>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</si>
  <si>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</si>
  <si>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</si>
  <si>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</si>
  <si>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</si>
  <si>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</si>
  <si>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</si>
  <si>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</si>
  <si>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</si>
  <si>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</si>
  <si>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</si>
  <si>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</si>
  <si>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</si>
  <si>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</si>
  <si>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</si>
  <si>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</si>
  <si>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</si>
  <si>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</si>
  <si>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</si>
  <si>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</si>
  <si>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</si>
  <si>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</si>
  <si>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</si>
  <si>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</si>
  <si>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</si>
  <si>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</si>
  <si>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</si>
  <si>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</si>
  <si>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</si>
  <si>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</si>
  <si>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</si>
  <si>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</si>
  <si>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</si>
  <si>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</si>
  <si>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</si>
  <si>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</si>
  <si>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</si>
  <si>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</si>
  <si>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</si>
  <si>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</si>
  <si>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</si>
  <si>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</si>
  <si>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</si>
  <si>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</si>
  <si>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</si>
  <si>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</si>
  <si>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</si>
  <si>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</si>
  <si>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</si>
  <si>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</si>
  <si>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</si>
  <si>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</si>
  <si>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</si>
  <si>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</si>
  <si>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</si>
  <si>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</si>
  <si>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</si>
  <si>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</si>
  <si>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</si>
  <si>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</si>
  <si>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</si>
  <si>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</si>
  <si>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</si>
  <si>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</si>
  <si>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</si>
  <si>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</si>
  <si>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</si>
  <si>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</si>
  <si>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</si>
  <si>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</si>
  <si>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</si>
  <si>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</si>
  <si>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</si>
  <si>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</si>
  <si>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</si>
  <si>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</si>
  <si>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</si>
  <si>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</si>
  <si>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</si>
  <si>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</si>
  <si>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</si>
  <si>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</si>
  <si>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</si>
  <si>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</si>
  <si>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</si>
  <si>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</si>
  <si>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</si>
  <si>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</si>
  <si>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</si>
  <si>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</si>
  <si>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</si>
  <si>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</si>
  <si>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</si>
  <si>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</si>
  <si>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</si>
  <si>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</si>
  <si>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</si>
  <si>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</si>
  <si>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</si>
  <si>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</si>
  <si>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</si>
  <si>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</si>
  <si>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</si>
  <si>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</si>
  <si>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</si>
  <si>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</si>
  <si>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</si>
  <si>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</si>
  <si>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</si>
  <si>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</si>
  <si>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</si>
  <si>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</si>
  <si>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</si>
  <si>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</si>
  <si>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</si>
  <si>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</si>
  <si>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</si>
  <si>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</si>
  <si>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</si>
  <si>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</si>
  <si>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</si>
  <si>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</si>
  <si>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</si>
  <si>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</si>
  <si>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</si>
  <si>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</si>
  <si>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</si>
  <si>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</si>
  <si>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</si>
  <si>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</si>
  <si>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</si>
  <si>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</si>
  <si>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</si>
  <si>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</si>
  <si>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</si>
  <si>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</si>
  <si>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</si>
  <si>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</si>
  <si>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</si>
  <si>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</si>
  <si>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</si>
  <si>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</si>
  <si>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</si>
  <si>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</si>
  <si>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</si>
  <si>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</si>
  <si>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</si>
  <si>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</si>
  <si>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</si>
  <si>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</si>
  <si>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</si>
  <si>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</si>
  <si>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</si>
  <si>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</si>
  <si>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</si>
  <si>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</si>
  <si>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</si>
  <si>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</si>
  <si>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</si>
  <si>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</si>
  <si>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</si>
  <si>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</si>
  <si>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</si>
  <si>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</si>
  <si>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</si>
  <si>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</si>
  <si>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</si>
  <si>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</si>
  <si>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</si>
  <si>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</si>
  <si>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</si>
  <si>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</si>
  <si>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</si>
  <si>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</si>
  <si>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</si>
  <si>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</si>
  <si>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</si>
  <si>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</si>
  <si>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</si>
  <si>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</si>
  <si>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</si>
  <si>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</si>
  <si>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</si>
  <si>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</si>
  <si>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</si>
  <si>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</si>
  <si>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</si>
  <si>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</si>
  <si>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</si>
  <si>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</si>
  <si>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</si>
  <si>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</si>
  <si>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</si>
  <si>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</si>
  <si>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</si>
  <si>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</si>
  <si>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</si>
  <si>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</si>
  <si>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</si>
  <si>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</si>
  <si>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</si>
  <si>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</si>
  <si>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</si>
  <si>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</si>
  <si>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</si>
  <si>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</si>
  <si>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</si>
  <si>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</si>
  <si>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</si>
  <si>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</si>
  <si>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</si>
  <si>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</si>
  <si>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</si>
  <si>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</si>
  <si>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</si>
  <si>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</si>
  <si>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</si>
  <si>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</si>
  <si>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</si>
  <si>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</si>
  <si>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</si>
  <si>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</si>
  <si>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</si>
  <si>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</si>
  <si>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</si>
  <si>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</si>
  <si>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</si>
  <si>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</si>
  <si>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</si>
  <si>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</si>
  <si>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</si>
  <si>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</si>
  <si>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</si>
  <si>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</si>
  <si>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</si>
  <si>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</si>
  <si>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</si>
  <si>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</si>
  <si>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</si>
  <si>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</si>
  <si>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</si>
  <si>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</si>
  <si>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</si>
  <si>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</si>
  <si>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</si>
  <si>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</si>
  <si>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</si>
  <si>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</si>
  <si>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</si>
  <si>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</si>
  <si>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</si>
  <si>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</si>
  <si>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</si>
  <si>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</si>
  <si>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</si>
  <si>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</si>
  <si>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</si>
  <si>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</si>
  <si>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</si>
  <si>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</si>
  <si>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</si>
  <si>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</si>
  <si>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</si>
  <si>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</si>
  <si>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</si>
  <si>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</si>
  <si>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</si>
  <si>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</si>
  <si>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</si>
  <si>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</si>
  <si>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</si>
  <si>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</si>
  <si>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</si>
  <si>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</si>
  <si>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</si>
  <si>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</si>
  <si>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</si>
  <si>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</si>
  <si>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</si>
  <si>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</si>
  <si>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</si>
  <si>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</si>
  <si>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</si>
  <si>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</si>
  <si>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</si>
  <si>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</si>
  <si>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</si>
  <si>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</si>
  <si>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</si>
  <si>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</si>
  <si>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</si>
  <si>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</si>
  <si>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</si>
  <si>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</si>
  <si>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</si>
  <si>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</si>
  <si>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</si>
  <si>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</si>
  <si>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</si>
  <si>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</si>
  <si>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</si>
  <si>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</si>
  <si>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</si>
  <si>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</si>
  <si>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</si>
  <si>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</si>
  <si>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</si>
  <si>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</si>
  <si>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</si>
  <si>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</si>
  <si>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</si>
  <si>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</si>
  <si>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</si>
  <si>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</si>
  <si>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</si>
  <si>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</si>
  <si>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</si>
  <si>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</si>
  <si>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</si>
  <si>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</si>
  <si>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</si>
  <si>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</si>
  <si>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</si>
  <si>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</si>
  <si>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</si>
  <si>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</si>
  <si>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</si>
  <si>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</si>
  <si>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</si>
  <si>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</si>
  <si>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</si>
  <si>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</si>
  <si>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</si>
  <si>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</si>
  <si>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</si>
  <si>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</si>
  <si>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</si>
  <si>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</si>
  <si>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</si>
  <si>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</si>
  <si>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</si>
  <si>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</si>
  <si>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</si>
  <si>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</si>
  <si>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</si>
  <si>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</si>
  <si>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</si>
  <si>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</si>
  <si>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</si>
  <si>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</si>
  <si>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</si>
  <si>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</si>
  <si>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</si>
  <si>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</si>
  <si>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</si>
  <si>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</si>
  <si>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</si>
  <si>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</si>
  <si>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</si>
  <si>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</si>
  <si>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</si>
  <si>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</si>
  <si>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</si>
  <si>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</si>
  <si>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</si>
  <si>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</si>
  <si>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</si>
  <si>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</si>
  <si>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</si>
  <si>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</si>
  <si>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</si>
  <si>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</si>
  <si>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</si>
  <si>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</si>
  <si>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</si>
  <si>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</si>
  <si>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</si>
  <si>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</si>
  <si>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</si>
  <si>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</si>
  <si>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</si>
  <si>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</si>
  <si>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</si>
  <si>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</si>
  <si>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</si>
  <si>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</si>
  <si>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</si>
  <si>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</si>
  <si>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</si>
  <si>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</si>
  <si>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</si>
  <si>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</si>
  <si>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</si>
  <si>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</si>
  <si>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</si>
  <si>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</si>
  <si>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</si>
  <si>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</si>
  <si>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</si>
  <si>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</si>
  <si>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</si>
  <si>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</si>
  <si>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</si>
  <si>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</si>
  <si>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</si>
  <si>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</si>
  <si>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</si>
  <si>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</si>
  <si>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</si>
  <si>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</si>
  <si>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</si>
  <si>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</si>
  <si>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</si>
  <si>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</si>
  <si>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</si>
  <si>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</si>
  <si>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</si>
  <si>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</si>
  <si>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</si>
  <si>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</si>
  <si>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</si>
  <si>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</si>
  <si>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</si>
  <si>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</si>
  <si>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</si>
  <si>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</si>
  <si>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</si>
  <si>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</si>
  <si>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</si>
  <si>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</si>
  <si>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</si>
  <si>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</si>
  <si>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</si>
  <si>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</si>
  <si>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</si>
  <si>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</si>
  <si>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</si>
  <si>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</si>
  <si>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</si>
  <si>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</si>
  <si>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</si>
  <si>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</si>
  <si>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</si>
  <si>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</si>
  <si>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</si>
  <si>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</si>
  <si>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</si>
  <si>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</si>
  <si>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</si>
  <si>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</si>
  <si>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</si>
  <si>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</si>
  <si>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</si>
  <si>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</si>
  <si>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</si>
  <si>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</si>
  <si>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</si>
  <si>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</si>
  <si>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</si>
  <si>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</si>
  <si>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</si>
  <si>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</si>
  <si>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</si>
  <si>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</si>
  <si>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</si>
  <si>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</si>
  <si>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</si>
  <si>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</si>
  <si>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</si>
  <si>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</si>
  <si>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</si>
  <si>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</si>
  <si>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</si>
  <si>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</si>
  <si>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</si>
  <si>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</si>
  <si>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</si>
  <si>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</si>
  <si>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</si>
  <si>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</si>
  <si>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</si>
  <si>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</si>
  <si>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</si>
  <si>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</si>
  <si>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</si>
  <si>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</si>
  <si>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</si>
  <si>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</si>
  <si>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</si>
  <si>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</si>
  <si>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</si>
  <si>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</si>
  <si>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</si>
  <si>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</si>
  <si>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</si>
  <si>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</si>
  <si>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</si>
  <si>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</si>
  <si>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</si>
  <si>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</si>
  <si>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</si>
  <si>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</si>
  <si>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</si>
  <si>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</si>
  <si>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</si>
  <si>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</si>
  <si>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</si>
  <si>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</si>
  <si>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</si>
  <si>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</si>
  <si>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</si>
  <si>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</si>
  <si>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</si>
  <si>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</si>
  <si>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</si>
  <si>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</si>
  <si>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</si>
  <si>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</si>
  <si>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</si>
  <si>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</si>
  <si>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</si>
  <si>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</si>
  <si>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</si>
  <si>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</si>
  <si>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</si>
  <si>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</si>
  <si>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</si>
  <si>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</si>
  <si>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</si>
  <si>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</si>
  <si>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</si>
  <si>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</si>
  <si>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</si>
  <si>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</si>
  <si>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</si>
  <si>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</si>
  <si>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</si>
  <si>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</si>
  <si>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</si>
  <si>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</si>
  <si>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</si>
  <si>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</si>
  <si>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</si>
  <si>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</si>
  <si>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</si>
  <si>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</si>
  <si>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</si>
  <si>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</si>
  <si>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</si>
  <si>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</si>
  <si>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</si>
  <si>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</si>
  <si>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</si>
  <si>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</si>
  <si>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</si>
  <si>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</si>
  <si>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</si>
  <si>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</si>
  <si>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</si>
  <si>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</si>
  <si>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</si>
  <si>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</si>
  <si>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</si>
  <si>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</si>
  <si>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</si>
  <si>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</si>
  <si>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</si>
  <si>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</si>
  <si>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</si>
  <si>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</si>
  <si>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</si>
  <si>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</si>
  <si>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</si>
  <si>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</si>
  <si>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</si>
  <si>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</si>
  <si>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</si>
  <si>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</si>
  <si>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</si>
  <si>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</si>
  <si>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</si>
  <si>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</si>
  <si>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</si>
  <si>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</si>
  <si>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</si>
  <si>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</si>
  <si>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</si>
  <si>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</si>
  <si>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</si>
  <si>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</si>
  <si>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</si>
  <si>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</si>
  <si>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</si>
  <si>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</si>
  <si>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</si>
  <si>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</si>
  <si>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</si>
  <si>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</si>
  <si>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</si>
  <si>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</si>
  <si>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</si>
  <si>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</si>
  <si>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</si>
  <si>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</si>
  <si>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</si>
  <si>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</si>
  <si>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</si>
  <si>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</si>
  <si>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</si>
  <si>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</si>
  <si>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</si>
  <si>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</si>
  <si>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</si>
  <si>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</si>
  <si>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</si>
  <si>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</si>
  <si>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</si>
  <si>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</si>
  <si>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</si>
  <si>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</si>
  <si>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</si>
  <si>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</si>
  <si>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</si>
  <si>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</si>
  <si>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</si>
  <si>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</si>
  <si>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</si>
  <si>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</si>
  <si>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</si>
  <si>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</si>
  <si>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</si>
  <si>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</si>
  <si>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</si>
  <si>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</si>
  <si>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</si>
  <si>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</si>
  <si>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</si>
  <si>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</si>
  <si>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</si>
  <si>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</si>
  <si>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</si>
  <si>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</si>
  <si>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</si>
  <si>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</si>
  <si>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</si>
  <si>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</si>
  <si>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</si>
  <si>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</si>
  <si>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</si>
  <si>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</si>
  <si>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</si>
  <si>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</si>
  <si>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</si>
  <si>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</si>
  <si>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</si>
  <si>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</si>
  <si>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</si>
  <si>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</si>
  <si>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</si>
  <si>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</si>
  <si>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</si>
  <si>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</si>
  <si>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</si>
  <si>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</si>
  <si>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</si>
  <si>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</si>
  <si>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</si>
  <si>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</si>
  <si>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</si>
  <si>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</si>
  <si>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</si>
  <si>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</si>
  <si>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</si>
  <si>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</si>
  <si>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</si>
  <si>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</si>
  <si>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</si>
  <si>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</si>
  <si>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</si>
  <si>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</si>
  <si>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</si>
  <si>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</si>
  <si>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</si>
  <si>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</si>
  <si>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</si>
  <si>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</si>
  <si>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</si>
  <si>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</si>
  <si>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</si>
  <si>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</si>
  <si>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</si>
  <si>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</si>
  <si>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</si>
  <si>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</si>
  <si>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</si>
  <si>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</si>
  <si>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</si>
  <si>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</si>
  <si>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</si>
  <si>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</si>
  <si>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</si>
  <si>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</si>
  <si>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</si>
  <si>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</si>
  <si>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</si>
  <si>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</si>
  <si>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</si>
  <si>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</si>
  <si>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</si>
  <si>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</si>
  <si>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</si>
  <si>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</si>
  <si>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</si>
  <si>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</si>
  <si>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</si>
  <si>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</si>
  <si>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</si>
  <si>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</si>
  <si>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</si>
  <si>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</si>
  <si>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</si>
  <si>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</si>
  <si>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</si>
  <si>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</si>
  <si>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</si>
  <si>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</si>
  <si>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</si>
  <si>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</si>
  <si>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</si>
  <si>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</si>
  <si>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</si>
  <si>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</si>
  <si>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</si>
  <si>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</si>
  <si>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</si>
  <si>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</si>
  <si>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</si>
  <si>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</si>
  <si>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</si>
  <si>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</si>
  <si>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</si>
  <si>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</si>
  <si>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</si>
  <si>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</si>
  <si>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</si>
  <si>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</si>
  <si>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</si>
  <si>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</si>
  <si>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</si>
  <si>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</si>
  <si>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</si>
  <si>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</si>
  <si>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</si>
  <si>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</si>
  <si>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</si>
  <si>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</si>
  <si>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</si>
  <si>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</si>
  <si>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</si>
  <si>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</si>
  <si>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</si>
  <si>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</si>
  <si>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</si>
  <si>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</si>
  <si>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</si>
  <si>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</si>
  <si>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</si>
  <si>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</si>
  <si>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</si>
  <si>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</si>
  <si>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</si>
  <si>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</si>
  <si>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</si>
  <si>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</si>
  <si>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</si>
  <si>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</si>
  <si>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</si>
  <si>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</si>
  <si>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</si>
  <si>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</si>
  <si>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</si>
  <si>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</si>
  <si>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</si>
  <si>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</si>
  <si>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</si>
  <si>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</si>
  <si>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</si>
  <si>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</si>
  <si>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</si>
  <si>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</si>
  <si>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</si>
  <si>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</si>
  <si>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</si>
  <si>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</si>
  <si>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</si>
  <si>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</si>
  <si>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</si>
  <si>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</si>
  <si>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</si>
  <si>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</si>
  <si>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</si>
  <si>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</si>
  <si>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</si>
  <si>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</si>
  <si>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</si>
  <si>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</si>
  <si>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</si>
  <si>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</si>
  <si>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</si>
  <si>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</si>
  <si>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</si>
  <si>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</si>
  <si>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</si>
  <si>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</si>
  <si>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</si>
  <si>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</si>
  <si>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</si>
  <si>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</si>
  <si>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</si>
  <si>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</si>
  <si>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</si>
  <si>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</si>
  <si>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</si>
  <si>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</si>
  <si>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</si>
  <si>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</si>
  <si>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</si>
  <si>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</si>
  <si>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</si>
  <si>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</si>
  <si>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</si>
  <si>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</si>
  <si>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</si>
  <si>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</si>
  <si>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</si>
  <si>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</si>
  <si>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</si>
  <si>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</si>
  <si>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</si>
  <si>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</si>
  <si>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</si>
  <si>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</si>
  <si>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</si>
  <si>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</si>
  <si>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</si>
  <si>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</si>
  <si>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</si>
  <si>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</si>
  <si>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</si>
  <si>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</si>
  <si>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</si>
  <si>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</si>
  <si>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</si>
  <si>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</si>
  <si>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</si>
  <si>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</si>
  <si>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</si>
  <si>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</si>
  <si>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</si>
  <si>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</si>
  <si>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</si>
  <si>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</si>
  <si>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</si>
  <si>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</si>
  <si>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</si>
  <si>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</si>
  <si>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</si>
  <si>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</si>
  <si>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</si>
  <si>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</si>
  <si>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</si>
  <si>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</si>
  <si>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</si>
  <si>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</si>
  <si>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</si>
  <si>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</si>
  <si>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</si>
  <si>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</si>
  <si>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</si>
  <si>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</si>
  <si>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</si>
  <si>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</si>
  <si>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</si>
  <si>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</si>
  <si>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</si>
  <si>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</si>
  <si>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</si>
  <si>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</si>
  <si>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</si>
  <si>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</si>
  <si>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</si>
  <si>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</si>
  <si>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</si>
  <si>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</si>
  <si>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</si>
  <si>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</si>
  <si>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</si>
  <si>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</si>
  <si>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</si>
  <si>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</si>
  <si>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</si>
  <si>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</si>
  <si>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</si>
  <si>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</si>
  <si>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</si>
  <si>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</si>
  <si>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</si>
  <si>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</si>
  <si>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</si>
  <si>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</si>
  <si>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</si>
  <si>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</si>
  <si>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</si>
  <si>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</si>
  <si>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</si>
  <si>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</si>
  <si>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</si>
  <si>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</si>
  <si>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</si>
  <si>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</si>
  <si>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</si>
  <si>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</si>
  <si>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</si>
  <si>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</si>
  <si>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</si>
  <si>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</si>
  <si>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</si>
  <si>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</si>
  <si>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</si>
  <si>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</si>
  <si>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</si>
  <si>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</si>
  <si>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</si>
  <si>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</si>
  <si>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</si>
  <si>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</si>
  <si>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</si>
  <si>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</si>
  <si>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</si>
  <si>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</si>
  <si>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</si>
  <si>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</si>
  <si>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</si>
  <si>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</si>
  <si>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</si>
  <si>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</si>
  <si>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</si>
  <si>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</si>
  <si>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</si>
  <si>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</si>
  <si>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</si>
  <si>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</si>
  <si>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</si>
  <si>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</si>
  <si>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</si>
  <si>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</si>
  <si>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</si>
  <si>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</si>
  <si>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</si>
  <si>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</si>
  <si>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</si>
  <si>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</si>
  <si>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</si>
  <si>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</si>
  <si>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</si>
  <si>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</si>
  <si>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</si>
  <si>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</si>
  <si>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</si>
  <si>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</si>
  <si>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</si>
  <si>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</si>
  <si>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</si>
  <si>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</si>
  <si>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</si>
  <si>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</si>
  <si>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</si>
  <si>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</si>
  <si>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</si>
  <si>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</si>
  <si>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</si>
  <si>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</si>
  <si>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</si>
  <si>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</si>
  <si>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</si>
  <si>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</si>
  <si>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</si>
  <si>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</si>
  <si>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</si>
  <si>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</si>
  <si>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</si>
  <si>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</si>
  <si>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</si>
  <si>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</si>
  <si>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</si>
  <si>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</si>
  <si>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</si>
  <si>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</si>
  <si>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</si>
  <si>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</si>
  <si>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</si>
  <si>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</si>
  <si>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</si>
  <si>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</si>
  <si>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</si>
  <si>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</si>
  <si>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</si>
  <si>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</si>
  <si>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</si>
  <si>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</si>
  <si>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</si>
  <si>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</si>
  <si>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</si>
  <si>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</si>
  <si>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</si>
  <si>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</si>
  <si>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</si>
  <si>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</si>
  <si>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</si>
  <si>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</si>
  <si>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</si>
  <si>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</si>
  <si>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</si>
  <si>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</si>
  <si>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</si>
  <si>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</si>
  <si>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</si>
  <si>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</si>
  <si>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</si>
  <si>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</si>
  <si>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</si>
  <si>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</si>
  <si>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</si>
  <si>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</si>
  <si>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</si>
  <si>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</si>
  <si>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</si>
  <si>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</si>
  <si>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</si>
  <si>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</si>
  <si>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</si>
  <si>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</si>
  <si>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</si>
  <si>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</si>
  <si>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</si>
  <si>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</si>
  <si>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</si>
  <si>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</si>
  <si>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</si>
  <si>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</si>
  <si>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</si>
  <si>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</si>
  <si>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</si>
  <si>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</si>
  <si>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</si>
  <si>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</si>
  <si>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</si>
  <si>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</si>
  <si>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</si>
  <si>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</si>
  <si>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</si>
  <si>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</si>
  <si>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</si>
  <si>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</si>
  <si>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</si>
  <si>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</si>
  <si>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</si>
  <si>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</si>
  <si>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</si>
  <si>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</si>
  <si>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</si>
  <si>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</si>
  <si>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</si>
  <si>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</si>
  <si>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</si>
  <si>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</si>
  <si>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</si>
  <si>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</si>
  <si>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</si>
  <si>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</si>
  <si>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</si>
  <si>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</si>
  <si>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</si>
  <si>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</si>
  <si>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</si>
  <si>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</si>
  <si>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</si>
  <si>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</si>
  <si>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</si>
  <si>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</si>
  <si>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</si>
  <si>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</si>
  <si>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</si>
  <si>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</si>
  <si>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</si>
  <si>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</si>
  <si>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</si>
  <si>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</si>
  <si>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</si>
  <si>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</si>
  <si>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</si>
  <si>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</si>
  <si>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</si>
  <si>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</si>
  <si>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</si>
  <si>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</si>
  <si>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</si>
  <si>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</si>
  <si>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</si>
  <si>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</si>
  <si>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</si>
  <si>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</si>
  <si>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</si>
  <si>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</si>
  <si>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</si>
  <si>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</si>
  <si>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</si>
  <si>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</si>
  <si>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</si>
  <si>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</si>
  <si>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</si>
  <si>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</si>
  <si>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</si>
  <si>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</si>
  <si>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</si>
  <si>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</si>
  <si>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</si>
  <si>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</si>
  <si>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</si>
  <si>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</si>
  <si>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</si>
  <si>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</si>
  <si>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</si>
  <si>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</si>
  <si>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</si>
  <si>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</si>
  <si>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</si>
  <si>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</si>
  <si>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</si>
  <si>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</si>
  <si>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</si>
  <si>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</si>
  <si>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</si>
  <si>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</si>
  <si>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</si>
  <si>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</si>
  <si>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</si>
  <si>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</si>
  <si>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</si>
  <si>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</si>
  <si>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</si>
  <si>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</si>
  <si>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</si>
  <si>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</si>
  <si>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</si>
  <si>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</si>
  <si>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</si>
  <si>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</si>
  <si>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</si>
  <si>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</si>
  <si>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</si>
  <si>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</si>
  <si>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</si>
  <si>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</si>
  <si>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</si>
  <si>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</si>
  <si>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</si>
  <si>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</si>
  <si>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</si>
  <si>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</si>
  <si>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</si>
  <si>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</si>
  <si>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</si>
  <si>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</si>
  <si>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</si>
  <si>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</si>
  <si>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</si>
  <si>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</si>
  <si>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</si>
  <si>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</si>
  <si>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</si>
  <si>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</si>
  <si>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</si>
  <si>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</si>
  <si>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</si>
  <si>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</si>
  <si>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</si>
  <si>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</si>
  <si>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</si>
  <si>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</si>
  <si>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</si>
  <si>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</si>
  <si>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</si>
  <si>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</si>
  <si>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</si>
  <si>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</si>
  <si>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</si>
  <si>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</si>
  <si>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</si>
  <si>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</si>
  <si>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</si>
  <si>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</si>
  <si>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</si>
  <si>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</si>
  <si>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</si>
  <si>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</si>
  <si>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</si>
  <si>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</si>
  <si>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</si>
  <si>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</si>
  <si>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</si>
  <si>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</si>
  <si>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</si>
  <si>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</si>
  <si>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</si>
  <si>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</si>
  <si>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</si>
  <si>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</si>
  <si>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</si>
  <si>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</si>
  <si>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</si>
  <si>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</si>
  <si>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</si>
  <si>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</si>
  <si>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</si>
  <si>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</si>
  <si>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</si>
  <si>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</si>
  <si>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</si>
  <si>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</si>
  <si>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</si>
  <si>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</si>
  <si>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</si>
  <si>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</si>
  <si>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</si>
  <si>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</si>
  <si>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</si>
  <si>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</si>
  <si>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</si>
  <si>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</si>
  <si>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</si>
  <si>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</si>
  <si>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</si>
  <si>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</si>
  <si>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</si>
  <si>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</si>
  <si>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</si>
  <si>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</si>
  <si>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</si>
  <si>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</si>
  <si>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</si>
  <si>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</si>
  <si>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</si>
  <si>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</si>
  <si>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</si>
  <si>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</si>
  <si>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</si>
  <si>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</si>
  <si>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</si>
  <si>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</si>
  <si>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</si>
  <si>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</si>
  <si>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</si>
  <si>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</si>
  <si>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</si>
  <si>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</si>
  <si>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</si>
  <si>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</si>
  <si>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</si>
  <si>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</si>
  <si>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</si>
  <si>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</si>
  <si>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</si>
  <si>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</si>
  <si>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</si>
  <si>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</si>
  <si>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</si>
  <si>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</si>
  <si>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</si>
  <si>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</si>
  <si>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</si>
  <si>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</si>
  <si>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</si>
  <si>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</si>
  <si>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</si>
  <si>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</si>
  <si>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</si>
  <si>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</si>
  <si>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</si>
  <si>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</si>
  <si>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</si>
  <si>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</si>
  <si>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</si>
  <si>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</si>
  <si>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</si>
  <si>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</si>
  <si>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</si>
  <si>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</si>
  <si>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</si>
  <si>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</si>
  <si>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</si>
  <si>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</si>
  <si>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</si>
  <si>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</si>
  <si>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</si>
  <si>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</si>
  <si>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</si>
  <si>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</si>
  <si>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</si>
  <si>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</si>
  <si>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</si>
  <si>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</si>
  <si>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</si>
  <si>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</si>
  <si>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</si>
  <si>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</si>
  <si>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</si>
  <si>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</si>
  <si>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</si>
  <si>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</si>
  <si>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</si>
  <si>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</si>
  <si>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</si>
  <si>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</si>
  <si>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</si>
  <si>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</si>
  <si>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</si>
  <si>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</si>
  <si>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</si>
  <si>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</si>
  <si>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</si>
  <si>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</si>
  <si>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</si>
  <si>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</si>
  <si>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</si>
  <si>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</si>
  <si>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</si>
  <si>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</si>
  <si>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</si>
  <si>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</si>
  <si>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</si>
  <si>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</si>
  <si>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</si>
  <si>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</si>
  <si>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</si>
  <si>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</si>
  <si>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</si>
  <si>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</si>
  <si>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</si>
  <si>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</si>
  <si>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</si>
  <si>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</si>
  <si>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</si>
  <si>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</si>
  <si>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</si>
  <si>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</si>
  <si>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</si>
  <si>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</si>
  <si>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</si>
  <si>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</si>
  <si>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</si>
  <si>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</si>
  <si>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</si>
  <si>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</si>
  <si>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</si>
  <si>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</si>
  <si>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</si>
  <si>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</si>
  <si>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</si>
  <si>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</si>
  <si>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</si>
  <si>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</si>
  <si>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</si>
  <si>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</si>
  <si>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</si>
  <si>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</si>
  <si>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</si>
  <si>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</si>
  <si>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</si>
  <si>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</si>
  <si>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</si>
  <si>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</si>
  <si>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</si>
  <si>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</si>
  <si>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</si>
  <si>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</si>
  <si>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</si>
  <si>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</si>
  <si>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</si>
  <si>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</si>
  <si>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</si>
  <si>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</si>
  <si>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</si>
  <si>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 xml:space="preserve">Polyline break </t>
  </si>
  <si>
    <t>Bing Maps route detail level</t>
  </si>
  <si>
    <t>[1, 20]</t>
  </si>
  <si>
    <t>[5, 200]</t>
  </si>
  <si>
    <t>[0, 10]</t>
  </si>
  <si>
    <t>Please enter an integer from 0 to 10</t>
  </si>
  <si>
    <t>Lütfen 0 ile 10 arasında bir tam sayı girin</t>
  </si>
  <si>
    <t>Bing Haritalar rota ayrıntı düzeyi</t>
  </si>
  <si>
    <t xml:space="preserve">Çoklu çizgi sonu </t>
  </si>
  <si>
    <t>Bitte geben Sie eine ganze Zahl von 0 bis 10 ein</t>
  </si>
  <si>
    <t>Polylinienbruch</t>
  </si>
  <si>
    <t>Detailebene der Bing Maps-Route</t>
  </si>
  <si>
    <t>Ingrese un número entero de 0 a 10</t>
  </si>
  <si>
    <t>Rotura de polilínea</t>
  </si>
  <si>
    <t>Nivel de detalle de la ruta de Bing Maps</t>
  </si>
  <si>
    <t>Veuillez saisir un nombre entier de 0 à 10</t>
  </si>
  <si>
    <t>Rupture de polyligne</t>
  </si>
  <si>
    <t>Niveau de détail de l'itinéraire Bing Maps</t>
  </si>
  <si>
    <t>Per favore inserisci un numero intero da 0 a 10</t>
  </si>
  <si>
    <t>Interruzione polilinea</t>
  </si>
  <si>
    <t>Livello di dettaglio del percorso di Bing Maps</t>
  </si>
  <si>
    <t>Sì</t>
  </si>
  <si>
    <t>Insira um número inteiro de 0 a 10</t>
  </si>
  <si>
    <t>Quebra de polilinha</t>
  </si>
  <si>
    <t>Nível de detalhe da rota do Bing Maps</t>
  </si>
  <si>
    <t>الرجاء إدخال عدد صحيح من 0 إلى 10</t>
  </si>
  <si>
    <t>كسر متعدد الخطوط</t>
  </si>
  <si>
    <t>مستوى تفاصيل مسار خرائط Bing</t>
  </si>
  <si>
    <t>Harap masukkan bilangan bulat dari 0 hingga 10</t>
  </si>
  <si>
    <t>istirahat polyline</t>
  </si>
  <si>
    <t>Tingkat detail rute Bing Maps</t>
  </si>
  <si>
    <t>براہ کرم 0 سے 10 تک ایک عددی درج کریں</t>
  </si>
  <si>
    <t>پولی لائن کا توڑ</t>
  </si>
  <si>
    <t>بنگ میپس کے راستے کی تفصیل کی سطح</t>
  </si>
  <si>
    <t>দয়া করে 0 থেকে 10 পর্যন্ত পূর্ণসংখ্যা প্রবেশ করান</t>
  </si>
  <si>
    <t>পললাইন বিরতি</t>
  </si>
  <si>
    <t>বিং মানচিত্রের রুটের বিশদ স্তর</t>
  </si>
  <si>
    <t>Tafadhali ingiza nambari kamili kutoka 0 hadi 10</t>
  </si>
  <si>
    <t>Polyline kuvunja</t>
  </si>
  <si>
    <t>Kiwango cha maelezo ya njia ya Ramani za Bing</t>
  </si>
  <si>
    <t>لطفاً یک عدد صحیح از 0 تا 10 وارد کنید</t>
  </si>
  <si>
    <t>استراحت پلی لاین</t>
  </si>
  <si>
    <t>سطح جزئیات مسیر Bing Maps</t>
  </si>
  <si>
    <t>Sila masukkan bilangan bulat dari 0 hingga 10</t>
  </si>
  <si>
    <t>Pecahan polyline</t>
  </si>
  <si>
    <t>Tahap perincian laluan Peta Bing</t>
  </si>
  <si>
    <t>All</t>
  </si>
  <si>
    <t>Semua</t>
  </si>
  <si>
    <t>همه</t>
  </si>
  <si>
    <t>Wote</t>
  </si>
  <si>
    <t>সব</t>
  </si>
  <si>
    <t>سب</t>
  </si>
  <si>
    <t>الجميع</t>
  </si>
  <si>
    <t>Tudo</t>
  </si>
  <si>
    <t>Tutto</t>
  </si>
  <si>
    <t>Toute</t>
  </si>
  <si>
    <t>Todos</t>
  </si>
  <si>
    <t>Alle</t>
  </si>
  <si>
    <t>Tümü</t>
  </si>
  <si>
    <t>Display</t>
  </si>
  <si>
    <t>Paparan</t>
  </si>
  <si>
    <t>نمایش دادن</t>
  </si>
  <si>
    <t>Onyesha</t>
  </si>
  <si>
    <t>প্রদর্শন</t>
  </si>
  <si>
    <t>ڈسپلے</t>
  </si>
  <si>
    <t>Menampilkan</t>
  </si>
  <si>
    <t>عرض</t>
  </si>
  <si>
    <t>Mostrar</t>
  </si>
  <si>
    <t>Schermo</t>
  </si>
  <si>
    <t>Afficher</t>
  </si>
  <si>
    <t>Anzeige</t>
  </si>
  <si>
    <t>Görüntüle</t>
  </si>
  <si>
    <t>Developed by Dr Güneş Erdoğan, 2020.</t>
  </si>
  <si>
    <t>School of Management, University of Bath.</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</si>
  <si>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</si>
  <si>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exceeds its capacity.</t>
  </si>
  <si>
    <t xml:space="preserve"> überschreitet seine Kapazität.</t>
  </si>
  <si>
    <t xml:space="preserve"> kapasitesini aşıyor.</t>
  </si>
  <si>
    <t xml:space="preserve"> excede su capacidad.</t>
  </si>
  <si>
    <t xml:space="preserve"> dépasse sa capacité.</t>
  </si>
  <si>
    <t xml:space="preserve"> supera la sua capacità.</t>
  </si>
  <si>
    <t xml:space="preserve"> excede sua capacidade.</t>
  </si>
  <si>
    <t>يفوق قدرتها.</t>
  </si>
  <si>
    <t>melebihi kapasitasnya.</t>
  </si>
  <si>
    <t>اپنی صلاحیت سے زیادہ</t>
  </si>
  <si>
    <t>তার ধারণক্ষমতা অতিক্রম করে।</t>
  </si>
  <si>
    <t xml:space="preserve"> huzidi uwezo wake.</t>
  </si>
  <si>
    <t>بیش از ظرفیت خود است</t>
  </si>
  <si>
    <t xml:space="preserve"> melebihi kemampuannya.</t>
  </si>
  <si>
    <t>5.2. Animate Visualization Worksheet</t>
  </si>
  <si>
    <t>customButton17</t>
  </si>
  <si>
    <t>5.2. Görselleştirme Çalışma Sayfasını Canlandır</t>
  </si>
  <si>
    <t>5.2. Arbeitsblatt zur Visualisierung animieren</t>
  </si>
  <si>
    <t>5.2. Hoja de trabajo de visualización animada</t>
  </si>
  <si>
    <t>5.2. Feuille de travail de visualisation animée</t>
  </si>
  <si>
    <t>5.2. Foglio di lavoro per la visualizzazione animata</t>
  </si>
  <si>
    <t>5.2. Planilha de visualização do Animate</t>
  </si>
  <si>
    <t>5.2 تحريك ورقة عمل التصور</t>
  </si>
  <si>
    <t>5.2. Lembar Kerja Visualisasi Animasi</t>
  </si>
  <si>
    <t>5.2۔ اینیمیٹ ویزولائزیشن ورک شیٹ۔</t>
  </si>
  <si>
    <t>5.2। অ্যানিমেট ভিজুয়ালাইজেশন ওয়ার্কশীট</t>
  </si>
  <si>
    <t>5.2. Kuhuisha Karatasi ya Utaftaji</t>
  </si>
  <si>
    <t>5.2 کاربرگ تجسم سازی متحرک</t>
  </si>
  <si>
    <t>5.2. Lembaran Kerja Visualisasi Animasi</t>
  </si>
  <si>
    <t>Visualization worksheet setup complete.</t>
  </si>
  <si>
    <t>Animation complete.</t>
  </si>
  <si>
    <t xml:space="preserve">, step </t>
  </si>
  <si>
    <t xml:space="preserve">, vehicle </t>
  </si>
  <si>
    <t xml:space="preserve">, vehicle type </t>
  </si>
  <si>
    <t xml:space="preserve">This will take up to </t>
  </si>
  <si>
    <t xml:space="preserve"> seconds. You can speed up the animation by pressing (or holding down) the &lt;Esc&gt; key. Do you want to continue?</t>
  </si>
  <si>
    <t>Worksheet 5.Visualization must exist for the solution worksheet to be created.</t>
  </si>
  <si>
    <t>Penyediaan lembaran kerja visualisasi selesai.</t>
  </si>
  <si>
    <t>Animasi selesai.</t>
  </si>
  <si>
    <t>, langkah</t>
  </si>
  <si>
    <t>, kenderaan</t>
  </si>
  <si>
    <t>, jenis kenderaan</t>
  </si>
  <si>
    <t>Ini akan memakan masa sehingga</t>
  </si>
  <si>
    <t xml:space="preserve">  saat. Anda boleh mempercepat animasi dengan menekan (atau menahan) kekunci &lt;Esc&gt;. Adakah anda mahu meneruskan?</t>
  </si>
  <si>
    <t>Lembaran Kerja 5. Visualisasi mesti ada agar lembaran kerja penyelesaian dibuat.</t>
  </si>
  <si>
    <t>تنظیم کاربرگ تجسم کامل شد.</t>
  </si>
  <si>
    <t>انیمیشن کامل شد.</t>
  </si>
  <si>
    <t>، گام</t>
  </si>
  <si>
    <t>، وسیله نقلیه</t>
  </si>
  <si>
    <t>، نوع وسیله نقلیه</t>
  </si>
  <si>
    <t>این کار تا</t>
  </si>
  <si>
    <t xml:space="preserve">  ثانیه می توانید با فشار دادن (یا نگه داشتن) کلید &lt;Esc&gt; سرعت حرکت را افزایش دهید. می خواهید ادامه دهید؟</t>
  </si>
  <si>
    <t>کاربرگ 5. برای ایجاد کاربرگ راه حل باید تجسم وجود داشته باشد.</t>
  </si>
  <si>
    <t>Usanidi wa karatasi ya taswira umekamilika.</t>
  </si>
  <si>
    <t>Uhuishaji umekamilika.</t>
  </si>
  <si>
    <t>, hatua</t>
  </si>
  <si>
    <t>, gari</t>
  </si>
  <si>
    <t>, gari aina</t>
  </si>
  <si>
    <t>Hii itachukua hadi</t>
  </si>
  <si>
    <t xml:space="preserve">  sekunde. Unaweza kuharakisha uhuishaji kwa kubonyeza (au kushikilia) kitufe cha &lt;Esc&gt;. Je! Unataka kuendelea?</t>
  </si>
  <si>
    <t>Karatasi ya kazi 5. Uhakiki lazima uwepo ili karatasi ya suluhisho iundwe.</t>
  </si>
  <si>
    <t>ভিজ্যুয়ালাইজেশন ওয়ার্কশীট সেটআপ সম্পূর্ণ।</t>
  </si>
  <si>
    <t>অ্যানিমেশন সম্পূর্ণ।</t>
  </si>
  <si>
    <t>, ধাপ</t>
  </si>
  <si>
    <t>, যানবাহন</t>
  </si>
  <si>
    <t>, গাড়ির ধরন</t>
  </si>
  <si>
    <t>এই পর্যন্ত লাগবে</t>
  </si>
  <si>
    <t xml:space="preserve">  সেকেন্ড আপনি &lt;Esc&gt; কী টিপে (বা চেপে ধরে) অ্যানিমেশনের গতি বাড়িয়ে দিতে পারেন। আপনি কি অবিরত করতে চান?</t>
  </si>
  <si>
    <t>ওয়ার্কশীট 5. সমাধান কার্যপত্রক তৈরির জন্য ভিজ্যুয়ালাইজেশন থাকতে হবে।</t>
  </si>
  <si>
    <t>ویژولائزیشن ورک شیٹ سیٹ اپ مکمل۔</t>
  </si>
  <si>
    <t>حرکت پذیری مکمل</t>
  </si>
  <si>
    <t>، قدم</t>
  </si>
  <si>
    <t>، گاڑی</t>
  </si>
  <si>
    <t>، گاڑی کی قسم</t>
  </si>
  <si>
    <t>یہ تک لے جائے گا</t>
  </si>
  <si>
    <t xml:space="preserve">  سیکنڈ آپ &lt;Esc&gt; کی کو دباکر (یا دبائے رکھ کر) حرکت پذیری کو تیز کرسکتے ہیں۔ کیا آپ جاری رکھنا چاہتے ہیں؟</t>
  </si>
  <si>
    <t>ورک شیٹ 5. حل ورک شیٹ بنانے کے لیے ویزولائزیشن کا ہونا ضروری ہے۔</t>
  </si>
  <si>
    <t>Penyiapan lembar kerja visualisasi selesai.</t>
  </si>
  <si>
    <t>, melangkah</t>
  </si>
  <si>
    <t>, kendaraan</t>
  </si>
  <si>
    <t>, jenis kendaraan</t>
  </si>
  <si>
    <t>Ini akan memakan waktu hingga</t>
  </si>
  <si>
    <t xml:space="preserve">  detik. Anda dapat mempercepat animasi dengan menekan (atau menahan) tombol &lt;Esc&gt;. Apakah Anda ingin melanjutkan?</t>
  </si>
  <si>
    <t>Lembar Kerja 5.Visualisasi harus ada untuk lembar kerja solusi yang akan dibuat.</t>
  </si>
  <si>
    <t>اكتمل إعداد ورقة عمل التصور.</t>
  </si>
  <si>
    <t>اكتملت الرسوم المتحركة.</t>
  </si>
  <si>
    <t>، خطوة</t>
  </si>
  <si>
    <t>، مركبة</t>
  </si>
  <si>
    <t>، نوع السيارة</t>
  </si>
  <si>
    <t>هذا سوف يستغرق ما يصل إلى</t>
  </si>
  <si>
    <t xml:space="preserve">  ثواني. يمكنك تسريع الرسم المتحرك بالضغط (أو الضغط باستمرار) على مفتاح &lt;Esc&gt;. هل تريد الاستمرار؟</t>
  </si>
  <si>
    <t>ورقة العمل 5.يجب أن يكون التصور موجودًا حتى يتم إنشاء ورقة عمل الحل.</t>
  </si>
  <si>
    <t>Configuração da planilha de visualização concluída.</t>
  </si>
  <si>
    <t>Animação concluída.</t>
  </si>
  <si>
    <t>, Passo</t>
  </si>
  <si>
    <t>, veículo</t>
  </si>
  <si>
    <t>, Tipo de Veículo</t>
  </si>
  <si>
    <t>Isso vai demorar até</t>
  </si>
  <si>
    <t xml:space="preserve">  segundos. Você pode acelerar a animação pressionando (ou mantendo pressionada) a tecla &lt;Esc&gt;. Você quer continuar?</t>
  </si>
  <si>
    <t>Planilha 5. A visualização deve existir para que a planilha de solução seja criada.</t>
  </si>
  <si>
    <t>Configurazione del foglio di lavoro di visualizzazione completata.</t>
  </si>
  <si>
    <t>Animazione completata.</t>
  </si>
  <si>
    <t>, fare un passo</t>
  </si>
  <si>
    <t>, veicolo</t>
  </si>
  <si>
    <t>, tipo di veicolo</t>
  </si>
  <si>
    <t>Questo richiederà fino a</t>
  </si>
  <si>
    <t xml:space="preserve">  secondi. È possibile velocizzare l'animazione premendo (o tenendo premuto) il tasto &lt;Esc&gt;. Vuoi continuare?</t>
  </si>
  <si>
    <t>Foglio di lavoro 5.La visualizzazione deve esistere per creare il foglio di lavoro della soluzione.</t>
  </si>
  <si>
    <t>Configuration de la feuille de calcul de visualisation terminée.</t>
  </si>
  <si>
    <t>Animation terminée.</t>
  </si>
  <si>
    <t>, étape</t>
  </si>
  <si>
    <t>, véhicule</t>
  </si>
  <si>
    <t>, Type de véhicule</t>
  </si>
  <si>
    <t>Cela prendra jusqu'à</t>
  </si>
  <si>
    <t xml:space="preserve">  secondes. Vous pouvez accélérer l'animation en appuyant (ou en maintenant enfoncée) la touche &lt;Esc&gt;. Voulez-vous continuer?</t>
  </si>
  <si>
    <t>Feuille de calcul 5.La visualisation doit exister pour que la feuille de calcul de la solution soit créée.</t>
  </si>
  <si>
    <t>Se completó la configuración de la hoja de trabajo de visualización.</t>
  </si>
  <si>
    <t>Animación completa.</t>
  </si>
  <si>
    <t>, paso</t>
  </si>
  <si>
    <t>, vehículo</t>
  </si>
  <si>
    <t>, tipo de vehiculo</t>
  </si>
  <si>
    <t>Esto tomará hasta</t>
  </si>
  <si>
    <t xml:space="preserve">  segundos. Puede acelerar la animación presionando (o manteniendo presionada) la tecla &lt;Esc&gt;. ¿Quieres continuar?</t>
  </si>
  <si>
    <t>Hoja de trabajo 5. Debe existir visualización para que se cree la hoja de trabajo de la solución.</t>
  </si>
  <si>
    <t>Einrichtung des Visualisierungsarbeitsblatts abgeschlossen.</t>
  </si>
  <si>
    <t>Animation abgeschlossen.</t>
  </si>
  <si>
    <t>, Schritt</t>
  </si>
  <si>
    <t>, Fahrzeug</t>
  </si>
  <si>
    <t>, Fahrzeugtyp</t>
  </si>
  <si>
    <t>Dies dauert bis zu</t>
  </si>
  <si>
    <t xml:space="preserve">  Sekunden. Sie können die Animation beschleunigen, indem Sie die &lt;Esc&gt;-Taste drücken (oder gedrückt halten). Wollen Sie fortfahren?</t>
  </si>
  <si>
    <t>Arbeitsblatt 5. Die Visualisierung muss vorhanden sein, damit das Lösungsarbeitsblatt erstellt werden kann.</t>
  </si>
  <si>
    <t>Görselleştirme çalışma sayfası kurulumu tamamlandı.</t>
  </si>
  <si>
    <t>Animasyon tamamlandı.</t>
  </si>
  <si>
    <t>, adım</t>
  </si>
  <si>
    <t>, araç</t>
  </si>
  <si>
    <t>, araç tipi</t>
  </si>
  <si>
    <t>Bu kadar sürecek</t>
  </si>
  <si>
    <t xml:space="preserve">  saniye. &lt;Esc&gt; tuşuna basarak (veya basılı tutarak) animasyonu hızlandırabilirsiniz. Devam etmek istiyor musun?</t>
  </si>
  <si>
    <t>Çalışma Sayfası 5. Oluşturulacak çözüm çalışma sayfası için görselleştirme bulunmalıdır.</t>
  </si>
  <si>
    <t>Driving</t>
  </si>
  <si>
    <t>Truck</t>
  </si>
  <si>
    <t>Walking</t>
  </si>
  <si>
    <t>Bing Maps travel mode</t>
  </si>
  <si>
    <t>Yürüme</t>
  </si>
  <si>
    <t>Bing Haritalar seyahat modu</t>
  </si>
  <si>
    <t>Binek araç</t>
  </si>
  <si>
    <t>Kamyon</t>
  </si>
  <si>
    <t>Fahren</t>
  </si>
  <si>
    <t>Lastwagen</t>
  </si>
  <si>
    <t>Gehen</t>
  </si>
  <si>
    <t>Bing Maps-Reisemodus</t>
  </si>
  <si>
    <t>Conduciendo</t>
  </si>
  <si>
    <t>Camión</t>
  </si>
  <si>
    <t>Caminando</t>
  </si>
  <si>
    <t>Modo de viaje de Bing Maps</t>
  </si>
  <si>
    <t>Conduite</t>
  </si>
  <si>
    <t>Camion</t>
  </si>
  <si>
    <t>Marche à pied</t>
  </si>
  <si>
    <t>Mode de voyage Bing Maps</t>
  </si>
  <si>
    <t>Guida</t>
  </si>
  <si>
    <t>A piedi</t>
  </si>
  <si>
    <t>Modalità viaggio Bing Maps</t>
  </si>
  <si>
    <t>Dirigindo</t>
  </si>
  <si>
    <t>Caminhão</t>
  </si>
  <si>
    <t>Andando</t>
  </si>
  <si>
    <t>Modo de viagem Bing Maps</t>
  </si>
  <si>
    <t>القيادة</t>
  </si>
  <si>
    <t>شاحنة</t>
  </si>
  <si>
    <t>المشي</t>
  </si>
  <si>
    <t>وضع السفر في خرائط Bing</t>
  </si>
  <si>
    <t>Menyetir</t>
  </si>
  <si>
    <t>Truk</t>
  </si>
  <si>
    <t>Sedang berjalan</t>
  </si>
  <si>
    <t>Mode perjalanan Bing Maps</t>
  </si>
  <si>
    <t>ڈرائیونگ</t>
  </si>
  <si>
    <t>ٹرک</t>
  </si>
  <si>
    <t>چلنا</t>
  </si>
  <si>
    <t>بنگ میپس ٹریول موڈ</t>
  </si>
  <si>
    <t>পরিচালনা</t>
  </si>
  <si>
    <t>ট্রাক</t>
  </si>
  <si>
    <t>হাঁটা</t>
  </si>
  <si>
    <t>Bing মানচিত্র ভ্রমণ মোড</t>
  </si>
  <si>
    <t>Kuendesha gari</t>
  </si>
  <si>
    <t>Lori</t>
  </si>
  <si>
    <t>Kutembea</t>
  </si>
  <si>
    <t>Hali ya usafiri ya Ramani za Bing</t>
  </si>
  <si>
    <t>رانندگی</t>
  </si>
  <si>
    <t>کامیون</t>
  </si>
  <si>
    <t>پیاده روی</t>
  </si>
  <si>
    <t>حالت سفر نقشه های بینگ</t>
  </si>
  <si>
    <t>Memandu</t>
  </si>
  <si>
    <t>berjalan</t>
  </si>
  <si>
    <t>Mod perjalanan Peta Bing</t>
  </si>
  <si>
    <t>OP LIMA</t>
  </si>
  <si>
    <t>ZARATE</t>
  </si>
  <si>
    <t>JIRON BOLOGNESI</t>
  </si>
  <si>
    <t>Rotura de polilínea1 Latitud (y)</t>
  </si>
  <si>
    <t>Rotura de polilínea1 Longitud (x)</t>
  </si>
  <si>
    <t>Rotura de polilínea2 Latitud (y)</t>
  </si>
  <si>
    <t>Rotura de polilínea2 Longitud (x)</t>
  </si>
  <si>
    <t>Rotura de polilínea3 Latitud (y)</t>
  </si>
  <si>
    <t>Rotura de polilínea3 Longitud (x)</t>
  </si>
  <si>
    <t>oG5ef1Ak6oJba5xnNrEb~fR2nH3tEHvhugCDvF7c97A~ArL-Y07oSKOs3lnHveyYlktM8ixTPTkEwGFRb6l5xskHxoxMY0qcTsfxslHSTf58</t>
  </si>
  <si>
    <t>LOS ROBLES</t>
  </si>
  <si>
    <t>MUNICIPALIDAD INDEPENDENCIA</t>
  </si>
  <si>
    <t>SAN MARCOS</t>
  </si>
  <si>
    <t>BCP CHORRILLOS</t>
  </si>
  <si>
    <t>LA MOLINA</t>
  </si>
  <si>
    <t>Distancias de conducción de Bing Maps (km) / Duraciones de conducción de Bing Maps / Conduciendo</t>
  </si>
  <si>
    <t>T1</t>
  </si>
  <si>
    <t>T2</t>
  </si>
  <si>
    <t>T3</t>
  </si>
  <si>
    <t>T4</t>
  </si>
  <si>
    <t>T5</t>
  </si>
  <si>
    <t>T6</t>
  </si>
  <si>
    <t>T7</t>
  </si>
  <si>
    <t>T8</t>
  </si>
  <si>
    <t>V1 (T1)</t>
  </si>
  <si>
    <t>V2 (T2)</t>
  </si>
  <si>
    <t>V3 (T3)</t>
  </si>
  <si>
    <t>V4 (T4)</t>
  </si>
  <si>
    <t>V5 (T5)</t>
  </si>
  <si>
    <t>ARNALDO MARQUEZ</t>
  </si>
  <si>
    <t>AVIACION</t>
  </si>
  <si>
    <t>BEX DIGITAL SURQUILLO</t>
  </si>
  <si>
    <t>COMANDANTE ESPINAR II</t>
  </si>
  <si>
    <t>EL POLO</t>
  </si>
  <si>
    <t>FIORI</t>
  </si>
  <si>
    <t>FRAY LUIS DE LEÓN</t>
  </si>
  <si>
    <t>GAMARRA</t>
  </si>
  <si>
    <t>GAMARRA MODA PLAZA</t>
  </si>
  <si>
    <t>LA SALLE</t>
  </si>
  <si>
    <t>LAS GARDENIAS</t>
  </si>
  <si>
    <t>MAP SANTA ANITA</t>
  </si>
  <si>
    <t>MARANGA</t>
  </si>
  <si>
    <t>MEXICO</t>
  </si>
  <si>
    <t>NAYLAMP</t>
  </si>
  <si>
    <t>PABLO BERMUDEZ</t>
  </si>
  <si>
    <t>PARQUE CANEPA</t>
  </si>
  <si>
    <t>PARQUE SAN JOSE</t>
  </si>
  <si>
    <t>PLAZA SAN MIGUEL</t>
  </si>
  <si>
    <t>PRIMAVERA MONTERRICO</t>
  </si>
  <si>
    <t>SALAVERRY</t>
  </si>
  <si>
    <t>SALVADOR ALLENDE</t>
  </si>
  <si>
    <t>SAN BORJA</t>
  </si>
  <si>
    <t>SAN BORJA SUR</t>
  </si>
  <si>
    <t>SANTA ANITA</t>
  </si>
  <si>
    <t>SANTO DOMINGO</t>
  </si>
  <si>
    <t>STRIP CENTER ALAMEDA SUR</t>
  </si>
  <si>
    <t>STRIP CENTER GUARDIA CIVIL</t>
  </si>
  <si>
    <t>SUCRE</t>
  </si>
  <si>
    <t>VILLA MARIA DEL TRIUNFO</t>
  </si>
  <si>
    <t>V6 (T1)</t>
  </si>
  <si>
    <t>V7 (T2)</t>
  </si>
  <si>
    <t>V8 (T1)</t>
  </si>
  <si>
    <t>MIGUEL</t>
  </si>
  <si>
    <t>NIESSER NIEVES</t>
  </si>
  <si>
    <t>JUAN FRANCISCO</t>
  </si>
  <si>
    <t>JULIO SOTO</t>
  </si>
  <si>
    <t>ALEXIS/ANTONY</t>
  </si>
  <si>
    <t>CARLOS VILLAR</t>
  </si>
  <si>
    <t xml:space="preserve"> Arriola 1</t>
  </si>
  <si>
    <t xml:space="preserve"> Arriola 2</t>
  </si>
  <si>
    <t xml:space="preserve"> EESS </t>
  </si>
  <si>
    <t xml:space="preserve"> Esq. Av. César Vallejo c</t>
  </si>
  <si>
    <t xml:space="preserve"> METRO LA MARINA</t>
  </si>
  <si>
    <t xml:space="preserve"> Primax Centauro Venezuela</t>
  </si>
  <si>
    <t xml:space="preserve"> Primax Javier Prado</t>
  </si>
  <si>
    <t xml:space="preserve"> REDFIN TIENDA MASS LAS FLORES</t>
  </si>
  <si>
    <t xml:space="preserve"> Repsol Arequipa</t>
  </si>
  <si>
    <t xml:space="preserve"> Repsol Parodi</t>
  </si>
  <si>
    <t xml:space="preserve"> Repsol Stop</t>
  </si>
  <si>
    <t xml:space="preserve"> Repsol Tenaud</t>
  </si>
  <si>
    <t xml:space="preserve"> Wong la planicie Av. Ricardo Elías Aparicio 715</t>
  </si>
  <si>
    <t>AGENCIA BCP LURIN7</t>
  </si>
  <si>
    <t>ANGAMOS</t>
  </si>
  <si>
    <t>ANGELICA GAMARRA</t>
  </si>
  <si>
    <t>ANTUNEZ DE MAYOLO</t>
  </si>
  <si>
    <t>ARENALES</t>
  </si>
  <si>
    <t>ATM EESS Primax</t>
  </si>
  <si>
    <t>ATM Kimberly Clark</t>
  </si>
  <si>
    <t>ATM Strip Center San Miguel</t>
  </si>
  <si>
    <t xml:space="preserve">ATM Telefónica del Perú </t>
  </si>
  <si>
    <t>ATM Tottus Pachacutec</t>
  </si>
  <si>
    <t>ATM Wong Chacarilla</t>
  </si>
  <si>
    <t>ATM. Cailloma 4</t>
  </si>
  <si>
    <t>ATM.3M Perú</t>
  </si>
  <si>
    <t xml:space="preserve">ATM.Agencia BCP </t>
  </si>
  <si>
    <t>ATM.Agencia BCP – Cañete 6</t>
  </si>
  <si>
    <t>ATM.ByS Brasil Magdalena</t>
  </si>
  <si>
    <t>ATM.C.C Megaplaza Huaral</t>
  </si>
  <si>
    <t>ATM.C.C. Real Plaza Lima 2</t>
  </si>
  <si>
    <t>ATM.Carvajal Pamolsa</t>
  </si>
  <si>
    <t xml:space="preserve">ATM.EESS </t>
  </si>
  <si>
    <t>ATM.Hall Primax La Marina 2</t>
  </si>
  <si>
    <t>ATM.Hotel Westin</t>
  </si>
  <si>
    <t>ATM.Larcomar 2</t>
  </si>
  <si>
    <t>ATM.Market Crucero</t>
  </si>
  <si>
    <t>ATM.Municipalidad San Bartolo 2</t>
  </si>
  <si>
    <t>ATM.Redfin Av. Perú III</t>
  </si>
  <si>
    <t>ATM.Redfin Billinghurst</t>
  </si>
  <si>
    <t>ATM.Redfin Billinghurst 2</t>
  </si>
  <si>
    <t>ATM.Redfin Villa Maria 2</t>
  </si>
  <si>
    <t>ATM.San Blas 3</t>
  </si>
  <si>
    <t>ATM.Terminal Plaza Lima Norte 5</t>
  </si>
  <si>
    <t>ATM.Tottus San Luis</t>
  </si>
  <si>
    <t>ATM.Universidad de Piura</t>
  </si>
  <si>
    <t>atm.Universidad San Martin de PorresSANTA ANITA</t>
  </si>
  <si>
    <t>ATM.UPC MONTERRICO</t>
  </si>
  <si>
    <t>ATM.Urban Mall Viñedos</t>
  </si>
  <si>
    <t>ATMUniversidad Nacional Agraria La Molina</t>
  </si>
  <si>
    <t>ATOCONGO OPEN PLAZA</t>
  </si>
  <si>
    <t>ATOCONGO OPEN PLAZA 3</t>
  </si>
  <si>
    <t>AURORA</t>
  </si>
  <si>
    <t>Av. Raul Ferrero 1179 Urb. El Remanso</t>
  </si>
  <si>
    <t>BANCA PRIVADA PARDO Y ALIAGA</t>
  </si>
  <si>
    <t>BARRANCA</t>
  </si>
  <si>
    <t>BARRANCO</t>
  </si>
  <si>
    <t>BCP CAFE</t>
  </si>
  <si>
    <t>BCP LAB</t>
  </si>
  <si>
    <t>BCP LAB 1</t>
  </si>
  <si>
    <t>BELAUNDE</t>
  </si>
  <si>
    <t>BOLIVAR</t>
  </si>
  <si>
    <t>C.C Mall Aventura Santa Anita</t>
  </si>
  <si>
    <t>C.C. El Trigal</t>
  </si>
  <si>
    <t>C.C. Polvos de Higuereta</t>
  </si>
  <si>
    <t>C.C. PRIMAX BOLOGNESI</t>
  </si>
  <si>
    <t>C.C. Real Plaza Lima 5</t>
  </si>
  <si>
    <t>C.C. Royal Plaza 2</t>
  </si>
  <si>
    <t>CAILLOMA</t>
  </si>
  <si>
    <t>CAMACHO</t>
  </si>
  <si>
    <t>CAMINOS DEL INCA</t>
  </si>
  <si>
    <t>CANADA</t>
  </si>
  <si>
    <t>CANTA CALLAO OPEN PLAZA</t>
  </si>
  <si>
    <t>CANTO GRANDE</t>
  </si>
  <si>
    <t>CANTOLAO</t>
  </si>
  <si>
    <t>CAÑETE</t>
  </si>
  <si>
    <t>CAPON</t>
  </si>
  <si>
    <t>CAQUETA</t>
  </si>
  <si>
    <t>CASTRO IGLESIAS</t>
  </si>
  <si>
    <t>CC. LA RAMBLA SAN BORJA</t>
  </si>
  <si>
    <t>CENTRO AEREO COMERCIAL</t>
  </si>
  <si>
    <t>CENTRO CIVICO</t>
  </si>
  <si>
    <t>CHACARILLA</t>
  </si>
  <si>
    <t>CHACLACAYO</t>
  </si>
  <si>
    <t>CHAMA</t>
  </si>
  <si>
    <t>CHANCAY</t>
  </si>
  <si>
    <t>CHIMPU OCLLO</t>
  </si>
  <si>
    <t>CHOSICA</t>
  </si>
  <si>
    <t>CHOSICA PISO 1 ATM</t>
  </si>
  <si>
    <t>Clínica Javier Prado  Lim3Reg1</t>
  </si>
  <si>
    <t>Club Golf Los Inkas</t>
  </si>
  <si>
    <t>COLLIQUE</t>
  </si>
  <si>
    <t>COMANDANTE ESPINAR</t>
  </si>
  <si>
    <t>DEL AIRE</t>
  </si>
  <si>
    <t>DIAGONAL MIRAFLORES</t>
  </si>
  <si>
    <t>DOS DE MAYO</t>
  </si>
  <si>
    <t xml:space="preserve">EESS </t>
  </si>
  <si>
    <t>EESS Primax Hipodromo</t>
  </si>
  <si>
    <t>EESS Repsol Chacarilla</t>
  </si>
  <si>
    <t>EESS REPSOL SANTA MARIA</t>
  </si>
  <si>
    <t>EL AGUSTINO</t>
  </si>
  <si>
    <t>EL PINO</t>
  </si>
  <si>
    <t>EL SOL</t>
  </si>
  <si>
    <t>EMANCIPACION</t>
  </si>
  <si>
    <t>ENALTA ALDO</t>
  </si>
  <si>
    <t>ENALTA ARMENDARIZ</t>
  </si>
  <si>
    <t>ENALTA EL DERBY</t>
  </si>
  <si>
    <t>ENALTA HUB BENAVIDES</t>
  </si>
  <si>
    <t>ENALTA LOS ANGELES</t>
  </si>
  <si>
    <t>ENALTA REAL 8</t>
  </si>
  <si>
    <t>Esq. Av. César Vallejo c</t>
  </si>
  <si>
    <t>FAMILY OFFICE</t>
  </si>
  <si>
    <t>FAUCETT</t>
  </si>
  <si>
    <t>GRAU (LIMA)</t>
  </si>
  <si>
    <t>HABICH</t>
  </si>
  <si>
    <t>HB Precio Uno Barrios Altos</t>
  </si>
  <si>
    <t>HB Precio Uno Guardia Civil</t>
  </si>
  <si>
    <t>HIGUERETA</t>
  </si>
  <si>
    <t>HUACHO</t>
  </si>
  <si>
    <t>HUARAL</t>
  </si>
  <si>
    <t>HUAYCAN</t>
  </si>
  <si>
    <t>HUB GRAU</t>
  </si>
  <si>
    <t>HUB PYME PERU PLAZA</t>
  </si>
  <si>
    <t>HUERTOS DEL SUR</t>
  </si>
  <si>
    <t>IMPERIAL</t>
  </si>
  <si>
    <t>JOCKEY PLAZA</t>
  </si>
  <si>
    <t>Jockey Plaza Plazuela 1</t>
  </si>
  <si>
    <t>Jockey Plaza Plazuela 2</t>
  </si>
  <si>
    <t>JORGE BASADRE</t>
  </si>
  <si>
    <t>JOSE GALVEZ</t>
  </si>
  <si>
    <t>JUAN DE ALIAGA</t>
  </si>
  <si>
    <t>LA CALERA</t>
  </si>
  <si>
    <t>LA ENSENADA</t>
  </si>
  <si>
    <t>LA FONTANA</t>
  </si>
  <si>
    <t>LA MARINA OPEN PLAZA</t>
  </si>
  <si>
    <t>LA PLANICIE</t>
  </si>
  <si>
    <t>LA PUNTA</t>
  </si>
  <si>
    <t>LA RAMBLA BRASIL</t>
  </si>
  <si>
    <t>LAB 3</t>
  </si>
  <si>
    <t>LARCO</t>
  </si>
  <si>
    <t>LAS ALONDRAS</t>
  </si>
  <si>
    <t>LAS MALVINAS</t>
  </si>
  <si>
    <t>LOS DAMASCOS</t>
  </si>
  <si>
    <t>LOS VIÑEDOS</t>
  </si>
  <si>
    <t>LURIN</t>
  </si>
  <si>
    <t>MALL AVENTURA PLAZA BELLAVISTA</t>
  </si>
  <si>
    <t>MALL DEL SUR</t>
  </si>
  <si>
    <t>MALL PLAZA COMAS</t>
  </si>
  <si>
    <t>MALL SAN JUAN DE LURIGANCHO</t>
  </si>
  <si>
    <t>MATELLINI</t>
  </si>
  <si>
    <t>MEGA EXPRESS VILLA EL SALVADOR</t>
  </si>
  <si>
    <t>MEGAPLAZA I</t>
  </si>
  <si>
    <t>MENDIOLA</t>
  </si>
  <si>
    <t>MERCADERES</t>
  </si>
  <si>
    <t>MERCADO CENTRAL</t>
  </si>
  <si>
    <t>MERCADO DE FRUTAS</t>
  </si>
  <si>
    <t>MERCADO DE PRODUCTORES</t>
  </si>
  <si>
    <t>MESA REDONDA</t>
  </si>
  <si>
    <t>Metro Plaza Lima Sur</t>
  </si>
  <si>
    <t>METRO WIESSE</t>
  </si>
  <si>
    <t>Mi Banco Gamarra Matriz</t>
  </si>
  <si>
    <t>Mi Banco Villa el Salvador</t>
  </si>
  <si>
    <t>MINI AGENCIA TECSUP</t>
  </si>
  <si>
    <t>MINKA</t>
  </si>
  <si>
    <t>MIRAFLORES</t>
  </si>
  <si>
    <t>MONTERRICO</t>
  </si>
  <si>
    <t>MULTIPLAZA</t>
  </si>
  <si>
    <t>MUNICIPALIDAD DE VILLA EL SALVADOR</t>
  </si>
  <si>
    <t>MUSA</t>
  </si>
  <si>
    <t>NACIONES UNIDAS</t>
  </si>
  <si>
    <t>NARANJAL</t>
  </si>
  <si>
    <t>OPEN PLAZA ANGAMOS</t>
  </si>
  <si>
    <t>OVALO HIGUERETA</t>
  </si>
  <si>
    <t>PANADERIA DANILO</t>
  </si>
  <si>
    <t>PARDO Y ALIAGA</t>
  </si>
  <si>
    <t>PARQUE INDUSTRIAL (LIMA)</t>
  </si>
  <si>
    <t>PETIT THOUARS</t>
  </si>
  <si>
    <t>PEZET</t>
  </si>
  <si>
    <t>PLAZA 101</t>
  </si>
  <si>
    <t>PLAZA CIVICA VENTANILLA</t>
  </si>
  <si>
    <t>PLAZA LIMA NORTE</t>
  </si>
  <si>
    <t>PLAZA LIMA SUR</t>
  </si>
  <si>
    <t>PLAZA SAN MARTIN</t>
  </si>
  <si>
    <t>PLAZA UNION</t>
  </si>
  <si>
    <t>PLAZACENTER</t>
  </si>
  <si>
    <t>PRIMAVERA</t>
  </si>
  <si>
    <t>PRO</t>
  </si>
  <si>
    <t>PROCERES</t>
  </si>
  <si>
    <t>PUENTE PIEDRA</t>
  </si>
  <si>
    <t>PUNTO BCP ALICORP</t>
  </si>
  <si>
    <t>PUNTO BCP CHORRILLOS</t>
  </si>
  <si>
    <t>PUNTO BCP HOSPITAL FAP</t>
  </si>
  <si>
    <t>PUNTO BCP RISSO</t>
  </si>
  <si>
    <t>PUNTO BCP SANTA CLARA</t>
  </si>
  <si>
    <t>PUNTO REGATAS</t>
  </si>
  <si>
    <t>PURUCHUCO</t>
  </si>
  <si>
    <t>PYME PURUCHUCO</t>
  </si>
  <si>
    <t>RAUL FERRERO</t>
  </si>
  <si>
    <t>REAL PLAZA SALAVERRY</t>
  </si>
  <si>
    <t>Redfin Botica Peru Quilca</t>
  </si>
  <si>
    <t>Redfin Boticas Peru Pro</t>
  </si>
  <si>
    <t>Redfin EESS Primax</t>
  </si>
  <si>
    <t>Redfin El Progreso</t>
  </si>
  <si>
    <t>REDFIN LMC Santo Domingo</t>
  </si>
  <si>
    <t>Redfin Municipalidad de Comas</t>
  </si>
  <si>
    <t>Redfin Naranjal</t>
  </si>
  <si>
    <t>Redfin Ovalo Habich</t>
  </si>
  <si>
    <t>Redfin San Felipe</t>
  </si>
  <si>
    <t>Redfin Villa María 3</t>
  </si>
  <si>
    <t>Redfin Vitarte</t>
  </si>
  <si>
    <t>REPSOL LOS CEDROS DE VILLA</t>
  </si>
  <si>
    <t>REPSOLAURORA</t>
  </si>
  <si>
    <t>RICARDO PALMA</t>
  </si>
  <si>
    <t>SAN ANTONIO</t>
  </si>
  <si>
    <t>SAN FELIPE</t>
  </si>
  <si>
    <t>SAN JUAN DE LURIGANCHO</t>
  </si>
  <si>
    <t>SAN JUAN DE MIRAFLORES</t>
  </si>
  <si>
    <t>SAN LUIS</t>
  </si>
  <si>
    <t>SAN MARTIN DE PORRES</t>
  </si>
  <si>
    <t>SANTIAGO DE SURCO</t>
  </si>
  <si>
    <t>SANTIAGODESURCO2</t>
  </si>
  <si>
    <t>Super Agente Boticas Solidarias</t>
  </si>
  <si>
    <t>TARAPACA</t>
  </si>
  <si>
    <t>TOPITOP</t>
  </si>
  <si>
    <t>TORRE AMERICA</t>
  </si>
  <si>
    <t>Toto.Market</t>
  </si>
  <si>
    <t>TOTTUS GUIPOR</t>
  </si>
  <si>
    <t>Tottus Naciones Unidas</t>
  </si>
  <si>
    <t>TUPAC AMARU</t>
  </si>
  <si>
    <t>Universidad Autonoma del Peru</t>
  </si>
  <si>
    <t>Universidad Catolica 2</t>
  </si>
  <si>
    <t>Universidad de Piura</t>
  </si>
  <si>
    <t>URB. SAN FELIPE COMAS</t>
  </si>
  <si>
    <t>VARGAS MACHUCA</t>
  </si>
  <si>
    <t>VENEZUELA</t>
  </si>
  <si>
    <t>VIAMIX CHORRILLOS</t>
  </si>
  <si>
    <t>VILLA EL SALVADOR</t>
  </si>
  <si>
    <t>VILLA EL SALVADOR 3</t>
  </si>
  <si>
    <t>VITARTE</t>
  </si>
  <si>
    <t>WONG SOL DE LA MOLINA</t>
  </si>
  <si>
    <t>LIMA RIVERA NAVARRETE</t>
  </si>
  <si>
    <t>LIMA DOS DE MAYO</t>
  </si>
  <si>
    <t>LIMA SAN FELIPE</t>
  </si>
  <si>
    <t>LIMA PUEBLO LIBRE</t>
  </si>
  <si>
    <t>LIMA SAN MIGUEL</t>
  </si>
  <si>
    <t>LIMA BAZAR NAVAL</t>
  </si>
  <si>
    <t>LIMA MINKA</t>
  </si>
  <si>
    <t>LIMA COLONIAL</t>
  </si>
  <si>
    <t>LIMA SAN COLONIAL</t>
  </si>
  <si>
    <t>LIMA SALAVERRY</t>
  </si>
  <si>
    <t>LIMA MAGDALENA</t>
  </si>
  <si>
    <t>LIMA DASSO</t>
  </si>
  <si>
    <t>LIMA PARDO</t>
  </si>
  <si>
    <t>LIMA MIRAFLORES</t>
  </si>
  <si>
    <t>LIMA BARRANCO</t>
  </si>
  <si>
    <t>LIMA REGATAS</t>
  </si>
  <si>
    <t>LIMA CHORRILLOS</t>
  </si>
  <si>
    <t>LIMA PLAZA SUR</t>
  </si>
  <si>
    <t>LIMA LAS GARDENIAS</t>
  </si>
  <si>
    <t>LIMA HIGUERETA</t>
  </si>
  <si>
    <t>LIMA LA AURORA</t>
  </si>
  <si>
    <t>LIMA ANGAMOS OPEN PLAZA</t>
  </si>
  <si>
    <t>LIMA CHACARILLA</t>
  </si>
  <si>
    <t>PROVINCIA CAJAMARCA</t>
  </si>
  <si>
    <t>PROVINCIA CHICLAYO BALTA</t>
  </si>
  <si>
    <t>PROVINCIA CHICLAYO SANTA VICTORIA</t>
  </si>
  <si>
    <t>PROVINCIA CHIMBOTE</t>
  </si>
  <si>
    <t>PROVINCIA PIURA</t>
  </si>
  <si>
    <t>PROVINCIA PIURA MIRAFLORES</t>
  </si>
  <si>
    <t>PROVINCIA SULLANA</t>
  </si>
  <si>
    <t>PROVINCIA TRUJILLO</t>
  </si>
  <si>
    <t>PROVINCIA TRUJILLO LARCO</t>
  </si>
  <si>
    <t>LIMA MEDIFARMA ROCKYS VES</t>
  </si>
  <si>
    <t>PROVINCIA MEDIFARMA DAMPER TRUJILLO</t>
  </si>
  <si>
    <t>LIMA MEDIFARMA SAN ISIDRO</t>
  </si>
  <si>
    <t>LIMA LA MOLINA</t>
  </si>
  <si>
    <t>LIMA CAMACHO</t>
  </si>
  <si>
    <t>LIMA LA PLANICIE</t>
  </si>
  <si>
    <t>LIMA RISSO</t>
  </si>
  <si>
    <t>LIMA PLAZA NORTE</t>
  </si>
  <si>
    <t>LIMA LOS OLIVOS</t>
  </si>
  <si>
    <t>LIMA FIORI</t>
  </si>
  <si>
    <t>LIMA JOCKEY PLAZA</t>
  </si>
  <si>
    <t>LIMA EL POLO</t>
  </si>
  <si>
    <t>LIMA LA ENCALADA</t>
  </si>
  <si>
    <t>LIMA JIRON DE LA UNION</t>
  </si>
  <si>
    <t>LIMA CAPON</t>
  </si>
  <si>
    <t>LIMA BREÑA</t>
  </si>
  <si>
    <t>LIMA SAN JUAN DE LURIGANCHO</t>
  </si>
  <si>
    <t>LIMA SANTA ANITA C.B.</t>
  </si>
  <si>
    <t>LIMA MERCADO PRODUCTORES</t>
  </si>
  <si>
    <t>LIMA ALMACEN ZAFIROS</t>
  </si>
  <si>
    <t>LIMA SAN BORJA</t>
  </si>
  <si>
    <t>LIMA SAN LUIS</t>
  </si>
  <si>
    <t>LIMA JESUS MARIA</t>
  </si>
  <si>
    <t>PROVINCIA TARAPOTO</t>
  </si>
  <si>
    <t>PROVINCIA HUANCAYO</t>
  </si>
  <si>
    <t>PROVINCIA CUSCO LA CULTURA</t>
  </si>
  <si>
    <t>PROVINCIA CUSCO EL SOL</t>
  </si>
  <si>
    <t>PROVINCIA ICA</t>
  </si>
  <si>
    <t>PROVINCIA AREQUIPA CAYMA</t>
  </si>
  <si>
    <t>PROVINCIA AREQUIPA</t>
  </si>
  <si>
    <t>PROVINCIA PUCALLPA</t>
  </si>
  <si>
    <t>PROVINCIA JULIACA</t>
  </si>
  <si>
    <t>PROVINCIA TACNA</t>
  </si>
  <si>
    <t>PROVINCIA IQUITOS</t>
  </si>
  <si>
    <t>PROVINCIA CHINCHA</t>
  </si>
  <si>
    <t>LIMA MEDIFARMA CERCADO</t>
  </si>
  <si>
    <t>LIMA MEDIFARMA ATE</t>
  </si>
  <si>
    <t>BEC COLONIAL (Ahora es Bec Lima-Oeste 2)</t>
  </si>
  <si>
    <t>BEC LIMA</t>
  </si>
  <si>
    <t>BEC MIRAFLORES</t>
  </si>
  <si>
    <t>BEC SANTA CRUZ (Antes Bec Camino Real)</t>
  </si>
  <si>
    <t>OFICINA ANGAMOS ESTE</t>
  </si>
  <si>
    <t>OFICINA OPEN PLAZA ANGAMOS</t>
  </si>
  <si>
    <t>OFICINA ARAMBURU</t>
  </si>
  <si>
    <t>OFICINA AV. CENTRAL</t>
  </si>
  <si>
    <t>OFICINA AV. DEL EJERCITO</t>
  </si>
  <si>
    <t>OFICINA AV. SUCRE</t>
  </si>
  <si>
    <t>OFICINA BARRANCO</t>
  </si>
  <si>
    <t>OFICINA BASADRE</t>
  </si>
  <si>
    <t>OFICINA BASE NAVAL</t>
  </si>
  <si>
    <t>OFICINA BELLAVISTA</t>
  </si>
  <si>
    <t>OFICINA BENAVIDES</t>
  </si>
  <si>
    <t>OFICINA BOLIVAR</t>
  </si>
  <si>
    <t>OFICINA C.C. AURORA</t>
  </si>
  <si>
    <t>OFICINA C.C. RISSO</t>
  </si>
  <si>
    <t>OFICINA C.C. SAN ISIDRO</t>
  </si>
  <si>
    <t>OFICINA C.C. SUCRE</t>
  </si>
  <si>
    <t>OFICINA C.C. SAN MIGUEL</t>
  </si>
  <si>
    <t>OFICINA CALLAO</t>
  </si>
  <si>
    <t>OFICINA CAMINO REAL</t>
  </si>
  <si>
    <t>OFICINA CANAVAL Y MOREYRA</t>
  </si>
  <si>
    <t>OFICINA CAVENECIA</t>
  </si>
  <si>
    <t>OFICINA COLONIAL</t>
  </si>
  <si>
    <t>OFICINA COMANDANTE ESPINAR</t>
  </si>
  <si>
    <t>OFICINA CONQUISTADORES</t>
  </si>
  <si>
    <t>OFICINA DOMINGO CUETO</t>
  </si>
  <si>
    <t>OFICINA DOS DE MAYO</t>
  </si>
  <si>
    <t>OFICINA EL PUERTO</t>
  </si>
  <si>
    <t>OFICINA ESPECIAL BIENESTAR DE LA MARINA</t>
  </si>
  <si>
    <t>OFICINA ESSALUD</t>
  </si>
  <si>
    <t>OFICINA FAUCETT</t>
  </si>
  <si>
    <t>OFICINA FAUCETT 2</t>
  </si>
  <si>
    <t>OFICINA GRIMALDO DEL SOLAR</t>
  </si>
  <si>
    <t>OFICINA GUARDIA CHALACA</t>
  </si>
  <si>
    <t>OFICINA JAVIER PRADO OESTE</t>
  </si>
  <si>
    <t>OFICINA JESUS MARIA</t>
  </si>
  <si>
    <t>OFICINA LA MARINA</t>
  </si>
  <si>
    <t>OFICINA LARCO-TARATA</t>
  </si>
  <si>
    <t>OFICINA LAS BEGONIAS</t>
  </si>
  <si>
    <t>OFICINA LAS TIENDAS</t>
  </si>
  <si>
    <t>OFICINA LINCE</t>
  </si>
  <si>
    <t>OFICINA LOS ROBLES</t>
  </si>
  <si>
    <t>OFICINA MAGDALENA</t>
  </si>
  <si>
    <t>OFICINA MALL AVENTURA PLAZA CALLAO</t>
  </si>
  <si>
    <t>OFICINA MARANGA</t>
  </si>
  <si>
    <t>OFICINA MINKA</t>
  </si>
  <si>
    <t>OFICINA MIRAFLORES</t>
  </si>
  <si>
    <t>OFICINA NACIONES UNIDAS</t>
  </si>
  <si>
    <t>OFICINA ORRANTIA</t>
  </si>
  <si>
    <t>OFICINA OVALO MIRAFLORES</t>
  </si>
  <si>
    <t>OFICINA PANDO</t>
  </si>
  <si>
    <t>OFICINA PARDO</t>
  </si>
  <si>
    <t>OFICINA PARQUE CASTILLA</t>
  </si>
  <si>
    <t>OFICINA PLAZA BUTTERS</t>
  </si>
  <si>
    <t>OFICINA PLAZA SAN JOSE</t>
  </si>
  <si>
    <t>OFICINA PREMIUM PARDO Y ALIAGA</t>
  </si>
  <si>
    <t>OFICINA REAL PLAZA SALAVERRY</t>
  </si>
  <si>
    <t>OFICINA RICARDO PALMA</t>
  </si>
  <si>
    <t>OFICINA SALAVERRY</t>
  </si>
  <si>
    <t>OFICINA SAN ANTONIO</t>
  </si>
  <si>
    <t>OFICINA SAN FELIPE</t>
  </si>
  <si>
    <t>OFICINA SANTA CRUZ</t>
  </si>
  <si>
    <t>OFICINA SANTA MONICA</t>
  </si>
  <si>
    <t>OFICINA SURQUILLO</t>
  </si>
  <si>
    <t>OFICINA UNIVERSIDAD CATOLICA</t>
  </si>
  <si>
    <t>OFICINA UNIVERSITARIA FREYRE</t>
  </si>
  <si>
    <t>SEDE CENTRAL</t>
  </si>
  <si>
    <t>PYMES SANTA ANITA</t>
  </si>
  <si>
    <t>OFICINA SAN ISIDRO</t>
  </si>
  <si>
    <t>AEP SUPERMERCADO CANDY</t>
  </si>
  <si>
    <t>PE PYMES DESP LIMA S</t>
  </si>
  <si>
    <t>CTROL Y GEST OP DE R</t>
  </si>
  <si>
    <t>OFICINA REPUBLICA DE PANAMA</t>
  </si>
  <si>
    <t>BEC CALLAO (ahora es Bec Lima-Oeste 1)</t>
  </si>
  <si>
    <t>BEC DOS DE MAYO</t>
  </si>
  <si>
    <t>BEC LIMA NORTE o BEC NORTE CHICO</t>
  </si>
  <si>
    <t>OFICINA 28 DE JULIO - LIMA</t>
  </si>
  <si>
    <t>OFICINA ABANCAY CONGRESO</t>
  </si>
  <si>
    <t>OFICINA AEROPUERTO</t>
  </si>
  <si>
    <t>OFICINA APOLO</t>
  </si>
  <si>
    <t>OFICINA ARENALES</t>
  </si>
  <si>
    <t>OFICINA AV. PERU</t>
  </si>
  <si>
    <t>OFICINA BARRANCA</t>
  </si>
  <si>
    <t>OFICINA BREÑA</t>
  </si>
  <si>
    <t>OFICINA C.C. CANTA CALLAO</t>
  </si>
  <si>
    <t>OFICINA CAMANA</t>
  </si>
  <si>
    <t>OFICINA CANTO GRANDE</t>
  </si>
  <si>
    <t>OFICINA CAPON</t>
  </si>
  <si>
    <t>OFICINA CARABAYLLO</t>
  </si>
  <si>
    <t>OFICINA CHANCAY</t>
  </si>
  <si>
    <t>OFICINA COMAS</t>
  </si>
  <si>
    <t>OFICINA COVIDA</t>
  </si>
  <si>
    <t>OFICINA DAMERO GAMARRA</t>
  </si>
  <si>
    <t>OFICINA EL AGUSTINO</t>
  </si>
  <si>
    <t>OFICINA EL MURO</t>
  </si>
  <si>
    <t>OFICINA EL SOL</t>
  </si>
  <si>
    <t>OFICINA EL TREBOL</t>
  </si>
  <si>
    <t>OFICINA HIPOLITO UNANUE</t>
  </si>
  <si>
    <t>OFICINA HOSPITAL ALMENARA</t>
  </si>
  <si>
    <t>OFICINA ESPECIAL NESTLE-D'ONOFRIO</t>
  </si>
  <si>
    <t>OFICINA ESPECIAL SENATI</t>
  </si>
  <si>
    <t>OFICINA FIORI</t>
  </si>
  <si>
    <t>OFICINA GAMARRA</t>
  </si>
  <si>
    <t>OFICINA GRAN CHIMU</t>
  </si>
  <si>
    <t>OFICINA HUACHO</t>
  </si>
  <si>
    <t>OFICINA HUARAL</t>
  </si>
  <si>
    <t>OFICINA INGENIERIA</t>
  </si>
  <si>
    <t>OFICINA IZAGUIRRE</t>
  </si>
  <si>
    <t>OFICINA LA COLMENA</t>
  </si>
  <si>
    <t>OFICINA LA VICTORIA</t>
  </si>
  <si>
    <t>OFICINA LAS FLORES</t>
  </si>
  <si>
    <t>OFICINA LIMA</t>
  </si>
  <si>
    <t>OFICINA LIMA CARGO CITY</t>
  </si>
  <si>
    <t>OFICINA LOS OLIVOS</t>
  </si>
  <si>
    <t>OFICINA MEGA PLAZA</t>
  </si>
  <si>
    <t>OFICINA METRO PLAZA CASTILLA</t>
  </si>
  <si>
    <t>OFICINA MEXICO</t>
  </si>
  <si>
    <t>OFICINA MULTIPLAZA</t>
  </si>
  <si>
    <t>OFICINA OVALO NARANJAL</t>
  </si>
  <si>
    <t>OFICINA NICOLAS ARRIOLA 1</t>
  </si>
  <si>
    <t>OFICINA NICOLAS ARRIOLA 2</t>
  </si>
  <si>
    <t>OFICINA OVALO 200 MILLAS</t>
  </si>
  <si>
    <t>OFICINA PALAO</t>
  </si>
  <si>
    <t>OFICINA ESPECIAL PARURO</t>
  </si>
  <si>
    <t>OFICINA PLAZA DEL SOL DE HUACHO</t>
  </si>
  <si>
    <t>OFICINA PLAZA LIMA NORTE</t>
  </si>
  <si>
    <t>OFICINA PRO</t>
  </si>
  <si>
    <t>OFICINA PUENTE PIEDRA</t>
  </si>
  <si>
    <t>OFICINA REAL PLAZA CENTRO CIVICO</t>
  </si>
  <si>
    <t>OFICINA REAL PLAZA PRO</t>
  </si>
  <si>
    <t>OFICINA REPSOL</t>
  </si>
  <si>
    <t>OFICINA RIMAC</t>
  </si>
  <si>
    <t>OFICINA SAMUEL ALCAZAR</t>
  </si>
  <si>
    <t>OFICINA SAN FELIPE COMAS</t>
  </si>
  <si>
    <t>OFICINA SAN MARTIN DE PORRAS</t>
  </si>
  <si>
    <t>OFICINA SAN RAFAEL</t>
  </si>
  <si>
    <t>OFICINA SEBASTIAN BARRANCA</t>
  </si>
  <si>
    <t>OFICINA V.A. BELAUNDE</t>
  </si>
  <si>
    <t>OFICINA VENEZUELA 1</t>
  </si>
  <si>
    <t>OFICINA VENEZUELA 2</t>
  </si>
  <si>
    <t>OFICINA VENEZUELA 3</t>
  </si>
  <si>
    <t>OFICINA VENTANILLA</t>
  </si>
  <si>
    <t>OFICINA VILLA INFANTAS</t>
  </si>
  <si>
    <t>OFICINA ZARATE</t>
  </si>
  <si>
    <t>PYMES LOS OLIVOS</t>
  </si>
  <si>
    <t>OFICINA MAP SAN JUAN DE LURIGANCHO</t>
  </si>
  <si>
    <t>GERENCIA DIVISIONAL LA VICTORIA LINCE</t>
  </si>
  <si>
    <t>VMS TELEATENTO PERU SAC</t>
  </si>
  <si>
    <t>BEC AREQUIPA</t>
  </si>
  <si>
    <t>BEC CUZCO</t>
  </si>
  <si>
    <t>BEC HUANCAYO</t>
  </si>
  <si>
    <t>OFICINA 7 DE JUNIO</t>
  </si>
  <si>
    <t>OFICINA ANDAHUAYLAS</t>
  </si>
  <si>
    <t>OFICINA AREQUIPA</t>
  </si>
  <si>
    <t>OFICINA AYACUCHO</t>
  </si>
  <si>
    <t>OFICINA BAGUA GRANDE</t>
  </si>
  <si>
    <t>OFICINA BARRIO COMERCIO</t>
  </si>
  <si>
    <t>OFICINA BELEN</t>
  </si>
  <si>
    <t>OFICINA ESPECIAL EXPRESS BELLAVISTA</t>
  </si>
  <si>
    <t>OFICINA BOLOGNESI</t>
  </si>
  <si>
    <t>OFICINA C.C. REAL PLAZA HUANCAYO</t>
  </si>
  <si>
    <t>OFICINA CAJAMARCA</t>
  </si>
  <si>
    <t>OFICINA CAMANA - AREQUIPA</t>
  </si>
  <si>
    <t>OFICINA CAYMA</t>
  </si>
  <si>
    <t>OFICINA CERRO COLORADO</t>
  </si>
  <si>
    <t>OFICINA CERRO DE PASCO</t>
  </si>
  <si>
    <t>OFICINA CHOTA</t>
  </si>
  <si>
    <t>OFICINA CUZCO</t>
  </si>
  <si>
    <t>OFICINA PEDREGAL</t>
  </si>
  <si>
    <t>OFICINA EL QUINDE</t>
  </si>
  <si>
    <t>OFICINA EL TAMBO</t>
  </si>
  <si>
    <t>OFICINA HUANCAYO</t>
  </si>
  <si>
    <t>OFICINA HUANUCO</t>
  </si>
  <si>
    <t>OFICINA HUARAZ - ANCASH</t>
  </si>
  <si>
    <t>OFICINA ILO</t>
  </si>
  <si>
    <t>OFICINA IQUITOS</t>
  </si>
  <si>
    <t>OFICINA JAEN</t>
  </si>
  <si>
    <t>OFICINA JOSE LUIS BUSTAMANTE Y RIVERO</t>
  </si>
  <si>
    <t>OFICINA JUANJUI</t>
  </si>
  <si>
    <t>OFICINA JULIACA</t>
  </si>
  <si>
    <t>OFICINA LA MERCED</t>
  </si>
  <si>
    <t>OFICINA LA OROYA</t>
  </si>
  <si>
    <t>OFICINA LARAPA</t>
  </si>
  <si>
    <t>OFICINA LAS BAMBAS</t>
  </si>
  <si>
    <t>OFICINA MALL AVENTURA PLAZA AREQUIPA</t>
  </si>
  <si>
    <t>OFICINA METRO CHILCA</t>
  </si>
  <si>
    <t>OFICINA MIRAFLORES -  AREQUIPA</t>
  </si>
  <si>
    <t>MOQUEGUA</t>
  </si>
  <si>
    <t>OFICINA MOYOBAMBA</t>
  </si>
  <si>
    <t>OFICINA OPEN PLAZA PUCALLPA</t>
  </si>
  <si>
    <t>OFICINA PARQUE INDUSTRIAL</t>
  </si>
  <si>
    <t>OFICINA PICHANAQUI</t>
  </si>
  <si>
    <t>OFICINA PLAZA DE ARMAS HUANUCO</t>
  </si>
  <si>
    <t>OFICINA PUCALLPA</t>
  </si>
  <si>
    <t>OFICINA PUERTO MALDONADO</t>
  </si>
  <si>
    <t>OFICINA PUNO</t>
  </si>
  <si>
    <t>OFICINA QUILLABAMBA</t>
  </si>
  <si>
    <t>OFICINA REAL PLAZA CUSCO</t>
  </si>
  <si>
    <t>OFICINA REAL PLAZA JULIACA</t>
  </si>
  <si>
    <t>OFICINA EXPRESS RIOJA</t>
  </si>
  <si>
    <t>OFICINA SAN CAMILO</t>
  </si>
  <si>
    <t>OFICINA SAN JUAN</t>
  </si>
  <si>
    <t>OFICINA SATIPO</t>
  </si>
  <si>
    <t>OFICINA TACNA</t>
  </si>
  <si>
    <t>OFICINA TARAPOTO</t>
  </si>
  <si>
    <t>OFICINA TARMA</t>
  </si>
  <si>
    <t>OFICINA TINGO MARIA</t>
  </si>
  <si>
    <t>OFICINA TINTAYA</t>
  </si>
  <si>
    <t>OFICINA UNIVERSIDAD SAN PABLO</t>
  </si>
  <si>
    <t>OFICINA HUANCHAC</t>
  </si>
  <si>
    <t>OFICINA YANAHUARA</t>
  </si>
  <si>
    <t>OFICINA YURIMAGUAS</t>
  </si>
  <si>
    <t>PREMIUM HUANCAYO</t>
  </si>
  <si>
    <t>PREMIUM SUR - CAYMA</t>
  </si>
  <si>
    <t>OFICINA ABANCAY</t>
  </si>
  <si>
    <t>OFICINA HUNTER</t>
  </si>
  <si>
    <t>OFICINA MAGISTERIO</t>
  </si>
  <si>
    <t>OFICINA HUAYRUROPATA</t>
  </si>
  <si>
    <t>OFICINA AAP JULIACA</t>
  </si>
  <si>
    <t>OFICINA AAP PUERTO M</t>
  </si>
  <si>
    <t>AAP AREQUIPA</t>
  </si>
  <si>
    <t>OFICINA REAL PLAZA CAJAMARCA</t>
  </si>
  <si>
    <t>GERENCIA TERRITORIAL SUR AREQUIPA</t>
  </si>
  <si>
    <t>BEC IQUITOS</t>
  </si>
  <si>
    <t>ADP IQUITOS</t>
  </si>
  <si>
    <t>VMS ESSALUD PIURA</t>
  </si>
  <si>
    <t>ADP TARAPOTO</t>
  </si>
  <si>
    <t>AEP SERP HUANUCO</t>
  </si>
  <si>
    <t xml:space="preserve">ADP PUCALLPA </t>
  </si>
  <si>
    <t>BEC CHINCHA (Ahora es Bec-Sur Chico)</t>
  </si>
  <si>
    <t>BEC LA MOLINA</t>
  </si>
  <si>
    <t>OFICINA PARQUE INDUSTRIAL VILLA EL SALVADOR</t>
  </si>
  <si>
    <t>OFICINA AVIACION</t>
  </si>
  <si>
    <t>OFICINA BACKUS</t>
  </si>
  <si>
    <t>OFICINA MALL DEL SUR ( C.C. ATOCONGO)</t>
  </si>
  <si>
    <t>OFICINA C.C. LAS GARDENIAS</t>
  </si>
  <si>
    <t>OFICINA C.C. MONTERRICO</t>
  </si>
  <si>
    <t>OFICINA REAL PLAZA SANTA CLARA</t>
  </si>
  <si>
    <t>OFICINA CAMACHO</t>
  </si>
  <si>
    <t>OFICINA CAMINOS DEL INCA</t>
  </si>
  <si>
    <t>OFICINA CANADA - LA ROSA TORO</t>
  </si>
  <si>
    <t>OFICINA CAÑETE</t>
  </si>
  <si>
    <t>OFICINA CEDROS DE VILLA</t>
  </si>
  <si>
    <t>OFICINA CHACARILLA</t>
  </si>
  <si>
    <t>OFICINA CHINCHA</t>
  </si>
  <si>
    <t>OFICINA CHORRILLOS</t>
  </si>
  <si>
    <t>OFICINA CHOSICA</t>
  </si>
  <si>
    <t>OFICINA CLUB REGATAS LIMA</t>
  </si>
  <si>
    <t>ESP EMBAJA USA +AID</t>
  </si>
  <si>
    <t>OFICINA CUARTEL GRAL. DEL EJERCITO</t>
  </si>
  <si>
    <t>OFICINA EL PINO</t>
  </si>
  <si>
    <t>OFICINA CC EL POLO PLAZA</t>
  </si>
  <si>
    <t>OFICINA EL QUINDE ICA</t>
  </si>
  <si>
    <t>OFICINA EL REMANSO</t>
  </si>
  <si>
    <t>OFICINA EL TRIGAL</t>
  </si>
  <si>
    <t>OFICINA ESPECIAL SEDAPAL</t>
  </si>
  <si>
    <t>OFICINA HIGUERETA</t>
  </si>
  <si>
    <t>OFICINA HUAYCAN</t>
  </si>
  <si>
    <t>OFICINA ICA</t>
  </si>
  <si>
    <t>OFICINA JOCKEY PLAZA</t>
  </si>
  <si>
    <t>OFICINA LA FLORESTA</t>
  </si>
  <si>
    <t>OFICINA LA MOLINA</t>
  </si>
  <si>
    <t>OFICINA LA PLANICIE</t>
  </si>
  <si>
    <t>OFICINA C.C. SAN BORJA</t>
  </si>
  <si>
    <t>OFICINA LA ROTONDA</t>
  </si>
  <si>
    <t>OFICINA PLAZA LIMA SUR</t>
  </si>
  <si>
    <t>OFICINA LIMATAMBO</t>
  </si>
  <si>
    <t>OFICINA LOS ALAMOS</t>
  </si>
  <si>
    <t>OFICINA LOS ROSALES</t>
  </si>
  <si>
    <t>OFICINA LURIN</t>
  </si>
  <si>
    <t>OFICINA MALA</t>
  </si>
  <si>
    <t>OFICINA MALL AVENTURA PLAZA SANTA ANITA</t>
  </si>
  <si>
    <t>OFICINA MEGA EXPRESS VILLA EL SALV</t>
  </si>
  <si>
    <t>OFICINA MERCADO PRODUCTORES SANTA ANITA</t>
  </si>
  <si>
    <t>OFICINA MONTEGRANDE</t>
  </si>
  <si>
    <t>OFICINA NICOLAS AYLLON</t>
  </si>
  <si>
    <t>OFICINA OVALO QUIÑONES</t>
  </si>
  <si>
    <t>OFICINA PARQUE DE LA AMISTAD</t>
  </si>
  <si>
    <t>OFICINA PASEO DE LA CASTELLANA</t>
  </si>
  <si>
    <t>OFICINA PISCO</t>
  </si>
  <si>
    <t>OFICINA PREMIUM EL POLO</t>
  </si>
  <si>
    <t>OFICINA CERES (PURUCHUCO)</t>
  </si>
  <si>
    <t>OFICINA RINCONADA</t>
  </si>
  <si>
    <t>OFICINA SALAMANCA</t>
  </si>
  <si>
    <t>OFICINA SAN BORJA</t>
  </si>
  <si>
    <t>OFICINA SAN BORJA SUR</t>
  </si>
  <si>
    <t>OFICINA SAN JUAN DE MIRAFLORES</t>
  </si>
  <si>
    <t>OFICINA SAN LUIS</t>
  </si>
  <si>
    <t>OFICINA SAN MARTIN - ICA</t>
  </si>
  <si>
    <t>OFICINA SANTA ANITA</t>
  </si>
  <si>
    <t>OFICINA SEPARADORA INDUSTRIAL</t>
  </si>
  <si>
    <t>OFICINA PROCERES</t>
  </si>
  <si>
    <t>OFICINA VALLE SHARON</t>
  </si>
  <si>
    <t>OFICINA VARGAS MACHUCA</t>
  </si>
  <si>
    <t>OFICINA VELASCO ASTETE</t>
  </si>
  <si>
    <t>OFICINA VILLA EL SALVADOR</t>
  </si>
  <si>
    <t>OFICINA VILLA MARIA DEL TRIUNFO</t>
  </si>
  <si>
    <t>OFICINA VILLA MARINA</t>
  </si>
  <si>
    <t>OFICINA VITARTE</t>
  </si>
  <si>
    <t>VMS TEXTIL DEL VALLE</t>
  </si>
  <si>
    <t>VMS LA CALERA</t>
  </si>
  <si>
    <t>SERPOST VMT</t>
  </si>
  <si>
    <t>VMS VOLVO LURIN</t>
  </si>
  <si>
    <t>OFICINA CUSCO</t>
  </si>
  <si>
    <t>OFICINA PROSEGUR</t>
  </si>
  <si>
    <t>BEC CHACARILLA</t>
  </si>
  <si>
    <t>OFICINA OPEN PLAZA CHICLAYO</t>
  </si>
  <si>
    <t>OFICINA CHAMA</t>
  </si>
  <si>
    <t>OFICINA COLLIQUE</t>
  </si>
  <si>
    <t>OFICINA CORPAC</t>
  </si>
  <si>
    <t>OFICINA EL PORVENIR</t>
  </si>
  <si>
    <t>OFICINA ESPECIAL SERPOST ADUANAS</t>
  </si>
  <si>
    <t>OFICINA ENCALADA</t>
  </si>
  <si>
    <t>OFICINA LA PERLA</t>
  </si>
  <si>
    <t>OFICINA PARINACOCHAS</t>
  </si>
  <si>
    <t>OFICINA PLAZA UNION</t>
  </si>
  <si>
    <t>OFICINA STRIP CENTER BARRANCA</t>
  </si>
  <si>
    <t>OFICINA TOMAS MARSANO (CERRADA)</t>
  </si>
  <si>
    <t>ADP PIURA</t>
  </si>
  <si>
    <t>AEP SUPERMIX</t>
  </si>
  <si>
    <t>AEP PUCALLPA</t>
  </si>
  <si>
    <t>VMS UNI C VALLEJO LN</t>
  </si>
  <si>
    <t>AEP CANDY MARKET CAMPOY</t>
  </si>
  <si>
    <t>BEC CHICLAYO</t>
  </si>
  <si>
    <t>BEC PIURA</t>
  </si>
  <si>
    <t>BEC TRUJILLO</t>
  </si>
  <si>
    <t>PREMIUM NORTE - CHICLAYO</t>
  </si>
  <si>
    <t>OFICINA CHEPEN</t>
  </si>
  <si>
    <t>OFICINA CHICLAYO</t>
  </si>
  <si>
    <t>OFICINA CHIMBOTE</t>
  </si>
  <si>
    <t>OFICINA REAL PLAZA CHICLAYO</t>
  </si>
  <si>
    <t>OFICINA HUSARES DE JUNIN-TRUJILLO</t>
  </si>
  <si>
    <t>OFICINA LAMBAYEQUE</t>
  </si>
  <si>
    <t>OFICINA LARCO-TRUJILLO</t>
  </si>
  <si>
    <t>OFICINA LEGUIA CHICLAYO</t>
  </si>
  <si>
    <t>OFICINA MALL PLAZA TRUJILLO</t>
  </si>
  <si>
    <t>OFICINA MEGAPLAZA CHIMBOTE</t>
  </si>
  <si>
    <t>OFICINA MERCADO MAYORISTA - TRUJILLO</t>
  </si>
  <si>
    <t>OFICINA MCDO. MODELO CHICLAYO</t>
  </si>
  <si>
    <t>OFICINA MCDO. MODELO PIURA</t>
  </si>
  <si>
    <t>OFICINA MERCADO MODELO CHIMBOTE</t>
  </si>
  <si>
    <t>OFICINA METRO SANTA ELENA</t>
  </si>
  <si>
    <t>OFICINA MIRAFLORES PIURA</t>
  </si>
  <si>
    <t>OFICINA MOSHOQUEQUE</t>
  </si>
  <si>
    <t>OFICINA NUEVO CHIMBOTE</t>
  </si>
  <si>
    <t>OFICINA OPEN PLAZA PIURA</t>
  </si>
  <si>
    <t>OFICINA OVALO LARCO TRUJILLO</t>
  </si>
  <si>
    <t>OFICINA OVALO PAPAL</t>
  </si>
  <si>
    <t>OFICINA PACASMAYO</t>
  </si>
  <si>
    <t>OFICINA PAITA</t>
  </si>
  <si>
    <t>OFICINA PIURA</t>
  </si>
  <si>
    <t>OFICINA PRIMAVERA</t>
  </si>
  <si>
    <t>OFICINA REAL PLAZA PIURA</t>
  </si>
  <si>
    <t>OFICINA REAL PLAZA TRUJILLO</t>
  </si>
  <si>
    <t>OFICINA SANTA ROSA SULLANA</t>
  </si>
  <si>
    <t>OFICINA SULLANA</t>
  </si>
  <si>
    <t>OFICINA TALARA</t>
  </si>
  <si>
    <t>OFICINA TRUJILLO</t>
  </si>
  <si>
    <t>OFICINA TUMBES</t>
  </si>
  <si>
    <t>VMS ESSALUD TRUJILLO</t>
  </si>
  <si>
    <t>OF.Privada Trujillo</t>
  </si>
  <si>
    <t>RED PLUS CASAGRANDE</t>
  </si>
  <si>
    <t>AEP ADP TRUJILLO</t>
  </si>
  <si>
    <t>AEP ADP CHICLAYO</t>
  </si>
  <si>
    <t>ADP TUMBES</t>
  </si>
  <si>
    <t>SERPOST TRUJILLO</t>
  </si>
  <si>
    <t>G.T. NORTE CHICO</t>
  </si>
  <si>
    <t>G.T. SUR CHICO</t>
  </si>
  <si>
    <t>OFICINA PARRA AREQUIPA</t>
  </si>
  <si>
    <t>AAP SERPOST HUANCAYO</t>
  </si>
  <si>
    <t>SEGUIMIENTO Y RECUPE - SEDE CENTRAL</t>
  </si>
  <si>
    <t>ADP PUERTO MALDONADO</t>
  </si>
  <si>
    <t>AEP ADP CAJAMARCA</t>
  </si>
  <si>
    <t>AEP NUEVA CAJAMARCA</t>
  </si>
  <si>
    <t>AEP ADP TACNA</t>
  </si>
  <si>
    <t>-120.503.639</t>
  </si>
  <si>
    <t>-121.985.404</t>
  </si>
  <si>
    <t>-120.922.845</t>
  </si>
  <si>
    <t>-122.752.652</t>
  </si>
  <si>
    <t>-121.130.208</t>
  </si>
  <si>
    <t>-120.061.147</t>
  </si>
  <si>
    <t>-119.956.162</t>
  </si>
  <si>
    <t>-120.868.267</t>
  </si>
  <si>
    <t>-120.746.716</t>
  </si>
  <si>
    <t>-120.567.891</t>
  </si>
  <si>
    <t>-120.472.092</t>
  </si>
  <si>
    <t>-120.732.536</t>
  </si>
  <si>
    <t>-120.895.328</t>
  </si>
  <si>
    <t>-12.146.775</t>
  </si>
  <si>
    <t>-121.219.795</t>
  </si>
  <si>
    <t>-120.903.834</t>
  </si>
  <si>
    <t>-120.636.395</t>
  </si>
  <si>
    <t>-121.070.802</t>
  </si>
  <si>
    <t>-107.526.626</t>
  </si>
  <si>
    <t>-121.503.288</t>
  </si>
  <si>
    <t>-121.068.202</t>
  </si>
  <si>
    <t>-120.692.048</t>
  </si>
  <si>
    <t>-120.688.344</t>
  </si>
  <si>
    <t>-119.382.098</t>
  </si>
  <si>
    <t>-120.713.817</t>
  </si>
  <si>
    <t>-120.566.805</t>
  </si>
  <si>
    <t>-121.279.196</t>
  </si>
  <si>
    <t>-12.126.094</t>
  </si>
  <si>
    <t>-11.990.375</t>
  </si>
  <si>
    <t>-120.464.709</t>
  </si>
  <si>
    <t>-12.080.067</t>
  </si>
  <si>
    <t>-121.135.563</t>
  </si>
  <si>
    <t>-120.830.228</t>
  </si>
  <si>
    <t>-119.966.387</t>
  </si>
  <si>
    <t>-119.707.467</t>
  </si>
  <si>
    <t>-120.675.744</t>
  </si>
  <si>
    <t>-130.778.492</t>
  </si>
  <si>
    <t>-120.515.607</t>
  </si>
  <si>
    <t>-120.334.288</t>
  </si>
  <si>
    <t>-121.697.072</t>
  </si>
  <si>
    <t>-120.887.706</t>
  </si>
  <si>
    <t>-120.225.827</t>
  </si>
  <si>
    <t>-119.767.769</t>
  </si>
  <si>
    <t>-121.285.205</t>
  </si>
  <si>
    <t>-115.658.426</t>
  </si>
  <si>
    <t>-118.955.827</t>
  </si>
  <si>
    <t>-120.643.465</t>
  </si>
  <si>
    <t>-119.352.773</t>
  </si>
  <si>
    <t>-120.885.367</t>
  </si>
  <si>
    <t>-119.182.903</t>
  </si>
  <si>
    <t>-121.142.734</t>
  </si>
  <si>
    <t>-12.077.217</t>
  </si>
  <si>
    <t>-121.193.402</t>
  </si>
  <si>
    <t>-120.924.137</t>
  </si>
  <si>
    <t>-120.975.783</t>
  </si>
  <si>
    <t>-120.986.967</t>
  </si>
  <si>
    <t>-122.091.743</t>
  </si>
  <si>
    <t>-120.988.998</t>
  </si>
  <si>
    <t>-7.712.329.799.999.990</t>
  </si>
  <si>
    <t>-769.360.312</t>
  </si>
  <si>
    <t>-770.312.974</t>
  </si>
  <si>
    <t>-7.687.161.549.999.990</t>
  </si>
  <si>
    <t>-7.702.201.939.999.990</t>
  </si>
  <si>
    <t>-770.732.693</t>
  </si>
  <si>
    <t>-7.707.947.519.999.990</t>
  </si>
  <si>
    <t>-7.703.517.289.999.990</t>
  </si>
  <si>
    <t>-7.705.062.389.999.990</t>
  </si>
  <si>
    <t>-770.374.173</t>
  </si>
  <si>
    <t>-770.354.488</t>
  </si>
  <si>
    <t>-7.695.619.909.999.990</t>
  </si>
  <si>
    <t>-7.706.602.199.999.990</t>
  </si>
  <si>
    <t>-7.698.148.119.999.990</t>
  </si>
  <si>
    <t>-7.701.170.259.999.990</t>
  </si>
  <si>
    <t>-76.949.713</t>
  </si>
  <si>
    <t>-770.129.494</t>
  </si>
  <si>
    <t>-770.385.254</t>
  </si>
  <si>
    <t>-777.595.771</t>
  </si>
  <si>
    <t>-770.153.071</t>
  </si>
  <si>
    <t>-7.704.004.119.999.990</t>
  </si>
  <si>
    <t>-7.693.581.429.999.990</t>
  </si>
  <si>
    <t>-769.377.221</t>
  </si>
  <si>
    <t>-770.528.751</t>
  </si>
  <si>
    <t>-770.605.035</t>
  </si>
  <si>
    <t>-769.706.676</t>
  </si>
  <si>
    <t>-769.875.472</t>
  </si>
  <si>
    <t>-7.700.025.049.999.990</t>
  </si>
  <si>
    <t>-770.628.421</t>
  </si>
  <si>
    <t>-770.370.451</t>
  </si>
  <si>
    <t>-769.667.147</t>
  </si>
  <si>
    <t>-769.914.875</t>
  </si>
  <si>
    <t>-770.149.898</t>
  </si>
  <si>
    <t>-77.112.646</t>
  </si>
  <si>
    <t>-770.057.733</t>
  </si>
  <si>
    <t>-7.709.716.279.999.990</t>
  </si>
  <si>
    <t>-7.638.678.560.000.000</t>
  </si>
  <si>
    <t>-770.247.089</t>
  </si>
  <si>
    <t>-7.704.270.989.999.990</t>
  </si>
  <si>
    <t>-769.682.925</t>
  </si>
  <si>
    <t>-7.700.517.030.000.000</t>
  </si>
  <si>
    <t>-771.060.524</t>
  </si>
  <si>
    <t>-7.677.323.369.999.990</t>
  </si>
  <si>
    <t>-769.942.384</t>
  </si>
  <si>
    <t>-772.688.462</t>
  </si>
  <si>
    <t>-770.358.525</t>
  </si>
  <si>
    <t>-770.362.944</t>
  </si>
  <si>
    <t>-766.937.453</t>
  </si>
  <si>
    <t>-769.811.609</t>
  </si>
  <si>
    <t>-770.413.092</t>
  </si>
  <si>
    <t>-7.703.667.899.999.990</t>
  </si>
  <si>
    <t>-7.699.484</t>
  </si>
  <si>
    <t>-77.029.437</t>
  </si>
  <si>
    <t>-770.472.152</t>
  </si>
  <si>
    <t>-770.382.758</t>
  </si>
  <si>
    <t>-76.961.968</t>
  </si>
  <si>
    <t>-7.694.065.479.999.990</t>
  </si>
  <si>
    <t>-7.701.945.549.999.990</t>
  </si>
  <si>
    <t>BCP</t>
  </si>
  <si>
    <t>BIF</t>
  </si>
  <si>
    <t>BBVA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</si>
</sst>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h]:mm"/>
    <numFmt numFmtId="166" formatCode="0.000000"/>
  </numFmts>
  <fonts count="32"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11"/>
      <color indexed="8"/>
      <name val="Calibri"/>
      <family val="2"/>
      <scheme val="minor"/>
    </font>
    <font>
      <b/>
      <sz val="11"/>
      <color indexed="8"/>
      <name val="Calibri"/>
      <family val="2"/>
      <scheme val="minor"/>
    </font>
    <font>
      <sz val="11"/>
      <color theme="1"/>
      <name val="Calibri"/>
      <family val="2"/>
      <scheme val="minor"/>
    </font>
    <font>
      <b/>
      <sz val="11"/>
      <color rgb="FF0000FF"/>
      <name val="Calibri"/>
      <family val="2"/>
      <scheme val="minor"/>
    </font>
  </fonts>
  <fills count="43">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8" tint="-1.9989623706778162E-2"/>
        <bgColor indexed="64"/>
      </patternFill>
    </fill>
    <fill>
      <patternFill patternType="solid">
        <fgColor indexed="8" tint="1.9989623706778162E-2"/>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top style="thin">
        <color indexed="23"/>
      </top>
      <bottom style="thick">
        <color indexed="9"/>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98">
    <xf numFmtId="0" fontId="0" fillId="0" borderId="0" xfId="0"/>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2" fillId="34" borderId="0" xfId="0" applyFont="1" applyFill="1"/>
    <xf numFmtId="0" fontId="0" fillId="0" borderId="0" xfId="0" applyAlignment="1">
      <alignment vertical="top" wrapText="1"/>
    </xf>
    <xf numFmtId="0" fontId="2" fillId="2" borderId="0" xfId="0" applyFont="1" applyFill="1"/>
    <xf numFmtId="0" fontId="21" fillId="0" borderId="0" xfId="0" applyFont="1"/>
    <xf numFmtId="0" fontId="22" fillId="2" borderId="17" xfId="0" applyFont="1" applyFill="1" applyBorder="1"/>
    <xf numFmtId="0" fontId="22" fillId="37" borderId="17" xfId="0" applyFont="1" applyFill="1" applyBorder="1"/>
    <xf numFmtId="0" fontId="22" fillId="2" borderId="1" xfId="0" applyFont="1" applyFill="1" applyBorder="1"/>
    <xf numFmtId="0" fontId="22" fillId="2" borderId="15" xfId="0" applyFont="1" applyFill="1" applyBorder="1"/>
    <xf numFmtId="0" fontId="22" fillId="36" borderId="15" xfId="0" applyFont="1" applyFill="1" applyBorder="1"/>
    <xf numFmtId="165" fontId="22" fillId="36" borderId="15" xfId="0" applyNumberFormat="1" applyFont="1" applyFill="1" applyBorder="1"/>
    <xf numFmtId="0" fontId="22" fillId="37" borderId="1" xfId="0" applyFont="1" applyFill="1" applyBorder="1"/>
    <xf numFmtId="165" fontId="22" fillId="37" borderId="1" xfId="0" applyNumberFormat="1" applyFont="1" applyFill="1" applyBorder="1"/>
    <xf numFmtId="0" fontId="22" fillId="37" borderId="15" xfId="0" applyFont="1" applyFill="1" applyBorder="1"/>
    <xf numFmtId="165" fontId="22" fillId="37" borderId="15" xfId="0" applyNumberFormat="1" applyFont="1" applyFill="1" applyBorder="1"/>
    <xf numFmtId="0" fontId="21" fillId="0" borderId="18" xfId="0" applyFont="1" applyBorder="1"/>
    <xf numFmtId="0" fontId="22" fillId="37" borderId="19" xfId="0" applyFont="1" applyFill="1" applyBorder="1"/>
    <xf numFmtId="0" fontId="22" fillId="36" borderId="20" xfId="0" applyFont="1" applyFill="1" applyBorder="1"/>
    <xf numFmtId="0" fontId="22" fillId="37" borderId="20" xfId="0" applyFont="1" applyFill="1" applyBorder="1"/>
    <xf numFmtId="165" fontId="22" fillId="37" borderId="19" xfId="0" applyNumberFormat="1" applyFont="1" applyFill="1" applyBorder="1"/>
    <xf numFmtId="165" fontId="22" fillId="36" borderId="20" xfId="0" applyNumberFormat="1" applyFont="1" applyFill="1" applyBorder="1"/>
    <xf numFmtId="0" fontId="22" fillId="2" borderId="18" xfId="0" applyFont="1" applyFill="1" applyBorder="1"/>
    <xf numFmtId="165" fontId="22" fillId="2" borderId="18" xfId="0" applyNumberFormat="1" applyFont="1" applyFill="1" applyBorder="1"/>
    <xf numFmtId="2" fontId="22" fillId="37" borderId="1" xfId="0" applyNumberFormat="1" applyFont="1" applyFill="1" applyBorder="1"/>
    <xf numFmtId="166" fontId="22" fillId="37" borderId="1" xfId="0" applyNumberFormat="1" applyFont="1" applyFill="1" applyBorder="1"/>
    <xf numFmtId="2" fontId="22" fillId="37" borderId="15" xfId="0" applyNumberFormat="1" applyFont="1" applyFill="1" applyBorder="1"/>
    <xf numFmtId="166" fontId="22" fillId="37" borderId="15" xfId="0" applyNumberFormat="1" applyFont="1" applyFill="1" applyBorder="1"/>
    <xf numFmtId="2" fontId="22" fillId="36" borderId="15" xfId="0" applyNumberFormat="1" applyFont="1" applyFill="1" applyBorder="1"/>
    <xf numFmtId="166" fontId="22" fillId="36" borderId="15" xfId="0" applyNumberFormat="1" applyFont="1" applyFill="1" applyBorder="1"/>
    <xf numFmtId="0" fontId="22" fillId="2" borderId="20" xfId="0" applyFont="1" applyFill="1" applyBorder="1"/>
    <xf numFmtId="165" fontId="22" fillId="2" borderId="20" xfId="0" applyNumberFormat="1" applyFont="1" applyFill="1" applyBorder="1"/>
    <xf numFmtId="0" fontId="28" fillId="38" borderId="1" xfId="0" applyFont="1" applyFill="1" applyBorder="1"/>
    <xf numFmtId="2" fontId="22" fillId="34" borderId="15" xfId="0" applyNumberFormat="1" applyFont="1" applyFill="1" applyBorder="1"/>
    <xf numFmtId="165" fontId="22" fillId="34" borderId="15" xfId="0" applyNumberFormat="1" applyFont="1" applyFill="1" applyBorder="1"/>
    <xf numFmtId="0" fontId="28" fillId="38" borderId="15" xfId="0" applyFont="1" applyFill="1" applyBorder="1"/>
    <xf numFmtId="0" fontId="22" fillId="34" borderId="21" xfId="0" applyFont="1" applyFill="1" applyBorder="1"/>
    <xf numFmtId="165" fontId="22" fillId="34" borderId="21" xfId="0" applyNumberFormat="1" applyFont="1" applyFill="1" applyBorder="1"/>
    <xf numFmtId="0" fontId="28" fillId="38" borderId="21" xfId="0" applyFont="1" applyFill="1" applyBorder="1"/>
    <xf numFmtId="0" fontId="28" fillId="38" borderId="17" xfId="0" applyFont="1" applyFill="1" applyBorder="1"/>
    <xf numFmtId="2" fontId="28" fillId="38" borderId="17" xfId="0" applyNumberFormat="1" applyFont="1" applyFill="1" applyBorder="1"/>
    <xf numFmtId="165" fontId="22" fillId="34" borderId="17" xfId="0" applyNumberFormat="1" applyFont="1" applyFill="1" applyBorder="1"/>
    <xf numFmtId="0" fontId="22" fillId="34" borderId="17" xfId="0" applyFont="1" applyFill="1" applyBorder="1"/>
    <xf numFmtId="2" fontId="28" fillId="38" borderId="1" xfId="0" applyNumberFormat="1" applyFont="1" applyFill="1" applyBorder="1"/>
    <xf numFmtId="2" fontId="28" fillId="38" borderId="15" xfId="0" applyNumberFormat="1" applyFont="1" applyFill="1" applyBorder="1"/>
    <xf numFmtId="2" fontId="28" fillId="38" borderId="21" xfId="0" applyNumberFormat="1" applyFont="1" applyFill="1" applyBorder="1"/>
    <xf numFmtId="0" fontId="22" fillId="40" borderId="15" xfId="0" applyFont="1" applyFill="1" applyBorder="1"/>
    <xf numFmtId="0" fontId="22" fillId="39" borderId="15" xfId="0" applyFont="1" applyFill="1" applyBorder="1"/>
    <xf numFmtId="165" fontId="28" fillId="38" borderId="1" xfId="0" applyNumberFormat="1" applyFont="1" applyFill="1" applyBorder="1"/>
    <xf numFmtId="0" fontId="28" fillId="41" borderId="15" xfId="0" applyFont="1" applyFill="1" applyBorder="1"/>
    <xf numFmtId="165" fontId="28" fillId="38" borderId="15" xfId="0" applyNumberFormat="1" applyFont="1" applyFill="1" applyBorder="1"/>
    <xf numFmtId="0" fontId="28" fillId="42" borderId="1" xfId="0" applyFont="1" applyFill="1" applyBorder="1"/>
    <xf numFmtId="0" fontId="28" fillId="42" borderId="15" xfId="0" applyFont="1" applyFill="1" applyBorder="1"/>
    <xf numFmtId="2" fontId="29" fillId="38" borderId="0" xfId="0" applyNumberFormat="1" applyFont="1" applyFill="1"/>
    <xf numFmtId="0" fontId="21" fillId="38" borderId="0" xfId="0" applyFont="1" applyFill="1"/>
    <xf numFmtId="2" fontId="21" fillId="38" borderId="0" xfId="0" applyNumberFormat="1" applyFont="1" applyFill="1"/>
    <xf numFmtId="20" fontId="21" fillId="0" borderId="0" xfId="0" applyNumberFormat="1" applyFont="1"/>
    <xf numFmtId="0" fontId="22" fillId="2" borderId="0" xfId="0" applyFont="1" applyFill="1"/>
    <xf numFmtId="165" fontId="22" fillId="36" borderId="0" xfId="0" applyNumberFormat="1" applyFont="1" applyFill="1"/>
    <xf numFmtId="20" fontId="22" fillId="36" borderId="18" xfId="0" applyNumberFormat="1" applyFont="1" applyFill="1" applyBorder="1"/>
    <xf numFmtId="20" fontId="22" fillId="37" borderId="20" xfId="0" applyNumberFormat="1" applyFont="1" applyFill="1" applyBorder="1"/>
    <xf numFmtId="20" fontId="22" fillId="36" borderId="20" xfId="0" applyNumberFormat="1" applyFont="1" applyFill="1" applyBorder="1"/>
    <xf numFmtId="20" fontId="22" fillId="37" borderId="19" xfId="0" applyNumberFormat="1" applyFont="1" applyFill="1" applyBorder="1"/>
    <xf numFmtId="165" fontId="22" fillId="37" borderId="20" xfId="0" applyNumberFormat="1" applyFont="1" applyFill="1" applyBorder="1"/>
    <xf numFmtId="2" fontId="22" fillId="36" borderId="0" xfId="0" applyNumberFormat="1" applyFont="1" applyFill="1"/>
    <xf numFmtId="166" fontId="22" fillId="36" borderId="0" xfId="0" applyNumberFormat="1" applyFont="1" applyFill="1"/>
    <xf numFmtId="2" fontId="22" fillId="34" borderId="0" xfId="0" applyNumberFormat="1" applyFont="1" applyFill="1"/>
    <xf numFmtId="20" fontId="22" fillId="34" borderId="0" xfId="0" applyNumberFormat="1" applyFont="1" applyFill="1"/>
    <xf numFmtId="165" fontId="22" fillId="34" borderId="0" xfId="0" applyNumberFormat="1" applyFont="1" applyFill="1"/>
    <xf numFmtId="0" fontId="28" fillId="38" borderId="0" xfId="0" applyFont="1" applyFill="1"/>
    <xf numFmtId="20" fontId="22" fillId="34" borderId="15" xfId="0" applyNumberFormat="1" applyFont="1" applyFill="1" applyBorder="1"/>
    <xf numFmtId="20" fontId="22" fillId="34" borderId="21" xfId="0" applyNumberFormat="1" applyFont="1" applyFill="1" applyBorder="1"/>
    <xf numFmtId="20" fontId="22" fillId="34" borderId="17" xfId="0" applyNumberFormat="1" applyFont="1" applyFill="1" applyBorder="1"/>
    <xf numFmtId="0" fontId="22" fillId="39" borderId="0" xfId="0" applyFont="1" applyFill="1"/>
    <xf numFmtId="2" fontId="28" fillId="38" borderId="0" xfId="0" applyNumberFormat="1" applyFont="1" applyFill="1"/>
    <xf numFmtId="165" fontId="28" fillId="38" borderId="0" xfId="0" applyNumberFormat="1" applyFont="1" applyFill="1"/>
    <xf numFmtId="20" fontId="28" fillId="38" borderId="0" xfId="0" applyNumberFormat="1" applyFont="1" applyFill="1"/>
    <xf numFmtId="20" fontId="28" fillId="38" borderId="1" xfId="0" applyNumberFormat="1" applyFont="1" applyFill="1" applyBorder="1"/>
    <xf numFmtId="20" fontId="28" fillId="38" borderId="15" xfId="0" applyNumberFormat="1" applyFont="1" applyFill="1" applyBorder="1"/>
    <xf numFmtId="0" fontId="22" fillId="2" borderId="0" xfId="0" applyFont="1" applyFill="1" applyAlignment="1">
      <alignment horizontal="center" vertical="center"/>
    </xf>
    <xf numFmtId="0" fontId="22" fillId="2" borderId="17" xfId="0" applyFont="1" applyFill="1" applyBorder="1" applyAlignment="1">
      <alignment horizontal="center" vertical="center"/>
    </xf>
    <xf numFmtId="0" fontId="22" fillId="2" borderId="16" xfId="0" applyFont="1" applyFill="1" applyBorder="1" applyAlignment="1">
      <alignment horizontal="center" vertical="center"/>
    </xf>
    <xf numFmtId="0" fontId="31" fillId="0" borderId="0" xfId="0" applyFont="1" applyAlignment="1">
      <alignment horizontal="left"/>
    </xf>
    <xf numFmtId="0" fontId="30" fillId="0" borderId="0" xfId="0" applyFont="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54">
    <dxf>
      <fill>
        <patternFill patternType="solid">
          <bgColor indexed="43"/>
        </patternFill>
      </fill>
    </dxf>
    <dxf>
      <fill>
        <patternFill>
          <bgColor indexed="52"/>
        </patternFill>
      </fill>
    </dxf>
    <dxf>
      <fill>
        <patternFill>
          <bgColor indexed="10"/>
        </patternFill>
      </fill>
    </dxf>
    <dxf>
      <fill>
        <patternFill>
          <bgColor indexed="52"/>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6"/>
          </c:marker>
          <c:dPt>
            <c:idx val="0"/>
            <c:marker>
              <c:symbol val="square"/>
              <c:size val="8"/>
              <c:spPr>
                <a:solidFill>
                  <a:srgbClr val="000000"/>
                </a:solidFill>
                <a:ln>
                  <a:solidFill>
                    <a:srgbClr val="000000"/>
                  </a:solidFill>
                  <a:prstDash val="solid"/>
                </a:ln>
              </c:spPr>
            </c:marker>
            <c:bubble3D val="0"/>
            <c:extLst>
              <c:ext xmlns:c16="http://schemas.microsoft.com/office/drawing/2014/chart" uri="{C3380CC4-5D6E-409C-BE32-E72D297353CC}">
                <c16:uniqueId val="{00000002-CB1F-4060-9BC5-EB34B5F028F2}"/>
              </c:ext>
            </c:extLst>
          </c:dPt>
          <c:dPt>
            <c:idx val="1"/>
            <c:marker>
              <c:symbol val="square"/>
              <c:size val="8"/>
              <c:spPr>
                <a:solidFill>
                  <a:srgbClr val="000000"/>
                </a:solidFill>
                <a:ln>
                  <a:solidFill>
                    <a:srgbClr val="000000"/>
                  </a:solidFill>
                  <a:prstDash val="solid"/>
                </a:ln>
              </c:spPr>
            </c:marker>
            <c:bubble3D val="0"/>
            <c:extLst>
              <c:ext xmlns:c16="http://schemas.microsoft.com/office/drawing/2014/chart" uri="{C3380CC4-5D6E-409C-BE32-E72D297353CC}">
                <c16:uniqueId val="{00000003-CB1F-4060-9BC5-EB34B5F028F2}"/>
              </c:ext>
            </c:extLst>
          </c:dPt>
          <c:dPt>
            <c:idx val="2"/>
            <c:marker>
              <c:symbol val="square"/>
              <c:size val="8"/>
              <c:spPr>
                <a:solidFill>
                  <a:srgbClr val="000000"/>
                </a:solidFill>
                <a:ln>
                  <a:solidFill>
                    <a:srgbClr val="000000"/>
                  </a:solidFill>
                  <a:prstDash val="solid"/>
                </a:ln>
              </c:spPr>
            </c:marker>
            <c:bubble3D val="0"/>
            <c:extLst>
              <c:ext xmlns:c16="http://schemas.microsoft.com/office/drawing/2014/chart" uri="{C3380CC4-5D6E-409C-BE32-E72D297353CC}">
                <c16:uniqueId val="{00000004-CB1F-4060-9BC5-EB34B5F028F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5-CB1F-4060-9BC5-EB34B5F028F2}"/>
              </c:ext>
            </c:extLst>
          </c:dPt>
          <c:dPt>
            <c:idx val="4"/>
            <c:marker>
              <c:spPr>
                <a:solidFill>
                  <a:srgbClr val="339966"/>
                </a:solidFill>
                <a:ln>
                  <a:solidFill>
                    <a:srgbClr val="339966"/>
                  </a:solidFill>
                  <a:prstDash val="solid"/>
                </a:ln>
              </c:spPr>
            </c:marker>
            <c:bubble3D val="0"/>
            <c:extLst>
              <c:ext xmlns:c16="http://schemas.microsoft.com/office/drawing/2014/chart" uri="{C3380CC4-5D6E-409C-BE32-E72D297353CC}">
                <c16:uniqueId val="{00000006-CB1F-4060-9BC5-EB34B5F028F2}"/>
              </c:ext>
            </c:extLst>
          </c:dPt>
          <c:dPt>
            <c:idx val="5"/>
            <c:marker>
              <c:spPr>
                <a:solidFill>
                  <a:srgbClr val="339966"/>
                </a:solidFill>
                <a:ln>
                  <a:solidFill>
                    <a:srgbClr val="339966"/>
                  </a:solidFill>
                  <a:prstDash val="solid"/>
                </a:ln>
              </c:spPr>
            </c:marker>
            <c:bubble3D val="0"/>
            <c:extLst>
              <c:ext xmlns:c16="http://schemas.microsoft.com/office/drawing/2014/chart" uri="{C3380CC4-5D6E-409C-BE32-E72D297353CC}">
                <c16:uniqueId val="{00000007-CB1F-4060-9BC5-EB34B5F028F2}"/>
              </c:ext>
            </c:extLst>
          </c:dPt>
          <c:dPt>
            <c:idx val="6"/>
            <c:marker>
              <c:spPr>
                <a:solidFill>
                  <a:srgbClr val="339966"/>
                </a:solidFill>
                <a:ln>
                  <a:solidFill>
                    <a:srgbClr val="339966"/>
                  </a:solidFill>
                  <a:prstDash val="solid"/>
                </a:ln>
              </c:spPr>
            </c:marker>
            <c:bubble3D val="0"/>
            <c:extLst>
              <c:ext xmlns:c16="http://schemas.microsoft.com/office/drawing/2014/chart" uri="{C3380CC4-5D6E-409C-BE32-E72D297353CC}">
                <c16:uniqueId val="{00000008-CB1F-4060-9BC5-EB34B5F028F2}"/>
              </c:ext>
            </c:extLst>
          </c:dPt>
          <c:dPt>
            <c:idx val="7"/>
            <c:marker>
              <c:spPr>
                <a:solidFill>
                  <a:srgbClr val="339966"/>
                </a:solidFill>
                <a:ln>
                  <a:solidFill>
                    <a:srgbClr val="339966"/>
                  </a:solidFill>
                  <a:prstDash val="solid"/>
                </a:ln>
              </c:spPr>
            </c:marker>
            <c:bubble3D val="0"/>
            <c:extLst>
              <c:ext xmlns:c16="http://schemas.microsoft.com/office/drawing/2014/chart" uri="{C3380CC4-5D6E-409C-BE32-E72D297353CC}">
                <c16:uniqueId val="{00000009-CB1F-4060-9BC5-EB34B5F028F2}"/>
              </c:ext>
            </c:extLst>
          </c:dPt>
          <c:dPt>
            <c:idx val="8"/>
            <c:marker>
              <c:spPr>
                <a:solidFill>
                  <a:srgbClr val="339966"/>
                </a:solidFill>
                <a:ln>
                  <a:solidFill>
                    <a:srgbClr val="339966"/>
                  </a:solidFill>
                  <a:prstDash val="solid"/>
                </a:ln>
              </c:spPr>
            </c:marker>
            <c:bubble3D val="0"/>
            <c:extLst>
              <c:ext xmlns:c16="http://schemas.microsoft.com/office/drawing/2014/chart" uri="{C3380CC4-5D6E-409C-BE32-E72D297353CC}">
                <c16:uniqueId val="{0000000A-CB1F-4060-9BC5-EB34B5F028F2}"/>
              </c:ext>
            </c:extLst>
          </c:dPt>
          <c:dPt>
            <c:idx val="9"/>
            <c:marker>
              <c:spPr>
                <a:solidFill>
                  <a:srgbClr val="339966"/>
                </a:solidFill>
                <a:ln>
                  <a:solidFill>
                    <a:srgbClr val="339966"/>
                  </a:solidFill>
                  <a:prstDash val="solid"/>
                </a:ln>
              </c:spPr>
            </c:marker>
            <c:bubble3D val="0"/>
            <c:extLst>
              <c:ext xmlns:c16="http://schemas.microsoft.com/office/drawing/2014/chart" uri="{C3380CC4-5D6E-409C-BE32-E72D297353CC}">
                <c16:uniqueId val="{0000000B-CB1F-4060-9BC5-EB34B5F028F2}"/>
              </c:ext>
            </c:extLst>
          </c:dPt>
          <c:dPt>
            <c:idx val="10"/>
            <c:marker>
              <c:spPr>
                <a:solidFill>
                  <a:srgbClr val="339966"/>
                </a:solidFill>
                <a:ln>
                  <a:solidFill>
                    <a:srgbClr val="339966"/>
                  </a:solidFill>
                  <a:prstDash val="solid"/>
                </a:ln>
              </c:spPr>
            </c:marker>
            <c:bubble3D val="0"/>
            <c:extLst>
              <c:ext xmlns:c16="http://schemas.microsoft.com/office/drawing/2014/chart" uri="{C3380CC4-5D6E-409C-BE32-E72D297353CC}">
                <c16:uniqueId val="{0000000C-CB1F-4060-9BC5-EB34B5F028F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D-CB1F-4060-9BC5-EB34B5F028F2}"/>
              </c:ext>
            </c:extLst>
          </c:dPt>
          <c:dPt>
            <c:idx val="12"/>
            <c:marker>
              <c:spPr>
                <a:solidFill>
                  <a:srgbClr val="339966"/>
                </a:solidFill>
                <a:ln>
                  <a:solidFill>
                    <a:srgbClr val="339966"/>
                  </a:solidFill>
                  <a:prstDash val="solid"/>
                </a:ln>
              </c:spPr>
            </c:marker>
            <c:bubble3D val="0"/>
            <c:extLst>
              <c:ext xmlns:c16="http://schemas.microsoft.com/office/drawing/2014/chart" uri="{C3380CC4-5D6E-409C-BE32-E72D297353CC}">
                <c16:uniqueId val="{0000000E-CB1F-4060-9BC5-EB34B5F028F2}"/>
              </c:ext>
            </c:extLst>
          </c:dPt>
          <c:dPt>
            <c:idx val="13"/>
            <c:marker>
              <c:spPr>
                <a:solidFill>
                  <a:srgbClr val="339966"/>
                </a:solidFill>
                <a:ln>
                  <a:solidFill>
                    <a:srgbClr val="339966"/>
                  </a:solidFill>
                  <a:prstDash val="solid"/>
                </a:ln>
              </c:spPr>
            </c:marker>
            <c:bubble3D val="0"/>
            <c:extLst>
              <c:ext xmlns:c16="http://schemas.microsoft.com/office/drawing/2014/chart" uri="{C3380CC4-5D6E-409C-BE32-E72D297353CC}">
                <c16:uniqueId val="{0000000F-CB1F-4060-9BC5-EB34B5F028F2}"/>
              </c:ext>
            </c:extLst>
          </c:dPt>
          <c:dPt>
            <c:idx val="14"/>
            <c:marker>
              <c:spPr>
                <a:solidFill>
                  <a:srgbClr val="339966"/>
                </a:solidFill>
                <a:ln>
                  <a:solidFill>
                    <a:srgbClr val="339966"/>
                  </a:solidFill>
                  <a:prstDash val="solid"/>
                </a:ln>
              </c:spPr>
            </c:marker>
            <c:bubble3D val="0"/>
            <c:extLst>
              <c:ext xmlns:c16="http://schemas.microsoft.com/office/drawing/2014/chart" uri="{C3380CC4-5D6E-409C-BE32-E72D297353CC}">
                <c16:uniqueId val="{00000010-CB1F-4060-9BC5-EB34B5F028F2}"/>
              </c:ext>
            </c:extLst>
          </c:dPt>
          <c:dPt>
            <c:idx val="15"/>
            <c:marker>
              <c:spPr>
                <a:solidFill>
                  <a:srgbClr val="339966"/>
                </a:solidFill>
                <a:ln>
                  <a:solidFill>
                    <a:srgbClr val="339966"/>
                  </a:solidFill>
                  <a:prstDash val="solid"/>
                </a:ln>
              </c:spPr>
            </c:marker>
            <c:bubble3D val="0"/>
            <c:extLst>
              <c:ext xmlns:c16="http://schemas.microsoft.com/office/drawing/2014/chart" uri="{C3380CC4-5D6E-409C-BE32-E72D297353CC}">
                <c16:uniqueId val="{00000011-CB1F-4060-9BC5-EB34B5F028F2}"/>
              </c:ext>
            </c:extLst>
          </c:dPt>
          <c:dPt>
            <c:idx val="16"/>
            <c:marker>
              <c:spPr>
                <a:solidFill>
                  <a:srgbClr val="339966"/>
                </a:solidFill>
                <a:ln>
                  <a:solidFill>
                    <a:srgbClr val="339966"/>
                  </a:solidFill>
                  <a:prstDash val="solid"/>
                </a:ln>
              </c:spPr>
            </c:marker>
            <c:bubble3D val="0"/>
            <c:extLst>
              <c:ext xmlns:c16="http://schemas.microsoft.com/office/drawing/2014/chart" uri="{C3380CC4-5D6E-409C-BE32-E72D297353CC}">
                <c16:uniqueId val="{00000012-CB1F-4060-9BC5-EB34B5F028F2}"/>
              </c:ext>
            </c:extLst>
          </c:dPt>
          <c:dPt>
            <c:idx val="17"/>
            <c:marker>
              <c:spPr>
                <a:solidFill>
                  <a:srgbClr val="339966"/>
                </a:solidFill>
                <a:ln>
                  <a:solidFill>
                    <a:srgbClr val="339966"/>
                  </a:solidFill>
                  <a:prstDash val="solid"/>
                </a:ln>
              </c:spPr>
            </c:marker>
            <c:bubble3D val="0"/>
            <c:extLst>
              <c:ext xmlns:c16="http://schemas.microsoft.com/office/drawing/2014/chart" uri="{C3380CC4-5D6E-409C-BE32-E72D297353CC}">
                <c16:uniqueId val="{00000013-CB1F-4060-9BC5-EB34B5F028F2}"/>
              </c:ext>
            </c:extLst>
          </c:dPt>
          <c:dPt>
            <c:idx val="18"/>
            <c:marker>
              <c:spPr>
                <a:solidFill>
                  <a:srgbClr val="339966"/>
                </a:solidFill>
                <a:ln>
                  <a:solidFill>
                    <a:srgbClr val="339966"/>
                  </a:solidFill>
                  <a:prstDash val="solid"/>
                </a:ln>
              </c:spPr>
            </c:marker>
            <c:bubble3D val="0"/>
            <c:extLst>
              <c:ext xmlns:c16="http://schemas.microsoft.com/office/drawing/2014/chart" uri="{C3380CC4-5D6E-409C-BE32-E72D297353CC}">
                <c16:uniqueId val="{00000014-CB1F-4060-9BC5-EB34B5F028F2}"/>
              </c:ext>
            </c:extLst>
          </c:dPt>
          <c:dPt>
            <c:idx val="19"/>
            <c:marker>
              <c:spPr>
                <a:solidFill>
                  <a:srgbClr val="339966"/>
                </a:solidFill>
                <a:ln>
                  <a:solidFill>
                    <a:srgbClr val="339966"/>
                  </a:solidFill>
                  <a:prstDash val="solid"/>
                </a:ln>
              </c:spPr>
            </c:marker>
            <c:bubble3D val="0"/>
            <c:extLst>
              <c:ext xmlns:c16="http://schemas.microsoft.com/office/drawing/2014/chart" uri="{C3380CC4-5D6E-409C-BE32-E72D297353CC}">
                <c16:uniqueId val="{00000015-CB1F-4060-9BC5-EB34B5F028F2}"/>
              </c:ext>
            </c:extLst>
          </c:dPt>
          <c:dPt>
            <c:idx val="20"/>
            <c:marker>
              <c:spPr>
                <a:solidFill>
                  <a:srgbClr val="339966"/>
                </a:solidFill>
                <a:ln>
                  <a:solidFill>
                    <a:srgbClr val="339966"/>
                  </a:solidFill>
                  <a:prstDash val="solid"/>
                </a:ln>
              </c:spPr>
            </c:marker>
            <c:bubble3D val="0"/>
            <c:extLst>
              <c:ext xmlns:c16="http://schemas.microsoft.com/office/drawing/2014/chart" uri="{C3380CC4-5D6E-409C-BE32-E72D297353CC}">
                <c16:uniqueId val="{00000016-CB1F-4060-9BC5-EB34B5F028F2}"/>
              </c:ext>
            </c:extLst>
          </c:dPt>
          <c:dPt>
            <c:idx val="21"/>
            <c:marker>
              <c:spPr>
                <a:solidFill>
                  <a:srgbClr val="339966"/>
                </a:solidFill>
                <a:ln>
                  <a:solidFill>
                    <a:srgbClr val="339966"/>
                  </a:solidFill>
                  <a:prstDash val="solid"/>
                </a:ln>
              </c:spPr>
            </c:marker>
            <c:bubble3D val="0"/>
            <c:extLst>
              <c:ext xmlns:c16="http://schemas.microsoft.com/office/drawing/2014/chart" uri="{C3380CC4-5D6E-409C-BE32-E72D297353CC}">
                <c16:uniqueId val="{00000017-CB1F-4060-9BC5-EB34B5F028F2}"/>
              </c:ext>
            </c:extLst>
          </c:dPt>
          <c:dPt>
            <c:idx val="22"/>
            <c:marker>
              <c:spPr>
                <a:solidFill>
                  <a:srgbClr val="339966"/>
                </a:solidFill>
                <a:ln>
                  <a:solidFill>
                    <a:srgbClr val="339966"/>
                  </a:solidFill>
                  <a:prstDash val="solid"/>
                </a:ln>
              </c:spPr>
            </c:marker>
            <c:bubble3D val="0"/>
            <c:extLst>
              <c:ext xmlns:c16="http://schemas.microsoft.com/office/drawing/2014/chart" uri="{C3380CC4-5D6E-409C-BE32-E72D297353CC}">
                <c16:uniqueId val="{00000018-CB1F-4060-9BC5-EB34B5F028F2}"/>
              </c:ext>
            </c:extLst>
          </c:dPt>
          <c:dPt>
            <c:idx val="23"/>
            <c:marker>
              <c:spPr>
                <a:solidFill>
                  <a:srgbClr val="339966"/>
                </a:solidFill>
                <a:ln>
                  <a:solidFill>
                    <a:srgbClr val="339966"/>
                  </a:solidFill>
                  <a:prstDash val="solid"/>
                </a:ln>
              </c:spPr>
            </c:marker>
            <c:bubble3D val="0"/>
            <c:extLst>
              <c:ext xmlns:c16="http://schemas.microsoft.com/office/drawing/2014/chart" uri="{C3380CC4-5D6E-409C-BE32-E72D297353CC}">
                <c16:uniqueId val="{00000019-CB1F-4060-9BC5-EB34B5F028F2}"/>
              </c:ext>
            </c:extLst>
          </c:dPt>
          <c:dPt>
            <c:idx val="24"/>
            <c:marker>
              <c:spPr>
                <a:solidFill>
                  <a:srgbClr val="339966"/>
                </a:solidFill>
                <a:ln>
                  <a:solidFill>
                    <a:srgbClr val="339966"/>
                  </a:solidFill>
                  <a:prstDash val="solid"/>
                </a:ln>
              </c:spPr>
            </c:marker>
            <c:bubble3D val="0"/>
            <c:extLst>
              <c:ext xmlns:c16="http://schemas.microsoft.com/office/drawing/2014/chart" uri="{C3380CC4-5D6E-409C-BE32-E72D297353CC}">
                <c16:uniqueId val="{0000001A-CB1F-4060-9BC5-EB34B5F028F2}"/>
              </c:ext>
            </c:extLst>
          </c:dPt>
          <c:dPt>
            <c:idx val="25"/>
            <c:marker>
              <c:spPr>
                <a:solidFill>
                  <a:srgbClr val="339966"/>
                </a:solidFill>
                <a:ln>
                  <a:solidFill>
                    <a:srgbClr val="339966"/>
                  </a:solidFill>
                  <a:prstDash val="solid"/>
                </a:ln>
              </c:spPr>
            </c:marker>
            <c:bubble3D val="0"/>
            <c:extLst>
              <c:ext xmlns:c16="http://schemas.microsoft.com/office/drawing/2014/chart" uri="{C3380CC4-5D6E-409C-BE32-E72D297353CC}">
                <c16:uniqueId val="{0000001B-CB1F-4060-9BC5-EB34B5F028F2}"/>
              </c:ext>
            </c:extLst>
          </c:dPt>
          <c:dPt>
            <c:idx val="26"/>
            <c:marker>
              <c:spPr>
                <a:solidFill>
                  <a:srgbClr val="339966"/>
                </a:solidFill>
                <a:ln>
                  <a:solidFill>
                    <a:srgbClr val="339966"/>
                  </a:solidFill>
                  <a:prstDash val="solid"/>
                </a:ln>
              </c:spPr>
            </c:marker>
            <c:bubble3D val="0"/>
            <c:extLst>
              <c:ext xmlns:c16="http://schemas.microsoft.com/office/drawing/2014/chart" uri="{C3380CC4-5D6E-409C-BE32-E72D297353CC}">
                <c16:uniqueId val="{0000001C-CB1F-4060-9BC5-EB34B5F028F2}"/>
              </c:ext>
            </c:extLst>
          </c:dPt>
          <c:dPt>
            <c:idx val="27"/>
            <c:marker>
              <c:spPr>
                <a:solidFill>
                  <a:srgbClr val="339966"/>
                </a:solidFill>
                <a:ln>
                  <a:solidFill>
                    <a:srgbClr val="339966"/>
                  </a:solidFill>
                  <a:prstDash val="solid"/>
                </a:ln>
              </c:spPr>
            </c:marker>
            <c:bubble3D val="0"/>
            <c:extLst>
              <c:ext xmlns:c16="http://schemas.microsoft.com/office/drawing/2014/chart" uri="{C3380CC4-5D6E-409C-BE32-E72D297353CC}">
                <c16:uniqueId val="{0000001D-CB1F-4060-9BC5-EB34B5F028F2}"/>
              </c:ext>
            </c:extLst>
          </c:dPt>
          <c:dPt>
            <c:idx val="28"/>
            <c:marker>
              <c:spPr>
                <a:solidFill>
                  <a:srgbClr val="339966"/>
                </a:solidFill>
                <a:ln>
                  <a:solidFill>
                    <a:srgbClr val="339966"/>
                  </a:solidFill>
                  <a:prstDash val="solid"/>
                </a:ln>
              </c:spPr>
            </c:marker>
            <c:bubble3D val="0"/>
            <c:extLst>
              <c:ext xmlns:c16="http://schemas.microsoft.com/office/drawing/2014/chart" uri="{C3380CC4-5D6E-409C-BE32-E72D297353CC}">
                <c16:uniqueId val="{0000001E-CB1F-4060-9BC5-EB34B5F028F2}"/>
              </c:ext>
            </c:extLst>
          </c:dPt>
          <c:dPt>
            <c:idx val="29"/>
            <c:marker>
              <c:spPr>
                <a:solidFill>
                  <a:srgbClr val="339966"/>
                </a:solidFill>
                <a:ln>
                  <a:solidFill>
                    <a:srgbClr val="339966"/>
                  </a:solidFill>
                  <a:prstDash val="solid"/>
                </a:ln>
              </c:spPr>
            </c:marker>
            <c:bubble3D val="0"/>
            <c:extLst>
              <c:ext xmlns:c16="http://schemas.microsoft.com/office/drawing/2014/chart" uri="{C3380CC4-5D6E-409C-BE32-E72D297353CC}">
                <c16:uniqueId val="{0000001F-CB1F-4060-9BC5-EB34B5F028F2}"/>
              </c:ext>
            </c:extLst>
          </c:dPt>
          <c:dPt>
            <c:idx val="30"/>
            <c:marker>
              <c:spPr>
                <a:solidFill>
                  <a:srgbClr val="339966"/>
                </a:solidFill>
                <a:ln>
                  <a:solidFill>
                    <a:srgbClr val="339966"/>
                  </a:solidFill>
                  <a:prstDash val="solid"/>
                </a:ln>
              </c:spPr>
            </c:marker>
            <c:bubble3D val="0"/>
            <c:extLst>
              <c:ext xmlns:c16="http://schemas.microsoft.com/office/drawing/2014/chart" uri="{C3380CC4-5D6E-409C-BE32-E72D297353CC}">
                <c16:uniqueId val="{00000020-CB1F-4060-9BC5-EB34B5F028F2}"/>
              </c:ext>
            </c:extLst>
          </c:dPt>
          <c:dPt>
            <c:idx val="31"/>
            <c:marker>
              <c:spPr>
                <a:solidFill>
                  <a:srgbClr val="339966"/>
                </a:solidFill>
                <a:ln>
                  <a:solidFill>
                    <a:srgbClr val="339966"/>
                  </a:solidFill>
                  <a:prstDash val="solid"/>
                </a:ln>
              </c:spPr>
            </c:marker>
            <c:bubble3D val="0"/>
            <c:extLst>
              <c:ext xmlns:c16="http://schemas.microsoft.com/office/drawing/2014/chart" uri="{C3380CC4-5D6E-409C-BE32-E72D297353CC}">
                <c16:uniqueId val="{00000021-CB1F-4060-9BC5-EB34B5F028F2}"/>
              </c:ext>
            </c:extLst>
          </c:dPt>
          <c:dPt>
            <c:idx val="32"/>
            <c:marker>
              <c:spPr>
                <a:solidFill>
                  <a:srgbClr val="339966"/>
                </a:solidFill>
                <a:ln>
                  <a:solidFill>
                    <a:srgbClr val="339966"/>
                  </a:solidFill>
                  <a:prstDash val="solid"/>
                </a:ln>
              </c:spPr>
            </c:marker>
            <c:bubble3D val="0"/>
            <c:extLst>
              <c:ext xmlns:c16="http://schemas.microsoft.com/office/drawing/2014/chart" uri="{C3380CC4-5D6E-409C-BE32-E72D297353CC}">
                <c16:uniqueId val="{00000022-CB1F-4060-9BC5-EB34B5F028F2}"/>
              </c:ext>
            </c:extLst>
          </c:dPt>
          <c:dPt>
            <c:idx val="33"/>
            <c:marker>
              <c:spPr>
                <a:solidFill>
                  <a:srgbClr val="339966"/>
                </a:solidFill>
                <a:ln>
                  <a:solidFill>
                    <a:srgbClr val="339966"/>
                  </a:solidFill>
                  <a:prstDash val="solid"/>
                </a:ln>
              </c:spPr>
            </c:marker>
            <c:bubble3D val="0"/>
            <c:extLst>
              <c:ext xmlns:c16="http://schemas.microsoft.com/office/drawing/2014/chart" uri="{C3380CC4-5D6E-409C-BE32-E72D297353CC}">
                <c16:uniqueId val="{00000023-CB1F-4060-9BC5-EB34B5F028F2}"/>
              </c:ext>
            </c:extLst>
          </c:dPt>
          <c:dPt>
            <c:idx val="34"/>
            <c:marker>
              <c:spPr>
                <a:solidFill>
                  <a:srgbClr val="339966"/>
                </a:solidFill>
                <a:ln>
                  <a:solidFill>
                    <a:srgbClr val="339966"/>
                  </a:solidFill>
                  <a:prstDash val="solid"/>
                </a:ln>
              </c:spPr>
            </c:marker>
            <c:bubble3D val="0"/>
            <c:extLst>
              <c:ext xmlns:c16="http://schemas.microsoft.com/office/drawing/2014/chart" uri="{C3380CC4-5D6E-409C-BE32-E72D297353CC}">
                <c16:uniqueId val="{00000024-CB1F-4060-9BC5-EB34B5F028F2}"/>
              </c:ext>
            </c:extLst>
          </c:dPt>
          <c:dPt>
            <c:idx val="35"/>
            <c:marker>
              <c:spPr>
                <a:solidFill>
                  <a:srgbClr val="339966"/>
                </a:solidFill>
                <a:ln>
                  <a:solidFill>
                    <a:srgbClr val="339966"/>
                  </a:solidFill>
                  <a:prstDash val="solid"/>
                </a:ln>
              </c:spPr>
            </c:marker>
            <c:bubble3D val="0"/>
            <c:extLst>
              <c:ext xmlns:c16="http://schemas.microsoft.com/office/drawing/2014/chart" uri="{C3380CC4-5D6E-409C-BE32-E72D297353CC}">
                <c16:uniqueId val="{00000025-CB1F-4060-9BC5-EB34B5F028F2}"/>
              </c:ext>
            </c:extLst>
          </c:dPt>
          <c:dPt>
            <c:idx val="36"/>
            <c:marker>
              <c:spPr>
                <a:solidFill>
                  <a:srgbClr val="339966"/>
                </a:solidFill>
                <a:ln>
                  <a:solidFill>
                    <a:srgbClr val="339966"/>
                  </a:solidFill>
                  <a:prstDash val="solid"/>
                </a:ln>
              </c:spPr>
            </c:marker>
            <c:bubble3D val="0"/>
            <c:extLst>
              <c:ext xmlns:c16="http://schemas.microsoft.com/office/drawing/2014/chart" uri="{C3380CC4-5D6E-409C-BE32-E72D297353CC}">
                <c16:uniqueId val="{00000026-CB1F-4060-9BC5-EB34B5F028F2}"/>
              </c:ext>
            </c:extLst>
          </c:dPt>
          <c:dPt>
            <c:idx val="37"/>
            <c:marker>
              <c:spPr>
                <a:solidFill>
                  <a:srgbClr val="339966"/>
                </a:solidFill>
                <a:ln>
                  <a:solidFill>
                    <a:srgbClr val="339966"/>
                  </a:solidFill>
                  <a:prstDash val="solid"/>
                </a:ln>
              </c:spPr>
            </c:marker>
            <c:bubble3D val="0"/>
            <c:extLst>
              <c:ext xmlns:c16="http://schemas.microsoft.com/office/drawing/2014/chart" uri="{C3380CC4-5D6E-409C-BE32-E72D297353CC}">
                <c16:uniqueId val="{00000027-CB1F-4060-9BC5-EB34B5F028F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B1F-4060-9BC5-EB34B5F028F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B1F-4060-9BC5-EB34B5F028F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B1F-4060-9BC5-EB34B5F028F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B1F-4060-9BC5-EB34B5F028F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B1F-4060-9BC5-EB34B5F028F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B1F-4060-9BC5-EB34B5F028F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B1F-4060-9BC5-EB34B5F028F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B1F-4060-9BC5-EB34B5F028F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B1F-4060-9BC5-EB34B5F028F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B1F-4060-9BC5-EB34B5F028F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B1F-4060-9BC5-EB34B5F028F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B1F-4060-9BC5-EB34B5F028F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B1F-4060-9BC5-EB34B5F028F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B1F-4060-9BC5-EB34B5F028F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B1F-4060-9BC5-EB34B5F028F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B1F-4060-9BC5-EB34B5F028F2}"/>
                </c:ext>
              </c:extLst>
            </c:dLbl>
            <c:dLbl>
              <c:idx val="16"/>
              <c:tx>
                <c:rich>
                  <a:bodyPr/>
                  <a:lstStyle/>
                  <a:p>
                    <a:r>
                      <a:rPr lang="en-US"/>
                      <a:t>16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B1F-4060-9BC5-EB34B5F028F2}"/>
                </c:ext>
              </c:extLst>
            </c:dLbl>
            <c:dLbl>
              <c:idx val="17"/>
              <c:tx>
                <c:rich>
                  <a:bodyPr/>
                  <a:lstStyle/>
                  <a:p>
                    <a:r>
                      <a:rPr lang="en-US"/>
                      <a:t>17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B1F-4060-9BC5-EB34B5F028F2}"/>
                </c:ext>
              </c:extLst>
            </c:dLbl>
            <c:dLbl>
              <c:idx val="18"/>
              <c:tx>
                <c:rich>
                  <a:bodyPr/>
                  <a:lstStyle/>
                  <a:p>
                    <a:r>
                      <a:rPr lang="en-US"/>
                      <a:t>18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B1F-4060-9BC5-EB34B5F028F2}"/>
                </c:ext>
              </c:extLst>
            </c:dLbl>
            <c:dLbl>
              <c:idx val="19"/>
              <c:tx>
                <c:rich>
                  <a:bodyPr/>
                  <a:lstStyle/>
                  <a:p>
                    <a:r>
                      <a:rPr lang="en-US"/>
                      <a:t>19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B1F-4060-9BC5-EB34B5F028F2}"/>
                </c:ext>
              </c:extLst>
            </c:dLbl>
            <c:dLbl>
              <c:idx val="20"/>
              <c:tx>
                <c:rich>
                  <a:bodyPr/>
                  <a:lstStyle/>
                  <a:p>
                    <a:r>
                      <a:rPr lang="en-US"/>
                      <a:t>20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B1F-4060-9BC5-EB34B5F028F2}"/>
                </c:ext>
              </c:extLst>
            </c:dLbl>
            <c:dLbl>
              <c:idx val="21"/>
              <c:tx>
                <c:rich>
                  <a:bodyPr/>
                  <a:lstStyle/>
                  <a:p>
                    <a:r>
                      <a:rPr lang="en-US"/>
                      <a:t>21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B1F-4060-9BC5-EB34B5F028F2}"/>
                </c:ext>
              </c:extLst>
            </c:dLbl>
            <c:dLbl>
              <c:idx val="22"/>
              <c:tx>
                <c:rich>
                  <a:bodyPr/>
                  <a:lstStyle/>
                  <a:p>
                    <a:r>
                      <a:rPr lang="en-US"/>
                      <a:t>22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B1F-4060-9BC5-EB34B5F028F2}"/>
                </c:ext>
              </c:extLst>
            </c:dLbl>
            <c:dLbl>
              <c:idx val="23"/>
              <c:tx>
                <c:rich>
                  <a:bodyPr/>
                  <a:lstStyle/>
                  <a:p>
                    <a:r>
                      <a:rPr lang="en-US"/>
                      <a:t>23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CB1F-4060-9BC5-EB34B5F028F2}"/>
                </c:ext>
              </c:extLst>
            </c:dLbl>
            <c:dLbl>
              <c:idx val="24"/>
              <c:tx>
                <c:rich>
                  <a:bodyPr/>
                  <a:lstStyle/>
                  <a:p>
                    <a:r>
                      <a:rPr lang="en-US"/>
                      <a:t>24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CB1F-4060-9BC5-EB34B5F028F2}"/>
                </c:ext>
              </c:extLst>
            </c:dLbl>
            <c:dLbl>
              <c:idx val="25"/>
              <c:tx>
                <c:rich>
                  <a:bodyPr/>
                  <a:lstStyle/>
                  <a:p>
                    <a:r>
                      <a:rPr lang="en-US"/>
                      <a:t>25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CB1F-4060-9BC5-EB34B5F028F2}"/>
                </c:ext>
              </c:extLst>
            </c:dLbl>
            <c:dLbl>
              <c:idx val="26"/>
              <c:tx>
                <c:rich>
                  <a:bodyPr/>
                  <a:lstStyle/>
                  <a:p>
                    <a:r>
                      <a:rPr lang="en-US"/>
                      <a:t>26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CB1F-4060-9BC5-EB34B5F028F2}"/>
                </c:ext>
              </c:extLst>
            </c:dLbl>
            <c:dLbl>
              <c:idx val="27"/>
              <c:tx>
                <c:rich>
                  <a:bodyPr/>
                  <a:lstStyle/>
                  <a:p>
                    <a:r>
                      <a:rPr lang="en-US"/>
                      <a:t>27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CB1F-4060-9BC5-EB34B5F028F2}"/>
                </c:ext>
              </c:extLst>
            </c:dLbl>
            <c:dLbl>
              <c:idx val="28"/>
              <c:tx>
                <c:rich>
                  <a:bodyPr/>
                  <a:lstStyle/>
                  <a:p>
                    <a:r>
                      <a:rPr lang="en-US"/>
                      <a:t>28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CB1F-4060-9BC5-EB34B5F028F2}"/>
                </c:ext>
              </c:extLst>
            </c:dLbl>
            <c:dLbl>
              <c:idx val="29"/>
              <c:tx>
                <c:rich>
                  <a:bodyPr/>
                  <a:lstStyle/>
                  <a:p>
                    <a:r>
                      <a:rPr lang="en-US"/>
                      <a:t>29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CB1F-4060-9BC5-EB34B5F028F2}"/>
                </c:ext>
              </c:extLst>
            </c:dLbl>
            <c:dLbl>
              <c:idx val="30"/>
              <c:tx>
                <c:rich>
                  <a:bodyPr/>
                  <a:lstStyle/>
                  <a:p>
                    <a:r>
                      <a:rPr lang="en-US"/>
                      <a:t>30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CB1F-4060-9BC5-EB34B5F028F2}"/>
                </c:ext>
              </c:extLst>
            </c:dLbl>
            <c:dLbl>
              <c:idx val="31"/>
              <c:tx>
                <c:rich>
                  <a:bodyPr/>
                  <a:lstStyle/>
                  <a:p>
                    <a:r>
                      <a:rPr lang="en-US"/>
                      <a:t>31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CB1F-4060-9BC5-EB34B5F028F2}"/>
                </c:ext>
              </c:extLst>
            </c:dLbl>
            <c:dLbl>
              <c:idx val="32"/>
              <c:tx>
                <c:rich>
                  <a:bodyPr/>
                  <a:lstStyle/>
                  <a:p>
                    <a:r>
                      <a:rPr lang="en-US"/>
                      <a:t>32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CB1F-4060-9BC5-EB34B5F028F2}"/>
                </c:ext>
              </c:extLst>
            </c:dLbl>
            <c:dLbl>
              <c:idx val="33"/>
              <c:tx>
                <c:rich>
                  <a:bodyPr/>
                  <a:lstStyle/>
                  <a:p>
                    <a:r>
                      <a:rPr lang="en-US"/>
                      <a:t>33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CB1F-4060-9BC5-EB34B5F028F2}"/>
                </c:ext>
              </c:extLst>
            </c:dLbl>
            <c:dLbl>
              <c:idx val="34"/>
              <c:tx>
                <c:rich>
                  <a:bodyPr/>
                  <a:lstStyle/>
                  <a:p>
                    <a:r>
                      <a:rPr lang="en-US"/>
                      <a:t>34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CB1F-4060-9BC5-EB34B5F028F2}"/>
                </c:ext>
              </c:extLst>
            </c:dLbl>
            <c:dLbl>
              <c:idx val="35"/>
              <c:tx>
                <c:rich>
                  <a:bodyPr/>
                  <a:lstStyle/>
                  <a:p>
                    <a:r>
                      <a:rPr lang="en-US"/>
                      <a:t>35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CB1F-4060-9BC5-EB34B5F028F2}"/>
                </c:ext>
              </c:extLst>
            </c:dLbl>
            <c:dLbl>
              <c:idx val="36"/>
              <c:tx>
                <c:rich>
                  <a:bodyPr/>
                  <a:lstStyle/>
                  <a:p>
                    <a:r>
                      <a:rPr lang="en-US"/>
                      <a:t>36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CB1F-4060-9BC5-EB34B5F028F2}"/>
                </c:ext>
              </c:extLst>
            </c:dLbl>
            <c:dLbl>
              <c:idx val="37"/>
              <c:tx>
                <c:rich>
                  <a:bodyPr/>
                  <a:lstStyle/>
                  <a:p>
                    <a:r>
                      <a:rPr lang="en-US"/>
                      <a:t>37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CB1F-4060-9BC5-EB34B5F028F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strRef>
              <c:f>'1 ubicaciones'!$E$2:$E$22</c:f>
              <c:strCache>
                <c:ptCount val="21"/>
                <c:pt idx="0">
                  <c:v>-77.0023651</c:v>
                </c:pt>
                <c:pt idx="1">
                  <c:v>-77.0023651</c:v>
                </c:pt>
                <c:pt idx="2">
                  <c:v>-7.712.329.799.999.990</c:v>
                </c:pt>
                <c:pt idx="3">
                  <c:v>-76.960468</c:v>
                </c:pt>
                <c:pt idx="4">
                  <c:v>-76.7534275</c:v>
                </c:pt>
                <c:pt idx="5">
                  <c:v>-769.360.312</c:v>
                </c:pt>
                <c:pt idx="6">
                  <c:v>-77.088834</c:v>
                </c:pt>
                <c:pt idx="7">
                  <c:v>-77.0732874</c:v>
                </c:pt>
                <c:pt idx="8">
                  <c:v>-770.312.974</c:v>
                </c:pt>
                <c:pt idx="9">
                  <c:v>-77.002574</c:v>
                </c:pt>
                <c:pt idx="10">
                  <c:v>-77.0296341</c:v>
                </c:pt>
                <c:pt idx="11">
                  <c:v>-77.0317548</c:v>
                </c:pt>
                <c:pt idx="12">
                  <c:v>-76.9638222</c:v>
                </c:pt>
                <c:pt idx="13">
                  <c:v>-77.0303124</c:v>
                </c:pt>
                <c:pt idx="14">
                  <c:v>-76.9178268</c:v>
                </c:pt>
                <c:pt idx="15">
                  <c:v>-7.687.161.549.999.990</c:v>
                </c:pt>
                <c:pt idx="16">
                  <c:v>-7.702.201.939.999.990</c:v>
                </c:pt>
                <c:pt idx="17">
                  <c:v>-770.732.693</c:v>
                </c:pt>
                <c:pt idx="18">
                  <c:v>-7.707.947.519.999.990</c:v>
                </c:pt>
                <c:pt idx="19">
                  <c:v>-7.703.517.289.999.990</c:v>
                </c:pt>
                <c:pt idx="20">
                  <c:v>-7.705.062.389.999.990</c:v>
                </c:pt>
              </c:strCache>
            </c:strRef>
          </c:xVal>
          <c:yVal>
            <c:numRef>
              <c:f>'1 ubicaciones'!$D$2:$D$22</c:f>
              <c:numCache>
                <c:formatCode>General</c:formatCode>
                <c:ptCount val="21"/>
                <c:pt idx="0">
                  <c:v>-12.072199100000001</c:v>
                </c:pt>
                <c:pt idx="1">
                  <c:v>-12.072199100000001</c:v>
                </c:pt>
                <c:pt idx="2">
                  <c:v>0</c:v>
                </c:pt>
                <c:pt idx="3">
                  <c:v>-12.064364599999999</c:v>
                </c:pt>
                <c:pt idx="4">
                  <c:v>-11.9711029</c:v>
                </c:pt>
                <c:pt idx="5">
                  <c:v>0</c:v>
                </c:pt>
                <c:pt idx="6">
                  <c:v>-12.076704899999999</c:v>
                </c:pt>
                <c:pt idx="7">
                  <c:v>-12.0598008</c:v>
                </c:pt>
                <c:pt idx="8">
                  <c:v>0</c:v>
                </c:pt>
                <c:pt idx="9">
                  <c:v>-11.9744805</c:v>
                </c:pt>
                <c:pt idx="10">
                  <c:v>-12.1167728</c:v>
                </c:pt>
                <c:pt idx="11">
                  <c:v>-12.092487800000001</c:v>
                </c:pt>
                <c:pt idx="12">
                  <c:v>-12.074638200000001</c:v>
                </c:pt>
                <c:pt idx="13">
                  <c:v>-12.1089684</c:v>
                </c:pt>
                <c:pt idx="14">
                  <c:v>-12.077358500000001</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1-CB1F-4060-9BC5-EB34B5F028F2}"/>
            </c:ext>
          </c:extLst>
        </c:ser>
        <c:ser>
          <c:idx val="1"/>
          <c:order val="1"/>
          <c:tx>
            <c:strRef>
              <c:f>'5.Visualización'!$O$1</c:f>
              <c:strCache>
                <c:ptCount val="1"/>
                <c:pt idx="0">
                  <c:v>V1 (T1)</c:v>
                </c:pt>
              </c:strCache>
            </c:strRef>
          </c:tx>
          <c:spPr>
            <a:ln w="19050" cap="rnd" cmpd="sng" algn="ctr">
              <a:solidFill>
                <a:srgbClr val="C0504D">
                  <a:shade val="76000"/>
                  <a:shade val="95000"/>
                  <a:satMod val="105000"/>
                </a:srgbClr>
              </a:solidFill>
              <a:prstDash val="solid"/>
              <a:round/>
            </a:ln>
            <a:effectLst/>
          </c:spPr>
          <c:marker>
            <c:symbol val="none"/>
          </c:marker>
          <c:xVal>
            <c:numRef>
              <c:f>'5.Visualización'!$Q$2:$Q$146</c:f>
              <c:numCache>
                <c:formatCode>General</c:formatCode>
                <c:ptCount val="145"/>
                <c:pt idx="0">
                  <c:v>-77.002365100000006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xVal>
          <c:yVal>
            <c:numRef>
              <c:f>'5.Visualización'!$P$2:$P$146</c:f>
              <c:numCache>
                <c:formatCode>General</c:formatCode>
                <c:ptCount val="145"/>
                <c:pt idx="0">
                  <c:v>-12.072199100000001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yVal>
          <c:smooth val="0"/>
          <c:extLst>
            <c:ext xmlns:c16="http://schemas.microsoft.com/office/drawing/2014/chart" uri="{C3380CC4-5D6E-409C-BE32-E72D297353CC}">
              <c16:uniqueId val="{00000028-CB1F-4060-9BC5-EB34B5F028F2}"/>
            </c:ext>
          </c:extLst>
        </c:ser>
        <c:ser>
          <c:idx val="2"/>
          <c:order val="2"/>
          <c:tx>
            <c:strRef>
              <c:f>'5.Visualización'!$R$1</c:f>
              <c:strCache>
                <c:ptCount val="1"/>
                <c:pt idx="0">
                  <c:v>V2 (T2)</c:v>
                </c:pt>
              </c:strCache>
            </c:strRef>
          </c:tx>
          <c:spPr>
            <a:ln w="19050" cap="rnd" cmpd="sng" algn="ctr">
              <a:solidFill>
                <a:srgbClr val="9BBB59">
                  <a:shade val="76000"/>
                  <a:shade val="95000"/>
                  <a:satMod val="105000"/>
                </a:srgbClr>
              </a:solidFill>
              <a:prstDash val="solid"/>
              <a:round/>
            </a:ln>
            <a:effectLst/>
          </c:spPr>
          <c:marker>
            <c:symbol val="none"/>
          </c:marker>
          <c:xVal>
            <c:numRef>
              <c:f>'5.Visualización'!$T$2:$T$146</c:f>
              <c:numCache>
                <c:formatCode>General</c:formatCode>
                <c:ptCount val="145"/>
                <c:pt idx="0">
                  <c:v>-77.002365100000006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xVal>
          <c:yVal>
            <c:numRef>
              <c:f>'5.Visualización'!$S$2:$S$146</c:f>
              <c:numCache>
                <c:formatCode>General</c:formatCode>
                <c:ptCount val="145"/>
                <c:pt idx="0">
                  <c:v>-12.072199100000001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yVal>
          <c:smooth val="0"/>
          <c:extLst>
            <c:ext xmlns:c16="http://schemas.microsoft.com/office/drawing/2014/chart" uri="{C3380CC4-5D6E-409C-BE32-E72D297353CC}">
              <c16:uniqueId val="{00000029-CB1F-4060-9BC5-EB34B5F028F2}"/>
            </c:ext>
          </c:extLst>
        </c:ser>
        <c:ser>
          <c:idx val="3"/>
          <c:order val="3"/>
          <c:tx>
            <c:strRef>
              <c:f>'5.Visualización'!$U$1</c:f>
              <c:strCache>
                <c:ptCount val="1"/>
                <c:pt idx="0">
                  <c:v>V3 (T3)</c:v>
                </c:pt>
              </c:strCache>
            </c:strRef>
          </c:tx>
          <c:spPr>
            <a:ln w="19050" cap="rnd" cmpd="sng" algn="ctr">
              <a:solidFill>
                <a:srgbClr val="8064A2">
                  <a:shade val="76000"/>
                  <a:shade val="95000"/>
                  <a:satMod val="105000"/>
                </a:srgbClr>
              </a:solidFill>
              <a:prstDash val="solid"/>
              <a:round/>
            </a:ln>
            <a:effectLst/>
          </c:spPr>
          <c:marker>
            <c:symbol val="none"/>
          </c:marker>
          <c:xVal>
            <c:strRef>
              <c:f>'5.Visualización'!$W$2:$W$146</c:f>
              <c:strCache>
                <c:ptCount val="145"/>
                <c:pt idx="0">
                  <c:v>-77.0023651</c:v>
                </c:pt>
                <c:pt idx="1">
                  <c:v>#N/D</c:v>
                </c:pt>
                <c:pt idx="2">
                  <c:v>#N/D</c:v>
                </c:pt>
                <c:pt idx="3">
                  <c:v>#N/D</c:v>
                </c:pt>
                <c:pt idx="4">
                  <c:v>#N/D</c:v>
                </c:pt>
                <c:pt idx="5">
                  <c:v>#N/D</c:v>
                </c:pt>
                <c:pt idx="6">
                  <c:v>#N/D</c:v>
                </c:pt>
                <c:pt idx="7">
                  <c:v>#N/D</c:v>
                </c:pt>
                <c:pt idx="8">
                  <c:v>#N/D</c:v>
                </c:pt>
                <c:pt idx="9">
                  <c:v>#N/D</c:v>
                </c:pt>
                <c:pt idx="10">
                  <c:v>#N/D</c:v>
                </c:pt>
                <c:pt idx="11">
                  <c:v>#N/D</c:v>
                </c:pt>
                <c:pt idx="12">
                  <c:v>-7.705.062.389.999.990</c:v>
                </c:pt>
                <c:pt idx="13">
                  <c:v>#N/D</c:v>
                </c:pt>
                <c:pt idx="14">
                  <c:v>#N/D</c:v>
                </c:pt>
                <c:pt idx="15">
                  <c:v>#N/D</c:v>
                </c:pt>
                <c:pt idx="16">
                  <c:v>#N/D</c:v>
                </c:pt>
                <c:pt idx="17">
                  <c:v>#N/D</c:v>
                </c:pt>
                <c:pt idx="18">
                  <c:v>#N/D</c:v>
                </c:pt>
                <c:pt idx="19">
                  <c:v>#N/D</c:v>
                </c:pt>
                <c:pt idx="20">
                  <c:v>#N/D</c:v>
                </c:pt>
                <c:pt idx="21">
                  <c:v>#N/D</c:v>
                </c:pt>
                <c:pt idx="22">
                  <c:v>#N/D</c:v>
                </c:pt>
                <c:pt idx="23">
                  <c:v>#N/D</c:v>
                </c:pt>
                <c:pt idx="24">
                  <c:v>#N/D</c:v>
                </c:pt>
                <c:pt idx="25">
                  <c:v>#N/D</c:v>
                </c:pt>
                <c:pt idx="26">
                  <c:v>#N/D</c:v>
                </c:pt>
                <c:pt idx="27">
                  <c:v>#N/D</c:v>
                </c:pt>
                <c:pt idx="28">
                  <c:v>#N/D</c:v>
                </c:pt>
                <c:pt idx="29">
                  <c:v>#N/D</c:v>
                </c:pt>
                <c:pt idx="30">
                  <c:v>#N/D</c:v>
                </c:pt>
                <c:pt idx="31">
                  <c:v>#N/D</c:v>
                </c:pt>
                <c:pt idx="32">
                  <c:v>#N/D</c:v>
                </c:pt>
                <c:pt idx="33">
                  <c:v>#N/D</c:v>
                </c:pt>
                <c:pt idx="34">
                  <c:v>#N/D</c:v>
                </c:pt>
                <c:pt idx="35">
                  <c:v>#N/D</c:v>
                </c:pt>
                <c:pt idx="36">
                  <c:v>#N/D</c:v>
                </c:pt>
                <c:pt idx="37">
                  <c:v>#N/D</c:v>
                </c:pt>
                <c:pt idx="38">
                  <c:v>#N/D</c:v>
                </c:pt>
                <c:pt idx="39">
                  <c:v>#N/D</c:v>
                </c:pt>
                <c:pt idx="40">
                  <c:v>#N/D</c:v>
                </c:pt>
                <c:pt idx="41">
                  <c:v>#N/D</c:v>
                </c:pt>
                <c:pt idx="42">
                  <c:v>#N/D</c:v>
                </c:pt>
                <c:pt idx="43">
                  <c:v>#N/D</c:v>
                </c:pt>
                <c:pt idx="44">
                  <c:v>#N/D</c:v>
                </c:pt>
                <c:pt idx="45">
                  <c:v>#N/D</c:v>
                </c:pt>
                <c:pt idx="46">
                  <c:v>#N/D</c:v>
                </c:pt>
                <c:pt idx="47">
                  <c:v>#N/D</c:v>
                </c:pt>
                <c:pt idx="48">
                  <c:v>#N/D</c:v>
                </c:pt>
                <c:pt idx="49">
                  <c:v>#N/D</c:v>
                </c:pt>
                <c:pt idx="50">
                  <c:v>#N/D</c:v>
                </c:pt>
                <c:pt idx="51">
                  <c:v>#N/D</c:v>
                </c:pt>
                <c:pt idx="52">
                  <c:v>#N/D</c:v>
                </c:pt>
                <c:pt idx="53">
                  <c:v>#N/D</c:v>
                </c:pt>
                <c:pt idx="54">
                  <c:v>#N/D</c:v>
                </c:pt>
                <c:pt idx="55">
                  <c:v>#N/D</c:v>
                </c:pt>
                <c:pt idx="56">
                  <c:v>#N/D</c:v>
                </c:pt>
                <c:pt idx="57">
                  <c:v>#N/D</c:v>
                </c:pt>
                <c:pt idx="58">
                  <c:v>#N/D</c:v>
                </c:pt>
                <c:pt idx="59">
                  <c:v>#N/D</c:v>
                </c:pt>
                <c:pt idx="60">
                  <c:v>#N/D</c:v>
                </c:pt>
                <c:pt idx="61">
                  <c:v>#N/D</c:v>
                </c:pt>
                <c:pt idx="62">
                  <c:v>#N/D</c:v>
                </c:pt>
                <c:pt idx="63">
                  <c:v>#N/D</c:v>
                </c:pt>
                <c:pt idx="64">
                  <c:v>#N/D</c:v>
                </c:pt>
                <c:pt idx="65">
                  <c:v>#N/D</c:v>
                </c:pt>
                <c:pt idx="66">
                  <c:v>#N/D</c:v>
                </c:pt>
                <c:pt idx="67">
                  <c:v>#N/D</c:v>
                </c:pt>
                <c:pt idx="68">
                  <c:v>#N/D</c:v>
                </c:pt>
                <c:pt idx="69">
                  <c:v>#N/D</c:v>
                </c:pt>
                <c:pt idx="70">
                  <c:v>#N/D</c:v>
                </c:pt>
                <c:pt idx="71">
                  <c:v>#N/D</c:v>
                </c:pt>
                <c:pt idx="72">
                  <c:v>#N/D</c:v>
                </c:pt>
                <c:pt idx="73">
                  <c:v>#N/D</c:v>
                </c:pt>
                <c:pt idx="74">
                  <c:v>#N/D</c:v>
                </c:pt>
                <c:pt idx="75">
                  <c:v>#N/D</c:v>
                </c:pt>
                <c:pt idx="76">
                  <c:v>#N/D</c:v>
                </c:pt>
                <c:pt idx="77">
                  <c:v>#N/D</c:v>
                </c:pt>
                <c:pt idx="78">
                  <c:v>#N/D</c:v>
                </c:pt>
                <c:pt idx="79">
                  <c:v>#N/D</c:v>
                </c:pt>
                <c:pt idx="80">
                  <c:v>#N/D</c:v>
                </c:pt>
                <c:pt idx="81">
                  <c:v>#N/D</c:v>
                </c:pt>
                <c:pt idx="82">
                  <c:v>#N/D</c:v>
                </c:pt>
                <c:pt idx="83">
                  <c:v>#N/D</c:v>
                </c:pt>
                <c:pt idx="84">
                  <c:v>#N/D</c:v>
                </c:pt>
                <c:pt idx="85">
                  <c:v>#N/D</c:v>
                </c:pt>
                <c:pt idx="86">
                  <c:v>#N/D</c:v>
                </c:pt>
                <c:pt idx="87">
                  <c:v>#N/D</c:v>
                </c:pt>
                <c:pt idx="88">
                  <c:v>#N/D</c:v>
                </c:pt>
                <c:pt idx="89">
                  <c:v>#N/D</c:v>
                </c:pt>
                <c:pt idx="90">
                  <c:v>#N/D</c:v>
                </c:pt>
                <c:pt idx="91">
                  <c:v>#N/D</c:v>
                </c:pt>
                <c:pt idx="92">
                  <c:v>#N/D</c:v>
                </c:pt>
                <c:pt idx="93">
                  <c:v>#N/D</c:v>
                </c:pt>
                <c:pt idx="94">
                  <c:v>#N/D</c:v>
                </c:pt>
                <c:pt idx="95">
                  <c:v>#N/D</c:v>
                </c:pt>
                <c:pt idx="96">
                  <c:v>#N/D</c:v>
                </c:pt>
                <c:pt idx="97">
                  <c:v>#N/D</c:v>
                </c:pt>
                <c:pt idx="98">
                  <c:v>#N/D</c:v>
                </c:pt>
                <c:pt idx="99">
                  <c:v>#N/D</c:v>
                </c:pt>
                <c:pt idx="100">
                  <c:v>#N/D</c:v>
                </c:pt>
                <c:pt idx="101">
                  <c:v>#N/D</c:v>
                </c:pt>
                <c:pt idx="102">
                  <c:v>#N/D</c:v>
                </c:pt>
                <c:pt idx="103">
                  <c:v>#N/D</c:v>
                </c:pt>
                <c:pt idx="104">
                  <c:v>#N/D</c:v>
                </c:pt>
                <c:pt idx="105">
                  <c:v>#N/D</c:v>
                </c:pt>
                <c:pt idx="106">
                  <c:v>#N/D</c:v>
                </c:pt>
                <c:pt idx="107">
                  <c:v>#N/D</c:v>
                </c:pt>
                <c:pt idx="108">
                  <c:v>#N/D</c:v>
                </c:pt>
                <c:pt idx="109">
                  <c:v>#N/D</c:v>
                </c:pt>
                <c:pt idx="110">
                  <c:v>#N/D</c:v>
                </c:pt>
                <c:pt idx="111">
                  <c:v>#N/D</c:v>
                </c:pt>
                <c:pt idx="112">
                  <c:v>#N/D</c:v>
                </c:pt>
                <c:pt idx="113">
                  <c:v>#N/D</c:v>
                </c:pt>
                <c:pt idx="114">
                  <c:v>#N/D</c:v>
                </c:pt>
                <c:pt idx="115">
                  <c:v>#N/D</c:v>
                </c:pt>
                <c:pt idx="116">
                  <c:v>#N/D</c:v>
                </c:pt>
                <c:pt idx="117">
                  <c:v>#N/D</c:v>
                </c:pt>
                <c:pt idx="118">
                  <c:v>#N/D</c:v>
                </c:pt>
                <c:pt idx="119">
                  <c:v>#N/D</c:v>
                </c:pt>
                <c:pt idx="120">
                  <c:v>#N/D</c:v>
                </c:pt>
                <c:pt idx="121">
                  <c:v>#N/D</c:v>
                </c:pt>
                <c:pt idx="122">
                  <c:v>#N/D</c:v>
                </c:pt>
                <c:pt idx="123">
                  <c:v>#N/D</c:v>
                </c:pt>
                <c:pt idx="124">
                  <c:v>#N/D</c:v>
                </c:pt>
                <c:pt idx="125">
                  <c:v>#N/D</c:v>
                </c:pt>
                <c:pt idx="126">
                  <c:v>#N/D</c:v>
                </c:pt>
                <c:pt idx="127">
                  <c:v>#N/D</c:v>
                </c:pt>
                <c:pt idx="128">
                  <c:v>#N/D</c:v>
                </c:pt>
                <c:pt idx="129">
                  <c:v>#N/D</c:v>
                </c:pt>
                <c:pt idx="130">
                  <c:v>#N/D</c:v>
                </c:pt>
                <c:pt idx="131">
                  <c:v>#N/D</c:v>
                </c:pt>
                <c:pt idx="132">
                  <c:v>#N/D</c:v>
                </c:pt>
                <c:pt idx="133">
                  <c:v>#N/D</c:v>
                </c:pt>
                <c:pt idx="134">
                  <c:v>#N/D</c:v>
                </c:pt>
                <c:pt idx="135">
                  <c:v>#N/D</c:v>
                </c:pt>
                <c:pt idx="136">
                  <c:v>#N/D</c:v>
                </c:pt>
                <c:pt idx="137">
                  <c:v>#N/D</c:v>
                </c:pt>
                <c:pt idx="138">
                  <c:v>#N/D</c:v>
                </c:pt>
                <c:pt idx="139">
                  <c:v>#N/D</c:v>
                </c:pt>
                <c:pt idx="140">
                  <c:v>#N/D</c:v>
                </c:pt>
                <c:pt idx="141">
                  <c:v>#N/D</c:v>
                </c:pt>
                <c:pt idx="142">
                  <c:v>#N/D</c:v>
                </c:pt>
                <c:pt idx="143">
                  <c:v>#N/D</c:v>
                </c:pt>
                <c:pt idx="144">
                  <c:v>#N/D</c:v>
                </c:pt>
              </c:strCache>
            </c:strRef>
          </c:xVal>
          <c:yVal>
            <c:numRef>
              <c:f>'5.Visualización'!$V$2:$V$146</c:f>
              <c:numCache>
                <c:formatCode>General</c:formatCode>
                <c:ptCount val="145"/>
                <c:pt idx="0">
                  <c:v>-12.072199100000001</c:v>
                </c:pt>
                <c:pt idx="1">
                  <c:v>#N/A</c:v>
                </c:pt>
                <c:pt idx="2">
                  <c:v>#N/A</c:v>
                </c:pt>
                <c:pt idx="3">
                  <c:v>#N/A</c:v>
                </c:pt>
                <c:pt idx="4">
                  <c:v>#N/A</c:v>
                </c:pt>
                <c:pt idx="5">
                  <c:v>#N/A</c:v>
                </c:pt>
                <c:pt idx="6">
                  <c:v>#N/A</c:v>
                </c:pt>
                <c:pt idx="7">
                  <c:v>#N/A</c:v>
                </c:pt>
                <c:pt idx="8">
                  <c:v>#N/A</c:v>
                </c:pt>
                <c:pt idx="9">
                  <c:v>#N/A</c:v>
                </c:pt>
                <c:pt idx="10">
                  <c:v>#N/A</c:v>
                </c:pt>
                <c:pt idx="11">
                  <c:v>#N/A</c:v>
                </c:pt>
                <c:pt idx="12">
                  <c:v>0</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yVal>
          <c:smooth val="0"/>
          <c:extLst>
            <c:ext xmlns:c16="http://schemas.microsoft.com/office/drawing/2014/chart" uri="{C3380CC4-5D6E-409C-BE32-E72D297353CC}">
              <c16:uniqueId val="{0000002A-CB1F-4060-9BC5-EB34B5F028F2}"/>
            </c:ext>
          </c:extLst>
        </c:ser>
        <c:ser>
          <c:idx val="4"/>
          <c:order val="4"/>
          <c:tx>
            <c:strRef>
              <c:f>'5.Visualización'!$X$1</c:f>
              <c:strCache>
                <c:ptCount val="1"/>
                <c:pt idx="0">
                  <c:v>V4 (T4)</c:v>
                </c:pt>
              </c:strCache>
            </c:strRef>
          </c:tx>
          <c:spPr>
            <a:ln w="19050" cap="rnd" cmpd="sng" algn="ctr">
              <a:solidFill>
                <a:srgbClr val="4BACC6">
                  <a:shade val="76000"/>
                  <a:shade val="95000"/>
                  <a:satMod val="105000"/>
                </a:srgbClr>
              </a:solidFill>
              <a:prstDash val="solid"/>
              <a:round/>
            </a:ln>
            <a:effectLst/>
          </c:spPr>
          <c:marker>
            <c:symbol val="none"/>
          </c:marker>
          <c:xVal>
            <c:numRef>
              <c:f>'5.Visualización'!$Z$2:$Z$146</c:f>
              <c:numCache>
                <c:formatCode>General</c:formatCode>
                <c:ptCount val="145"/>
                <c:pt idx="0">
                  <c:v>-77.002365100000006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xVal>
          <c:yVal>
            <c:numRef>
              <c:f>'5.Visualización'!$Y$2:$Y$146</c:f>
              <c:numCache>
                <c:formatCode>General</c:formatCode>
                <c:ptCount val="145"/>
                <c:pt idx="0">
                  <c:v>-12.072199100000001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yVal>
          <c:smooth val="0"/>
          <c:extLst>
            <c:ext xmlns:c16="http://schemas.microsoft.com/office/drawing/2014/chart" uri="{C3380CC4-5D6E-409C-BE32-E72D297353CC}">
              <c16:uniqueId val="{0000002B-CB1F-4060-9BC5-EB34B5F028F2}"/>
            </c:ext>
          </c:extLst>
        </c:ser>
        <c:ser>
          <c:idx val="5"/>
          <c:order val="5"/>
          <c:tx>
            <c:strRef>
              <c:f>'5.Visualización'!$AA$1</c:f>
              <c:strCache>
                <c:ptCount val="1"/>
                <c:pt idx="0">
                  <c:v>V5 (T5)</c:v>
                </c:pt>
              </c:strCache>
            </c:strRef>
          </c:tx>
          <c:spPr>
            <a:ln w="19050" cap="rnd" cmpd="sng" algn="ctr">
              <a:solidFill>
                <a:srgbClr val="F79646">
                  <a:shade val="76000"/>
                  <a:shade val="95000"/>
                  <a:satMod val="105000"/>
                </a:srgbClr>
              </a:solidFill>
              <a:prstDash val="solid"/>
              <a:round/>
            </a:ln>
            <a:effectLst/>
          </c:spPr>
          <c:marker>
            <c:symbol val="none"/>
          </c:marker>
          <c:xVal>
            <c:numRef>
              <c:f>'5.Visualización'!$AC$2:$AC$146</c:f>
              <c:numCache>
                <c:formatCode>General</c:formatCode>
                <c:ptCount val="145"/>
                <c:pt idx="0">
                  <c:v>-77.002365100000006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xVal>
          <c:yVal>
            <c:numRef>
              <c:f>'5.Visualización'!$AB$2:$AB$146</c:f>
              <c:numCache>
                <c:formatCode>General</c:formatCode>
                <c:ptCount val="145"/>
                <c:pt idx="0">
                  <c:v>-12.072199100000001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yVal>
          <c:smooth val="0"/>
          <c:extLst>
            <c:ext xmlns:c16="http://schemas.microsoft.com/office/drawing/2014/chart" uri="{C3380CC4-5D6E-409C-BE32-E72D297353CC}">
              <c16:uniqueId val="{0000002C-CB1F-4060-9BC5-EB34B5F028F2}"/>
            </c:ext>
          </c:extLst>
        </c:ser>
        <c:ser>
          <c:idx val="6"/>
          <c:order val="6"/>
          <c:tx>
            <c:strRef>
              <c:f>'5.Visualización'!$AD$1</c:f>
              <c:strCache>
                <c:ptCount val="1"/>
                <c:pt idx="0">
                  <c:v>V6 (T1)</c:v>
                </c:pt>
              </c:strCache>
            </c:strRef>
          </c:tx>
          <c:spPr>
            <a:ln w="19050" cap="rnd" cmpd="sng" algn="ctr">
              <a:solidFill>
                <a:srgbClr val="4F81BD">
                  <a:tint val="77000"/>
                  <a:shade val="95000"/>
                  <a:satMod val="105000"/>
                </a:srgbClr>
              </a:solidFill>
              <a:prstDash val="solid"/>
              <a:round/>
            </a:ln>
            <a:effectLst/>
          </c:spPr>
          <c:marker>
            <c:symbol val="none"/>
          </c:marker>
          <c:xVal>
            <c:numRef>
              <c:f>'5.Visualización'!$AF$2:$AF$146</c:f>
              <c:numCache>
                <c:formatCode>General</c:formatCode>
                <c:ptCount val="145"/>
                <c:pt idx="0">
                  <c:v>-77.002365100000006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xVal>
          <c:yVal>
            <c:numRef>
              <c:f>'5.Visualización'!$AE$2:$AE$146</c:f>
              <c:numCache>
                <c:formatCode>General</c:formatCode>
                <c:ptCount val="145"/>
                <c:pt idx="0">
                  <c:v>-12.072199100000001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yVal>
          <c:smooth val="0"/>
          <c:extLst>
            <c:ext xmlns:c16="http://schemas.microsoft.com/office/drawing/2014/chart" uri="{C3380CC4-5D6E-409C-BE32-E72D297353CC}">
              <c16:uniqueId val="{0000002D-CB1F-4060-9BC5-EB34B5F028F2}"/>
            </c:ext>
          </c:extLst>
        </c:ser>
        <c:ser>
          <c:idx val="7"/>
          <c:order val="7"/>
          <c:tx>
            <c:strRef>
              <c:f>'5.Visualización'!$AG$1</c:f>
              <c:strCache>
                <c:ptCount val="1"/>
                <c:pt idx="0">
                  <c:v>V7 (T2)</c:v>
                </c:pt>
              </c:strCache>
            </c:strRef>
          </c:tx>
          <c:spPr>
            <a:ln w="19050" cap="rnd" cmpd="sng" algn="ctr">
              <a:solidFill>
                <a:srgbClr val="C0504D">
                  <a:tint val="77000"/>
                  <a:shade val="95000"/>
                  <a:satMod val="105000"/>
                </a:srgbClr>
              </a:solidFill>
              <a:prstDash val="solid"/>
              <a:round/>
            </a:ln>
            <a:effectLst/>
          </c:spPr>
          <c:marker>
            <c:symbol val="none"/>
          </c:marker>
          <c:xVal>
            <c:numRef>
              <c:f>'5.Visualización'!$AI$2:$AI$146</c:f>
              <c:numCache>
                <c:formatCode>General</c:formatCode>
                <c:ptCount val="145"/>
                <c:pt idx="0">
                  <c:v>-77.002365100000006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xVal>
          <c:yVal>
            <c:numRef>
              <c:f>'5.Visualización'!$AH$2:$AH$146</c:f>
              <c:numCache>
                <c:formatCode>General</c:formatCode>
                <c:ptCount val="145"/>
                <c:pt idx="0">
                  <c:v>-12.072199100000001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yVal>
          <c:smooth val="0"/>
          <c:extLst>
            <c:ext xmlns:c16="http://schemas.microsoft.com/office/drawing/2014/chart" uri="{C3380CC4-5D6E-409C-BE32-E72D297353CC}">
              <c16:uniqueId val="{0000002E-CB1F-4060-9BC5-EB34B5F028F2}"/>
            </c:ext>
          </c:extLst>
        </c:ser>
        <c:ser>
          <c:idx val="8"/>
          <c:order val="8"/>
          <c:tx>
            <c:strRef>
              <c:f>'5.Visualización'!$AJ$1</c:f>
              <c:strCache>
                <c:ptCount val="1"/>
                <c:pt idx="0">
                  <c:v>V8 (T1)</c:v>
                </c:pt>
              </c:strCache>
            </c:strRef>
          </c:tx>
          <c:spPr>
            <a:ln w="19050" cap="rnd" cmpd="sng" algn="ctr">
              <a:solidFill>
                <a:srgbClr val="9BBB59">
                  <a:tint val="77000"/>
                  <a:shade val="95000"/>
                  <a:satMod val="105000"/>
                </a:srgbClr>
              </a:solidFill>
              <a:prstDash val="solid"/>
              <a:round/>
            </a:ln>
            <a:effectLst/>
          </c:spPr>
          <c:marker>
            <c:symbol val="none"/>
          </c:marker>
          <c:xVal>
            <c:strRef>
              <c:f>'5.Visualización'!$AL$2:$AL$146</c:f>
              <c:strCache>
                <c:ptCount val="145"/>
                <c:pt idx="0">
                  <c:v>-7.712.329.799.999.990</c:v>
                </c:pt>
                <c:pt idx="1">
                  <c:v>#N/D</c:v>
                </c:pt>
                <c:pt idx="2">
                  <c:v>#N/D</c:v>
                </c:pt>
                <c:pt idx="3">
                  <c:v>#N/D</c:v>
                </c:pt>
                <c:pt idx="4">
                  <c:v>#N/D</c:v>
                </c:pt>
                <c:pt idx="5">
                  <c:v>#N/D</c:v>
                </c:pt>
                <c:pt idx="6">
                  <c:v>#N/D</c:v>
                </c:pt>
                <c:pt idx="7">
                  <c:v>#N/D</c:v>
                </c:pt>
                <c:pt idx="8">
                  <c:v>#N/D</c:v>
                </c:pt>
                <c:pt idx="9">
                  <c:v>#N/D</c:v>
                </c:pt>
                <c:pt idx="10">
                  <c:v>#N/D</c:v>
                </c:pt>
                <c:pt idx="11">
                  <c:v>#N/D</c:v>
                </c:pt>
                <c:pt idx="12">
                  <c:v>#N/D</c:v>
                </c:pt>
                <c:pt idx="13">
                  <c:v>#N/D</c:v>
                </c:pt>
                <c:pt idx="14">
                  <c:v>#N/D</c:v>
                </c:pt>
                <c:pt idx="15">
                  <c:v>#N/D</c:v>
                </c:pt>
                <c:pt idx="16">
                  <c:v>#N/D</c:v>
                </c:pt>
                <c:pt idx="17">
                  <c:v>#N/D</c:v>
                </c:pt>
                <c:pt idx="18">
                  <c:v>#N/D</c:v>
                </c:pt>
                <c:pt idx="19">
                  <c:v>#N/D</c:v>
                </c:pt>
                <c:pt idx="20">
                  <c:v>#N/D</c:v>
                </c:pt>
                <c:pt idx="21">
                  <c:v>#N/D</c:v>
                </c:pt>
                <c:pt idx="22">
                  <c:v>#N/D</c:v>
                </c:pt>
                <c:pt idx="23">
                  <c:v>#N/D</c:v>
                </c:pt>
                <c:pt idx="24">
                  <c:v>#N/D</c:v>
                </c:pt>
                <c:pt idx="25">
                  <c:v>#N/D</c:v>
                </c:pt>
                <c:pt idx="26">
                  <c:v>#N/D</c:v>
                </c:pt>
                <c:pt idx="27">
                  <c:v>#N/D</c:v>
                </c:pt>
                <c:pt idx="28">
                  <c:v>#N/D</c:v>
                </c:pt>
                <c:pt idx="29">
                  <c:v>#N/D</c:v>
                </c:pt>
                <c:pt idx="30">
                  <c:v>#N/D</c:v>
                </c:pt>
                <c:pt idx="31">
                  <c:v>#N/D</c:v>
                </c:pt>
                <c:pt idx="32">
                  <c:v>#N/D</c:v>
                </c:pt>
                <c:pt idx="33">
                  <c:v>#N/D</c:v>
                </c:pt>
                <c:pt idx="34">
                  <c:v>#N/D</c:v>
                </c:pt>
                <c:pt idx="35">
                  <c:v>#N/D</c:v>
                </c:pt>
                <c:pt idx="36">
                  <c:v>#N/D</c:v>
                </c:pt>
                <c:pt idx="37">
                  <c:v>#N/D</c:v>
                </c:pt>
                <c:pt idx="38">
                  <c:v>#N/D</c:v>
                </c:pt>
                <c:pt idx="39">
                  <c:v>#N/D</c:v>
                </c:pt>
                <c:pt idx="40">
                  <c:v>#N/D</c:v>
                </c:pt>
                <c:pt idx="41">
                  <c:v>#N/D</c:v>
                </c:pt>
                <c:pt idx="42">
                  <c:v>#N/D</c:v>
                </c:pt>
                <c:pt idx="43">
                  <c:v>#N/D</c:v>
                </c:pt>
                <c:pt idx="44">
                  <c:v>#N/D</c:v>
                </c:pt>
                <c:pt idx="45">
                  <c:v>#N/D</c:v>
                </c:pt>
                <c:pt idx="46">
                  <c:v>#N/D</c:v>
                </c:pt>
                <c:pt idx="47">
                  <c:v>#N/D</c:v>
                </c:pt>
                <c:pt idx="48">
                  <c:v>#N/D</c:v>
                </c:pt>
                <c:pt idx="49">
                  <c:v>#N/D</c:v>
                </c:pt>
                <c:pt idx="50">
                  <c:v>#N/D</c:v>
                </c:pt>
                <c:pt idx="51">
                  <c:v>#N/D</c:v>
                </c:pt>
                <c:pt idx="52">
                  <c:v>#N/D</c:v>
                </c:pt>
                <c:pt idx="53">
                  <c:v>#N/D</c:v>
                </c:pt>
                <c:pt idx="54">
                  <c:v>#N/D</c:v>
                </c:pt>
                <c:pt idx="55">
                  <c:v>#N/D</c:v>
                </c:pt>
                <c:pt idx="56">
                  <c:v>#N/D</c:v>
                </c:pt>
                <c:pt idx="57">
                  <c:v>#N/D</c:v>
                </c:pt>
                <c:pt idx="58">
                  <c:v>#N/D</c:v>
                </c:pt>
                <c:pt idx="59">
                  <c:v>#N/D</c:v>
                </c:pt>
                <c:pt idx="60">
                  <c:v>#N/D</c:v>
                </c:pt>
                <c:pt idx="61">
                  <c:v>#N/D</c:v>
                </c:pt>
                <c:pt idx="62">
                  <c:v>#N/D</c:v>
                </c:pt>
                <c:pt idx="63">
                  <c:v>#N/D</c:v>
                </c:pt>
                <c:pt idx="64">
                  <c:v>#N/D</c:v>
                </c:pt>
                <c:pt idx="65">
                  <c:v>#N/D</c:v>
                </c:pt>
                <c:pt idx="66">
                  <c:v>#N/D</c:v>
                </c:pt>
                <c:pt idx="67">
                  <c:v>#N/D</c:v>
                </c:pt>
                <c:pt idx="68">
                  <c:v>#N/D</c:v>
                </c:pt>
                <c:pt idx="69">
                  <c:v>#N/D</c:v>
                </c:pt>
                <c:pt idx="70">
                  <c:v>#N/D</c:v>
                </c:pt>
                <c:pt idx="71">
                  <c:v>#N/D</c:v>
                </c:pt>
                <c:pt idx="72">
                  <c:v>#N/D</c:v>
                </c:pt>
                <c:pt idx="73">
                  <c:v>#N/D</c:v>
                </c:pt>
                <c:pt idx="74">
                  <c:v>#N/D</c:v>
                </c:pt>
                <c:pt idx="75">
                  <c:v>#N/D</c:v>
                </c:pt>
                <c:pt idx="76">
                  <c:v>#N/D</c:v>
                </c:pt>
                <c:pt idx="77">
                  <c:v>#N/D</c:v>
                </c:pt>
                <c:pt idx="78">
                  <c:v>#N/D</c:v>
                </c:pt>
                <c:pt idx="79">
                  <c:v>#N/D</c:v>
                </c:pt>
                <c:pt idx="80">
                  <c:v>#N/D</c:v>
                </c:pt>
                <c:pt idx="81">
                  <c:v>#N/D</c:v>
                </c:pt>
                <c:pt idx="82">
                  <c:v>#N/D</c:v>
                </c:pt>
                <c:pt idx="83">
                  <c:v>#N/D</c:v>
                </c:pt>
                <c:pt idx="84">
                  <c:v>#N/D</c:v>
                </c:pt>
                <c:pt idx="85">
                  <c:v>#N/D</c:v>
                </c:pt>
                <c:pt idx="86">
                  <c:v>#N/D</c:v>
                </c:pt>
                <c:pt idx="87">
                  <c:v>#N/D</c:v>
                </c:pt>
                <c:pt idx="88">
                  <c:v>#N/D</c:v>
                </c:pt>
                <c:pt idx="89">
                  <c:v>#N/D</c:v>
                </c:pt>
                <c:pt idx="90">
                  <c:v>#N/D</c:v>
                </c:pt>
                <c:pt idx="91">
                  <c:v>#N/D</c:v>
                </c:pt>
                <c:pt idx="92">
                  <c:v>#N/D</c:v>
                </c:pt>
                <c:pt idx="93">
                  <c:v>#N/D</c:v>
                </c:pt>
                <c:pt idx="94">
                  <c:v>#N/D</c:v>
                </c:pt>
                <c:pt idx="95">
                  <c:v>#N/D</c:v>
                </c:pt>
                <c:pt idx="96">
                  <c:v>#N/D</c:v>
                </c:pt>
                <c:pt idx="97">
                  <c:v>#N/D</c:v>
                </c:pt>
                <c:pt idx="98">
                  <c:v>#N/D</c:v>
                </c:pt>
                <c:pt idx="99">
                  <c:v>#N/D</c:v>
                </c:pt>
                <c:pt idx="100">
                  <c:v>#N/D</c:v>
                </c:pt>
                <c:pt idx="101">
                  <c:v>#N/D</c:v>
                </c:pt>
                <c:pt idx="102">
                  <c:v>#N/D</c:v>
                </c:pt>
                <c:pt idx="103">
                  <c:v>#N/D</c:v>
                </c:pt>
                <c:pt idx="104">
                  <c:v>#N/D</c:v>
                </c:pt>
                <c:pt idx="105">
                  <c:v>#N/D</c:v>
                </c:pt>
                <c:pt idx="106">
                  <c:v>#N/D</c:v>
                </c:pt>
                <c:pt idx="107">
                  <c:v>#N/D</c:v>
                </c:pt>
                <c:pt idx="108">
                  <c:v>#N/D</c:v>
                </c:pt>
                <c:pt idx="109">
                  <c:v>#N/D</c:v>
                </c:pt>
                <c:pt idx="110">
                  <c:v>#N/D</c:v>
                </c:pt>
                <c:pt idx="111">
                  <c:v>#N/D</c:v>
                </c:pt>
                <c:pt idx="112">
                  <c:v>#N/D</c:v>
                </c:pt>
                <c:pt idx="113">
                  <c:v>#N/D</c:v>
                </c:pt>
                <c:pt idx="114">
                  <c:v>#N/D</c:v>
                </c:pt>
                <c:pt idx="115">
                  <c:v>#N/D</c:v>
                </c:pt>
                <c:pt idx="116">
                  <c:v>#N/D</c:v>
                </c:pt>
                <c:pt idx="117">
                  <c:v>#N/D</c:v>
                </c:pt>
                <c:pt idx="118">
                  <c:v>#N/D</c:v>
                </c:pt>
                <c:pt idx="119">
                  <c:v>#N/D</c:v>
                </c:pt>
                <c:pt idx="120">
                  <c:v>#N/D</c:v>
                </c:pt>
                <c:pt idx="121">
                  <c:v>#N/D</c:v>
                </c:pt>
                <c:pt idx="122">
                  <c:v>#N/D</c:v>
                </c:pt>
                <c:pt idx="123">
                  <c:v>#N/D</c:v>
                </c:pt>
                <c:pt idx="124">
                  <c:v>#N/D</c:v>
                </c:pt>
                <c:pt idx="125">
                  <c:v>#N/D</c:v>
                </c:pt>
                <c:pt idx="126">
                  <c:v>#N/D</c:v>
                </c:pt>
                <c:pt idx="127">
                  <c:v>#N/D</c:v>
                </c:pt>
                <c:pt idx="128">
                  <c:v>#N/D</c:v>
                </c:pt>
                <c:pt idx="129">
                  <c:v>#N/D</c:v>
                </c:pt>
                <c:pt idx="130">
                  <c:v>#N/D</c:v>
                </c:pt>
                <c:pt idx="131">
                  <c:v>#N/D</c:v>
                </c:pt>
                <c:pt idx="132">
                  <c:v>#N/D</c:v>
                </c:pt>
                <c:pt idx="133">
                  <c:v>#N/D</c:v>
                </c:pt>
                <c:pt idx="134">
                  <c:v>#N/D</c:v>
                </c:pt>
                <c:pt idx="135">
                  <c:v>#N/D</c:v>
                </c:pt>
                <c:pt idx="136">
                  <c:v>#N/D</c:v>
                </c:pt>
                <c:pt idx="137">
                  <c:v>#N/D</c:v>
                </c:pt>
                <c:pt idx="138">
                  <c:v>#N/D</c:v>
                </c:pt>
                <c:pt idx="139">
                  <c:v>#N/D</c:v>
                </c:pt>
                <c:pt idx="140">
                  <c:v>#N/D</c:v>
                </c:pt>
                <c:pt idx="141">
                  <c:v>#N/D</c:v>
                </c:pt>
                <c:pt idx="142">
                  <c:v>#N/D</c:v>
                </c:pt>
                <c:pt idx="143">
                  <c:v>#N/D</c:v>
                </c:pt>
                <c:pt idx="144">
                  <c:v>#N/D</c:v>
                </c:pt>
              </c:strCache>
            </c:strRef>
          </c:xVal>
          <c:yVal>
            <c:numRef>
              <c:f>'5.Visualización'!$AK$2:$AK$146</c:f>
              <c:numCache>
                <c:formatCode>General</c:formatCode>
                <c:ptCount val="145"/>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numCache>
            </c:numRef>
          </c:yVal>
          <c:smooth val="0"/>
          <c:extLst>
            <c:ext xmlns:c16="http://schemas.microsoft.com/office/drawing/2014/chart" uri="{C3380CC4-5D6E-409C-BE32-E72D297353CC}">
              <c16:uniqueId val="{0000002F-CB1F-4060-9BC5-EB34B5F028F2}"/>
            </c:ext>
          </c:extLst>
        </c:ser>
        <c:dLbls>
          <c:showLegendKey val="0"/>
          <c:showVal val="0"/>
          <c:showCatName val="0"/>
          <c:showSerName val="0"/>
          <c:showPercent val="0"/>
          <c:showBubbleSize val="0"/>
        </c:dLbls>
        <c:axId val="360799296"/>
        <c:axId val="360791616"/>
      </c:scatterChart>
      <c:valAx>
        <c:axId val="360799296"/>
        <c:scaling>
          <c:orientation val="minMax"/>
          <c:max val="-76.801300048828125"/>
          <c:min val="-77.240753173828125"/>
        </c:scaling>
        <c:delete val="1"/>
        <c:axPos val="b"/>
        <c:numFmt formatCode="0.0000000" sourceLinked="1"/>
        <c:majorTickMark val="out"/>
        <c:minorTickMark val="none"/>
        <c:tickLblPos val="nextTo"/>
        <c:crossAx val="360791616"/>
        <c:crosses val="autoZero"/>
        <c:crossBetween val="midCat"/>
      </c:valAx>
      <c:valAx>
        <c:axId val="360791616"/>
        <c:scaling>
          <c:orientation val="minMax"/>
          <c:max val="-11.861975103494535"/>
          <c:min val="-12.291701106557761"/>
        </c:scaling>
        <c:delete val="1"/>
        <c:axPos val="l"/>
        <c:numFmt formatCode="General" sourceLinked="1"/>
        <c:majorTickMark val="out"/>
        <c:minorTickMark val="none"/>
        <c:tickLblPos val="nextTo"/>
        <c:crossAx val="360799296"/>
        <c:crosses val="autoZero"/>
        <c:crossBetween val="midCat"/>
      </c:valAx>
      <c:spPr>
        <a:blipFill dpi="0" rotWithShape="1">
          <a:blip xmlns:r="http://schemas.openxmlformats.org/officeDocument/2006/relationships" r:embed="rId1">
            <a:alphaModFix amt="50000"/>
          </a:blip>
          <a:srcRect/>
          <a:stretch>
            <a:fillRect/>
          </a:stretch>
        </a:blipFill>
        <a:ln w="12700">
          <a:solidFill>
            <a:srgbClr val="FFFFFF"/>
          </a:solidFill>
        </a:ln>
      </c:spPr>
    </c:plotArea>
    <c:legend>
      <c:legendPos val="r"/>
      <c:legendEntry>
        <c:idx val="0"/>
        <c:delete val="1"/>
      </c:legendEntry>
      <c:layout>
        <c:manualLayout>
          <c:xMode val="edge"/>
          <c:yMode val="edge"/>
          <c:x val="0.86997984251968508"/>
          <c:y val="1.020408163265306E-2"/>
          <c:w val="0.11802015748031496"/>
          <c:h val="0.98469387755102045"/>
        </c:manualLayout>
      </c:layout>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0</xdr:rowOff>
    </xdr:from>
    <xdr:to>
      <xdr:col>8</xdr:col>
      <xdr:colOff>10160</xdr:colOff>
      <xdr:row>29</xdr:row>
      <xdr:rowOff>40640</xdr:rowOff>
    </xdr:to>
    <xdr:graphicFrame macro="">
      <xdr:nvGraphicFramePr>
        <xdr:cNvPr id="2" name="Gráfico 1">
          <a:extLst>
            <a:ext uri="{FF2B5EF4-FFF2-40B4-BE49-F238E27FC236}">
              <a16:creationId xmlns:a16="http://schemas.microsoft.com/office/drawing/2014/main" id="{C3B10013-4F87-70FA-C9EF-DDEDD808A3D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ngmapsportal.com/%20adresinden%20&#252;cretsiz%20deneme%20anahtar&#305;%20edinebilirsiniz."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4"/>
  <sheetViews>
    <sheetView view="pageLayout" zoomScaleNormal="100" workbookViewId="0">
      <selection activeCell="A4" sqref="A4"/>
    </sheetView>
  </sheetViews>
  <sheetFormatPr baseColWidth="10" defaultColWidth="9.140625" defaultRowHeight="15" x14ac:dyDescent="0.25"/>
  <cols>
    <col min="1" max="1" width="80.28515625" customWidth="1"/>
  </cols>
  <sheetData>
    <row r="1" spans="1:1" x14ac:dyDescent="0.25">
      <c r="A1" t="s">
        <v>4070</v>
      </c>
    </row>
    <row r="2" spans="1:1" x14ac:dyDescent="0.25">
      <c r="A2" t="s">
        <v>4071</v>
      </c>
    </row>
    <row r="4" spans="1:1" ht="150" x14ac:dyDescent="0.25">
      <c r="A4" s="17" t="s">
        <v>4072</v>
      </c>
    </row>
  </sheetData>
  <pageMargins left="0.7" right="0.7" top="0.75" bottom="0.75" header="0.3" footer="0.3"/>
  <pageSetup paperSize="9" orientation="portrait" r:id="rId1"/>
  <headerFooter>
    <oddHeader>&amp;C&amp;K00+000Bismillahirrahmanirrahim
Allahumme salli ala rasulina Muhammed</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6"/>
  <sheetViews>
    <sheetView topLeftCell="A4" zoomScaleNormal="100" workbookViewId="0">
      <selection activeCell="C13" sqref="C13"/>
    </sheetView>
  </sheetViews>
  <sheetFormatPr baseColWidth="10" defaultColWidth="9.140625" defaultRowHeight="15" x14ac:dyDescent="0.25"/>
  <cols>
    <col min="1" max="1" width="22.5703125" bestFit="1" customWidth="1"/>
    <col min="2" max="2" width="37.42578125" bestFit="1" customWidth="1"/>
    <col min="3" max="3" width="106.85546875" bestFit="1" customWidth="1"/>
    <col min="4" max="4" width="73.28515625" bestFit="1" customWidth="1"/>
  </cols>
  <sheetData>
    <row r="1" spans="1:4" s="4" customFormat="1" x14ac:dyDescent="0.25">
      <c r="A1" s="18" t="s">
        <v>129</v>
      </c>
      <c r="B1" s="18" t="s">
        <v>135</v>
      </c>
      <c r="C1" s="18" t="s">
        <v>142</v>
      </c>
      <c r="D1" s="18" t="s">
        <v>148</v>
      </c>
    </row>
    <row r="2" spans="1:4" x14ac:dyDescent="0.25">
      <c r="A2" s="13" t="s">
        <v>103</v>
      </c>
      <c r="B2" s="14" t="s">
        <v>109</v>
      </c>
      <c r="C2" s="15" t="s">
        <v>40</v>
      </c>
      <c r="D2" s="14" t="s">
        <v>1394</v>
      </c>
    </row>
    <row r="3" spans="1:4" x14ac:dyDescent="0.25">
      <c r="A3" s="2"/>
      <c r="B3" s="2" t="s">
        <v>1389</v>
      </c>
      <c r="C3" s="5" t="s">
        <v>4276</v>
      </c>
      <c r="D3" s="2" t="s">
        <v>1795</v>
      </c>
    </row>
    <row r="5" spans="1:4" x14ac:dyDescent="0.25">
      <c r="A5" s="3" t="s">
        <v>812</v>
      </c>
      <c r="B5" s="2" t="s">
        <v>1384</v>
      </c>
      <c r="C5" s="5">
        <v>3</v>
      </c>
      <c r="D5" s="2" t="s">
        <v>4000</v>
      </c>
    </row>
    <row r="6" spans="1:4" x14ac:dyDescent="0.25">
      <c r="A6" s="1"/>
      <c r="B6" s="1" t="s">
        <v>1383</v>
      </c>
      <c r="C6" s="6">
        <v>35</v>
      </c>
      <c r="D6" s="1" t="s">
        <v>4001</v>
      </c>
    </row>
    <row r="8" spans="1:4" x14ac:dyDescent="0.25">
      <c r="A8" s="3" t="s">
        <v>815</v>
      </c>
      <c r="B8" s="2" t="s">
        <v>857</v>
      </c>
      <c r="C8" s="5" t="s">
        <v>839</v>
      </c>
      <c r="D8" s="2" t="s">
        <v>1400</v>
      </c>
    </row>
    <row r="9" spans="1:4" x14ac:dyDescent="0.25">
      <c r="A9" s="1"/>
      <c r="B9" s="1" t="s">
        <v>868</v>
      </c>
      <c r="C9" s="6" t="s">
        <v>841</v>
      </c>
      <c r="D9" s="1"/>
    </row>
    <row r="10" spans="1:4" x14ac:dyDescent="0.25">
      <c r="A10" s="1"/>
      <c r="B10" s="1" t="s">
        <v>4228</v>
      </c>
      <c r="C10" s="6" t="s">
        <v>4225</v>
      </c>
      <c r="D10" s="1"/>
    </row>
    <row r="11" spans="1:4" x14ac:dyDescent="0.25">
      <c r="A11" s="1"/>
      <c r="B11" s="1" t="s">
        <v>842</v>
      </c>
      <c r="C11" s="6" t="s">
        <v>873</v>
      </c>
      <c r="D11" s="1" t="s">
        <v>1399</v>
      </c>
    </row>
    <row r="12" spans="1:4" x14ac:dyDescent="0.25">
      <c r="A12" s="1"/>
      <c r="B12" s="1" t="s">
        <v>4012</v>
      </c>
      <c r="C12" s="6">
        <v>3</v>
      </c>
      <c r="D12" s="1" t="s">
        <v>4002</v>
      </c>
    </row>
    <row r="13" spans="1:4" x14ac:dyDescent="0.25">
      <c r="A13" s="1"/>
      <c r="B13" s="1" t="s">
        <v>837</v>
      </c>
      <c r="C13" s="6">
        <v>25</v>
      </c>
      <c r="D13" s="1"/>
    </row>
    <row r="15" spans="1:4" x14ac:dyDescent="0.25">
      <c r="A15" s="3" t="s">
        <v>818</v>
      </c>
      <c r="B15" s="2" t="s">
        <v>1385</v>
      </c>
      <c r="C15" s="5">
        <v>8</v>
      </c>
      <c r="D15" s="2"/>
    </row>
    <row r="17" spans="1:4" x14ac:dyDescent="0.25">
      <c r="A17" s="3" t="s">
        <v>820</v>
      </c>
      <c r="B17" s="2" t="s">
        <v>863</v>
      </c>
      <c r="C17" s="5" t="s">
        <v>1794</v>
      </c>
      <c r="D17" s="2"/>
    </row>
    <row r="18" spans="1:4" x14ac:dyDescent="0.25">
      <c r="A18" s="1"/>
      <c r="B18" s="1" t="s">
        <v>1427</v>
      </c>
      <c r="C18" s="6" t="s">
        <v>877</v>
      </c>
      <c r="D18" s="1"/>
    </row>
    <row r="19" spans="1:4" x14ac:dyDescent="0.25">
      <c r="A19" s="1"/>
      <c r="B19" s="1" t="s">
        <v>23</v>
      </c>
      <c r="C19" s="6" t="s">
        <v>165</v>
      </c>
      <c r="D19" s="1" t="s">
        <v>878</v>
      </c>
    </row>
    <row r="21" spans="1:4" x14ac:dyDescent="0.25">
      <c r="A21" s="3" t="s">
        <v>822</v>
      </c>
      <c r="B21" s="2" t="s">
        <v>1433</v>
      </c>
      <c r="C21" s="5" t="s">
        <v>838</v>
      </c>
      <c r="D21" s="2"/>
    </row>
    <row r="22" spans="1:4" x14ac:dyDescent="0.25">
      <c r="A22" s="1"/>
      <c r="B22" s="1" t="s">
        <v>883</v>
      </c>
      <c r="C22" s="6" t="s">
        <v>882</v>
      </c>
      <c r="D22" s="1"/>
    </row>
    <row r="24" spans="1:4" x14ac:dyDescent="0.25">
      <c r="A24" s="3" t="s">
        <v>827</v>
      </c>
      <c r="B24" s="2" t="s">
        <v>1437</v>
      </c>
      <c r="C24" s="5" t="s">
        <v>1792</v>
      </c>
      <c r="D24" s="2"/>
    </row>
    <row r="25" spans="1:4" x14ac:dyDescent="0.25">
      <c r="A25" s="1"/>
      <c r="B25" s="1" t="s">
        <v>1410</v>
      </c>
      <c r="C25" s="6" t="s">
        <v>165</v>
      </c>
      <c r="D25" s="1"/>
    </row>
    <row r="26" spans="1:4" x14ac:dyDescent="0.25">
      <c r="A26" s="1"/>
      <c r="B26" s="1" t="s">
        <v>173</v>
      </c>
      <c r="C26" s="6">
        <v>60</v>
      </c>
      <c r="D26" s="1" t="str">
        <f>CONCATENATE("Recomendación: al menos", 60 * CEILING(C6 * C6 * C6 / 100000, 1),"  segundos")</f>
        <v>Recomendación: al menos60  segundos</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7"/>
  <sheetViews>
    <sheetView zoomScaleNormal="100" workbookViewId="0">
      <selection activeCell="A19" sqref="A19"/>
    </sheetView>
  </sheetViews>
  <sheetFormatPr baseColWidth="10"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7" t="s">
        <v>36</v>
      </c>
      <c r="B1" s="7" t="s">
        <v>37</v>
      </c>
      <c r="C1" s="8" t="s">
        <v>38</v>
      </c>
      <c r="D1" s="8" t="s">
        <v>39</v>
      </c>
      <c r="E1" s="8" t="s">
        <v>40</v>
      </c>
      <c r="F1" s="8" t="s">
        <v>41</v>
      </c>
      <c r="G1" s="8" t="s">
        <v>42</v>
      </c>
      <c r="H1" s="8" t="s">
        <v>43</v>
      </c>
      <c r="I1" s="8" t="s">
        <v>44</v>
      </c>
      <c r="J1" s="8" t="s">
        <v>2300</v>
      </c>
      <c r="K1" s="8" t="s">
        <v>2301</v>
      </c>
      <c r="L1" s="8" t="s">
        <v>2302</v>
      </c>
      <c r="M1" s="8" t="s">
        <v>2303</v>
      </c>
      <c r="N1" s="8" t="s">
        <v>3463</v>
      </c>
      <c r="O1" s="8" t="s">
        <v>3464</v>
      </c>
    </row>
    <row r="2" spans="1:15" x14ac:dyDescent="0.25">
      <c r="A2" s="9" t="s">
        <v>339</v>
      </c>
      <c r="B2" s="9" t="s">
        <v>340</v>
      </c>
      <c r="C2" s="5" t="s">
        <v>375</v>
      </c>
      <c r="D2" s="5" t="s">
        <v>340</v>
      </c>
      <c r="E2" s="5" t="s">
        <v>399</v>
      </c>
      <c r="F2" s="5" t="s">
        <v>418</v>
      </c>
      <c r="G2" s="5" t="s">
        <v>435</v>
      </c>
      <c r="H2" s="5" t="s">
        <v>340</v>
      </c>
      <c r="I2" s="5" t="s">
        <v>340</v>
      </c>
      <c r="J2" s="5" t="s">
        <v>340</v>
      </c>
      <c r="K2" s="5" t="s">
        <v>2334</v>
      </c>
      <c r="L2" s="5" t="s">
        <v>2358</v>
      </c>
      <c r="M2" s="5" t="s">
        <v>2383</v>
      </c>
      <c r="N2" s="5" t="s">
        <v>3788</v>
      </c>
      <c r="O2" s="5" t="s">
        <v>3891</v>
      </c>
    </row>
    <row r="3" spans="1:15" x14ac:dyDescent="0.25">
      <c r="A3" s="9" t="s">
        <v>62</v>
      </c>
      <c r="B3" s="9" t="s">
        <v>45</v>
      </c>
      <c r="C3" s="5" t="s">
        <v>46</v>
      </c>
      <c r="D3" s="5" t="s">
        <v>47</v>
      </c>
      <c r="E3" s="5" t="s">
        <v>48</v>
      </c>
      <c r="F3" s="5" t="s">
        <v>49</v>
      </c>
      <c r="G3" s="5" t="s">
        <v>50</v>
      </c>
      <c r="H3" s="5" t="s">
        <v>51</v>
      </c>
      <c r="I3" s="5" t="s">
        <v>52</v>
      </c>
      <c r="J3" s="5" t="s">
        <v>2311</v>
      </c>
      <c r="K3" s="5" t="s">
        <v>2335</v>
      </c>
      <c r="L3" s="5" t="s">
        <v>2359</v>
      </c>
      <c r="M3" s="5" t="s">
        <v>2384</v>
      </c>
      <c r="N3" s="5" t="s">
        <v>3964</v>
      </c>
      <c r="O3" s="5" t="s">
        <v>3980</v>
      </c>
    </row>
    <row r="4" spans="1:15" x14ac:dyDescent="0.25">
      <c r="A4" s="9" t="s">
        <v>53</v>
      </c>
      <c r="B4" s="9" t="s">
        <v>54</v>
      </c>
      <c r="C4" s="5" t="s">
        <v>55</v>
      </c>
      <c r="D4" s="5" t="s">
        <v>56</v>
      </c>
      <c r="E4" s="5" t="s">
        <v>57</v>
      </c>
      <c r="F4" s="5" t="s">
        <v>58</v>
      </c>
      <c r="G4" s="5" t="s">
        <v>59</v>
      </c>
      <c r="H4" s="5" t="s">
        <v>60</v>
      </c>
      <c r="I4" s="5" t="s">
        <v>61</v>
      </c>
      <c r="J4" s="5" t="s">
        <v>2312</v>
      </c>
      <c r="K4" s="5" t="s">
        <v>2336</v>
      </c>
      <c r="L4" s="5" t="s">
        <v>2360</v>
      </c>
      <c r="M4" s="5" t="s">
        <v>2385</v>
      </c>
      <c r="N4" s="5" t="s">
        <v>3965</v>
      </c>
      <c r="O4" s="5" t="s">
        <v>3981</v>
      </c>
    </row>
    <row r="5" spans="1:15" x14ac:dyDescent="0.25">
      <c r="A5" s="9" t="s">
        <v>66</v>
      </c>
      <c r="B5" s="9" t="s">
        <v>341</v>
      </c>
      <c r="C5" s="5" t="s">
        <v>363</v>
      </c>
      <c r="D5" s="5" t="s">
        <v>381</v>
      </c>
      <c r="E5" s="5" t="s">
        <v>400</v>
      </c>
      <c r="F5" s="5" t="s">
        <v>419</v>
      </c>
      <c r="G5" s="5" t="s">
        <v>436</v>
      </c>
      <c r="H5" s="5" t="s">
        <v>454</v>
      </c>
      <c r="I5" s="5" t="s">
        <v>470</v>
      </c>
      <c r="J5" s="5" t="s">
        <v>2313</v>
      </c>
      <c r="K5" s="5" t="s">
        <v>2337</v>
      </c>
      <c r="L5" s="5" t="s">
        <v>2361</v>
      </c>
      <c r="M5" s="5" t="s">
        <v>2386</v>
      </c>
      <c r="N5" s="5" t="s">
        <v>3601</v>
      </c>
      <c r="O5" s="5" t="s">
        <v>2313</v>
      </c>
    </row>
    <row r="6" spans="1:15" x14ac:dyDescent="0.25">
      <c r="A6" s="9" t="s">
        <v>63</v>
      </c>
      <c r="B6" s="9" t="s">
        <v>342</v>
      </c>
      <c r="C6" s="5" t="s">
        <v>379</v>
      </c>
      <c r="D6" s="5" t="s">
        <v>382</v>
      </c>
      <c r="E6" s="5" t="s">
        <v>401</v>
      </c>
      <c r="F6" s="5" t="s">
        <v>420</v>
      </c>
      <c r="G6" s="5" t="s">
        <v>437</v>
      </c>
      <c r="H6" s="5" t="s">
        <v>455</v>
      </c>
      <c r="I6" s="5" t="s">
        <v>471</v>
      </c>
      <c r="J6" s="5" t="s">
        <v>2314</v>
      </c>
      <c r="K6" s="5" t="s">
        <v>2338</v>
      </c>
      <c r="L6" s="5" t="s">
        <v>2362</v>
      </c>
      <c r="M6" s="5" t="s">
        <v>2387</v>
      </c>
      <c r="N6" s="5" t="s">
        <v>3598</v>
      </c>
      <c r="O6" s="5" t="s">
        <v>3982</v>
      </c>
    </row>
    <row r="7" spans="1:15" x14ac:dyDescent="0.25">
      <c r="A7" s="9" t="s">
        <v>64</v>
      </c>
      <c r="B7" s="9" t="s">
        <v>344</v>
      </c>
      <c r="C7" s="5" t="s">
        <v>1839</v>
      </c>
      <c r="D7" s="5" t="s">
        <v>383</v>
      </c>
      <c r="E7" s="5" t="s">
        <v>402</v>
      </c>
      <c r="F7" s="5" t="s">
        <v>421</v>
      </c>
      <c r="G7" s="5" t="s">
        <v>438</v>
      </c>
      <c r="H7" s="5" t="s">
        <v>456</v>
      </c>
      <c r="I7" s="5" t="s">
        <v>472</v>
      </c>
      <c r="J7" s="5" t="s">
        <v>2315</v>
      </c>
      <c r="K7" s="5" t="s">
        <v>2339</v>
      </c>
      <c r="L7" s="5" t="s">
        <v>2363</v>
      </c>
      <c r="M7" s="5" t="s">
        <v>2388</v>
      </c>
      <c r="N7" s="5" t="s">
        <v>3966</v>
      </c>
      <c r="O7" s="5" t="s">
        <v>3983</v>
      </c>
    </row>
    <row r="8" spans="1:15" x14ac:dyDescent="0.25">
      <c r="A8" s="9" t="s">
        <v>65</v>
      </c>
      <c r="B8" s="9" t="s">
        <v>343</v>
      </c>
      <c r="C8" s="5" t="s">
        <v>364</v>
      </c>
      <c r="D8" s="5" t="s">
        <v>384</v>
      </c>
      <c r="E8" s="5" t="s">
        <v>403</v>
      </c>
      <c r="F8" s="5" t="s">
        <v>422</v>
      </c>
      <c r="G8" s="5" t="s">
        <v>439</v>
      </c>
      <c r="H8" s="5" t="s">
        <v>457</v>
      </c>
      <c r="I8" s="5" t="s">
        <v>473</v>
      </c>
      <c r="J8" s="5" t="s">
        <v>2316</v>
      </c>
      <c r="K8" s="5" t="s">
        <v>2340</v>
      </c>
      <c r="L8" s="5" t="s">
        <v>2364</v>
      </c>
      <c r="M8" s="5" t="s">
        <v>2389</v>
      </c>
      <c r="N8" s="5" t="s">
        <v>3967</v>
      </c>
      <c r="O8" s="5" t="s">
        <v>3984</v>
      </c>
    </row>
    <row r="9" spans="1:15" x14ac:dyDescent="0.25">
      <c r="A9" s="9" t="s">
        <v>70</v>
      </c>
      <c r="B9" s="9" t="s">
        <v>345</v>
      </c>
      <c r="C9" s="5" t="s">
        <v>365</v>
      </c>
      <c r="D9" s="5" t="s">
        <v>385</v>
      </c>
      <c r="E9" s="5" t="s">
        <v>404</v>
      </c>
      <c r="F9" s="5" t="s">
        <v>345</v>
      </c>
      <c r="G9" s="5" t="s">
        <v>440</v>
      </c>
      <c r="H9" s="5" t="s">
        <v>458</v>
      </c>
      <c r="I9" s="5" t="s">
        <v>474</v>
      </c>
      <c r="J9" s="5" t="s">
        <v>2317</v>
      </c>
      <c r="K9" s="5" t="s">
        <v>2341</v>
      </c>
      <c r="L9" s="5" t="s">
        <v>2365</v>
      </c>
      <c r="M9" s="5" t="s">
        <v>2390</v>
      </c>
      <c r="N9" s="5" t="s">
        <v>3604</v>
      </c>
      <c r="O9" s="5" t="s">
        <v>2317</v>
      </c>
    </row>
    <row r="10" spans="1:15" x14ac:dyDescent="0.25">
      <c r="A10" s="9" t="s">
        <v>67</v>
      </c>
      <c r="B10" s="9" t="s">
        <v>346</v>
      </c>
      <c r="C10" s="5" t="s">
        <v>380</v>
      </c>
      <c r="D10" s="5" t="s">
        <v>386</v>
      </c>
      <c r="E10" s="5" t="s">
        <v>405</v>
      </c>
      <c r="F10" s="5" t="s">
        <v>423</v>
      </c>
      <c r="G10" s="5" t="s">
        <v>441</v>
      </c>
      <c r="H10" s="5" t="s">
        <v>459</v>
      </c>
      <c r="I10" s="5" t="s">
        <v>475</v>
      </c>
      <c r="J10" s="5" t="s">
        <v>2318</v>
      </c>
      <c r="K10" s="5" t="s">
        <v>2342</v>
      </c>
      <c r="L10" s="5" t="s">
        <v>2366</v>
      </c>
      <c r="M10" s="5" t="s">
        <v>2391</v>
      </c>
      <c r="N10" s="5" t="s">
        <v>3968</v>
      </c>
      <c r="O10" s="5" t="s">
        <v>3985</v>
      </c>
    </row>
    <row r="11" spans="1:15" x14ac:dyDescent="0.25">
      <c r="A11" s="9" t="s">
        <v>68</v>
      </c>
      <c r="B11" s="9" t="s">
        <v>347</v>
      </c>
      <c r="C11" s="5" t="s">
        <v>1838</v>
      </c>
      <c r="D11" s="5" t="s">
        <v>387</v>
      </c>
      <c r="E11" s="5" t="s">
        <v>406</v>
      </c>
      <c r="F11" s="5" t="s">
        <v>424</v>
      </c>
      <c r="G11" s="5" t="s">
        <v>442</v>
      </c>
      <c r="H11" s="5" t="s">
        <v>460</v>
      </c>
      <c r="I11" s="5" t="s">
        <v>476</v>
      </c>
      <c r="J11" s="5" t="s">
        <v>2319</v>
      </c>
      <c r="K11" s="5" t="s">
        <v>2343</v>
      </c>
      <c r="L11" s="5" t="s">
        <v>2367</v>
      </c>
      <c r="M11" s="5" t="s">
        <v>2392</v>
      </c>
      <c r="N11" s="5" t="s">
        <v>3969</v>
      </c>
      <c r="O11" s="5" t="s">
        <v>3986</v>
      </c>
    </row>
    <row r="12" spans="1:15" x14ac:dyDescent="0.25">
      <c r="A12" s="9" t="s">
        <v>72</v>
      </c>
      <c r="B12" s="9" t="s">
        <v>348</v>
      </c>
      <c r="C12" s="5" t="s">
        <v>366</v>
      </c>
      <c r="D12" s="5" t="s">
        <v>388</v>
      </c>
      <c r="E12" s="5" t="s">
        <v>407</v>
      </c>
      <c r="F12" s="5" t="s">
        <v>425</v>
      </c>
      <c r="G12" s="5" t="s">
        <v>443</v>
      </c>
      <c r="H12" s="5" t="s">
        <v>461</v>
      </c>
      <c r="I12" s="5" t="s">
        <v>477</v>
      </c>
      <c r="J12" s="5" t="s">
        <v>2320</v>
      </c>
      <c r="K12" s="5" t="s">
        <v>2344</v>
      </c>
      <c r="L12" s="5" t="s">
        <v>2368</v>
      </c>
      <c r="M12" s="5" t="s">
        <v>2393</v>
      </c>
      <c r="N12" s="5" t="s">
        <v>3607</v>
      </c>
      <c r="O12" s="5" t="s">
        <v>3987</v>
      </c>
    </row>
    <row r="13" spans="1:15" x14ac:dyDescent="0.25">
      <c r="A13" s="9" t="s">
        <v>69</v>
      </c>
      <c r="B13" s="9" t="s">
        <v>350</v>
      </c>
      <c r="C13" s="5" t="s">
        <v>367</v>
      </c>
      <c r="D13" s="5" t="s">
        <v>389</v>
      </c>
      <c r="E13" s="5" t="s">
        <v>408</v>
      </c>
      <c r="F13" s="5" t="s">
        <v>426</v>
      </c>
      <c r="G13" s="5" t="s">
        <v>444</v>
      </c>
      <c r="H13" s="5" t="s">
        <v>462</v>
      </c>
      <c r="I13" s="5" t="s">
        <v>478</v>
      </c>
      <c r="J13" s="5" t="s">
        <v>2321</v>
      </c>
      <c r="K13" s="5" t="s">
        <v>2345</v>
      </c>
      <c r="L13" s="5" t="s">
        <v>2369</v>
      </c>
      <c r="M13" s="5" t="s">
        <v>2394</v>
      </c>
      <c r="N13" s="5" t="s">
        <v>3970</v>
      </c>
      <c r="O13" s="5" t="s">
        <v>3988</v>
      </c>
    </row>
    <row r="14" spans="1:15" x14ac:dyDescent="0.25">
      <c r="A14" s="9" t="s">
        <v>71</v>
      </c>
      <c r="B14" s="9" t="s">
        <v>349</v>
      </c>
      <c r="C14" s="5" t="s">
        <v>368</v>
      </c>
      <c r="D14" s="5" t="s">
        <v>390</v>
      </c>
      <c r="E14" s="5" t="s">
        <v>409</v>
      </c>
      <c r="F14" s="5" t="s">
        <v>427</v>
      </c>
      <c r="G14" s="5" t="s">
        <v>445</v>
      </c>
      <c r="H14" s="5" t="s">
        <v>463</v>
      </c>
      <c r="I14" s="5" t="s">
        <v>479</v>
      </c>
      <c r="J14" s="5" t="s">
        <v>2322</v>
      </c>
      <c r="K14" s="5" t="s">
        <v>2346</v>
      </c>
      <c r="L14" s="5" t="s">
        <v>2370</v>
      </c>
      <c r="M14" s="5" t="s">
        <v>2395</v>
      </c>
      <c r="N14" s="5" t="s">
        <v>3971</v>
      </c>
      <c r="O14" s="5" t="s">
        <v>3989</v>
      </c>
    </row>
    <row r="15" spans="1:15" x14ac:dyDescent="0.25">
      <c r="A15" s="9" t="s">
        <v>75</v>
      </c>
      <c r="B15" s="9" t="s">
        <v>351</v>
      </c>
      <c r="C15" s="5" t="s">
        <v>369</v>
      </c>
      <c r="D15" s="5" t="s">
        <v>391</v>
      </c>
      <c r="E15" s="5" t="s">
        <v>410</v>
      </c>
      <c r="F15" s="5" t="s">
        <v>351</v>
      </c>
      <c r="G15" s="5" t="s">
        <v>446</v>
      </c>
      <c r="H15" s="5" t="s">
        <v>464</v>
      </c>
      <c r="I15" s="5" t="s">
        <v>480</v>
      </c>
      <c r="J15" s="5" t="s">
        <v>2323</v>
      </c>
      <c r="K15" s="5" t="s">
        <v>2347</v>
      </c>
      <c r="L15" s="5" t="s">
        <v>2371</v>
      </c>
      <c r="M15" s="5" t="s">
        <v>2396</v>
      </c>
      <c r="N15" s="5" t="s">
        <v>3609</v>
      </c>
      <c r="O15" s="5" t="s">
        <v>3510</v>
      </c>
    </row>
    <row r="16" spans="1:15" x14ac:dyDescent="0.25">
      <c r="A16" s="9" t="s">
        <v>73</v>
      </c>
      <c r="B16" s="9" t="s">
        <v>355</v>
      </c>
      <c r="C16" s="5" t="s">
        <v>376</v>
      </c>
      <c r="D16" s="5" t="s">
        <v>392</v>
      </c>
      <c r="E16" s="5" t="s">
        <v>411</v>
      </c>
      <c r="F16" s="5" t="s">
        <v>428</v>
      </c>
      <c r="G16" s="5" t="s">
        <v>447</v>
      </c>
      <c r="H16" s="5" t="s">
        <v>465</v>
      </c>
      <c r="I16" s="5" t="s">
        <v>481</v>
      </c>
      <c r="J16" s="5" t="s">
        <v>2324</v>
      </c>
      <c r="K16" s="5" t="s">
        <v>2348</v>
      </c>
      <c r="L16" s="5" t="s">
        <v>2372</v>
      </c>
      <c r="M16" s="5" t="s">
        <v>2397</v>
      </c>
      <c r="N16" s="5" t="s">
        <v>3972</v>
      </c>
      <c r="O16" s="5" t="s">
        <v>3990</v>
      </c>
    </row>
    <row r="17" spans="1:15" x14ac:dyDescent="0.25">
      <c r="A17" s="9" t="s">
        <v>78</v>
      </c>
      <c r="B17" s="9" t="s">
        <v>353</v>
      </c>
      <c r="C17" s="5" t="s">
        <v>370</v>
      </c>
      <c r="D17" s="5" t="s">
        <v>393</v>
      </c>
      <c r="E17" s="5" t="s">
        <v>412</v>
      </c>
      <c r="F17" s="5" t="s">
        <v>352</v>
      </c>
      <c r="G17" s="5" t="s">
        <v>448</v>
      </c>
      <c r="H17" s="5" t="s">
        <v>466</v>
      </c>
      <c r="I17" s="5" t="s">
        <v>482</v>
      </c>
      <c r="J17" s="5" t="s">
        <v>2325</v>
      </c>
      <c r="K17" s="5" t="s">
        <v>2349</v>
      </c>
      <c r="L17" s="5" t="s">
        <v>2373</v>
      </c>
      <c r="M17" s="5" t="s">
        <v>2398</v>
      </c>
      <c r="N17" s="5" t="s">
        <v>3612</v>
      </c>
      <c r="O17" s="5" t="s">
        <v>2325</v>
      </c>
    </row>
    <row r="18" spans="1:15" x14ac:dyDescent="0.25">
      <c r="A18" s="9" t="s">
        <v>74</v>
      </c>
      <c r="B18" s="9" t="s">
        <v>354</v>
      </c>
      <c r="C18" s="5" t="s">
        <v>377</v>
      </c>
      <c r="D18" s="5" t="s">
        <v>394</v>
      </c>
      <c r="E18" s="5" t="s">
        <v>413</v>
      </c>
      <c r="F18" s="5" t="s">
        <v>429</v>
      </c>
      <c r="G18" s="5" t="s">
        <v>449</v>
      </c>
      <c r="H18" s="5" t="s">
        <v>467</v>
      </c>
      <c r="I18" s="5" t="s">
        <v>483</v>
      </c>
      <c r="J18" s="5" t="s">
        <v>2326</v>
      </c>
      <c r="K18" s="5" t="s">
        <v>2350</v>
      </c>
      <c r="L18" s="5" t="s">
        <v>2374</v>
      </c>
      <c r="M18" s="5" t="s">
        <v>2399</v>
      </c>
      <c r="N18" s="5" t="s">
        <v>3973</v>
      </c>
      <c r="O18" s="5" t="s">
        <v>3991</v>
      </c>
    </row>
    <row r="19" spans="1:15" x14ac:dyDescent="0.25">
      <c r="A19" s="9" t="s">
        <v>76</v>
      </c>
      <c r="B19" s="9" t="s">
        <v>4087</v>
      </c>
      <c r="C19" s="5" t="s">
        <v>4089</v>
      </c>
      <c r="D19" s="5" t="s">
        <v>4090</v>
      </c>
      <c r="E19" s="5" t="s">
        <v>4091</v>
      </c>
      <c r="F19" s="5" t="s">
        <v>4092</v>
      </c>
      <c r="G19" s="5" t="s">
        <v>4093</v>
      </c>
      <c r="H19" s="5" t="s">
        <v>4094</v>
      </c>
      <c r="I19" s="5" t="s">
        <v>4095</v>
      </c>
      <c r="J19" s="5" t="s">
        <v>4096</v>
      </c>
      <c r="K19" s="5" t="s">
        <v>4097</v>
      </c>
      <c r="L19" s="5" t="s">
        <v>4098</v>
      </c>
      <c r="M19" s="5" t="s">
        <v>4099</v>
      </c>
      <c r="N19" s="5" t="s">
        <v>4100</v>
      </c>
      <c r="O19" s="5" t="s">
        <v>4101</v>
      </c>
    </row>
    <row r="20" spans="1:15" x14ac:dyDescent="0.25">
      <c r="A20" s="9" t="s">
        <v>356</v>
      </c>
      <c r="B20" s="9" t="s">
        <v>357</v>
      </c>
      <c r="C20" s="5" t="s">
        <v>371</v>
      </c>
      <c r="D20" s="5" t="s">
        <v>395</v>
      </c>
      <c r="E20" s="5" t="s">
        <v>414</v>
      </c>
      <c r="F20" s="5" t="s">
        <v>430</v>
      </c>
      <c r="G20" s="5" t="s">
        <v>450</v>
      </c>
      <c r="H20" s="5" t="s">
        <v>357</v>
      </c>
      <c r="I20" s="5" t="s">
        <v>484</v>
      </c>
      <c r="J20" s="5" t="s">
        <v>2327</v>
      </c>
      <c r="K20" s="5" t="s">
        <v>2351</v>
      </c>
      <c r="L20" s="5" t="s">
        <v>2375</v>
      </c>
      <c r="M20" s="5" t="s">
        <v>357</v>
      </c>
      <c r="N20" s="5" t="s">
        <v>3974</v>
      </c>
      <c r="O20" s="5" t="s">
        <v>3992</v>
      </c>
    </row>
    <row r="21" spans="1:15" x14ac:dyDescent="0.25">
      <c r="A21" s="9" t="s">
        <v>77</v>
      </c>
      <c r="B21" s="9" t="s">
        <v>360</v>
      </c>
      <c r="C21" s="5" t="s">
        <v>378</v>
      </c>
      <c r="D21" s="5" t="s">
        <v>396</v>
      </c>
      <c r="E21" s="5" t="s">
        <v>415</v>
      </c>
      <c r="F21" s="5" t="s">
        <v>431</v>
      </c>
      <c r="G21" s="5" t="s">
        <v>451</v>
      </c>
      <c r="H21" s="5" t="s">
        <v>360</v>
      </c>
      <c r="I21" s="5" t="s">
        <v>485</v>
      </c>
      <c r="J21" s="5" t="s">
        <v>2328</v>
      </c>
      <c r="K21" s="5" t="s">
        <v>2352</v>
      </c>
      <c r="L21" s="5" t="s">
        <v>2376</v>
      </c>
      <c r="M21" s="5" t="s">
        <v>2400</v>
      </c>
      <c r="N21" s="5" t="s">
        <v>3975</v>
      </c>
      <c r="O21" s="5" t="s">
        <v>3993</v>
      </c>
    </row>
    <row r="22" spans="1:15" x14ac:dyDescent="0.25">
      <c r="A22" s="9" t="s">
        <v>85</v>
      </c>
      <c r="B22" s="9" t="s">
        <v>361</v>
      </c>
      <c r="C22" s="5" t="s">
        <v>372</v>
      </c>
      <c r="D22" s="5" t="s">
        <v>397</v>
      </c>
      <c r="E22" s="5" t="s">
        <v>416</v>
      </c>
      <c r="F22" s="5" t="s">
        <v>432</v>
      </c>
      <c r="G22" s="5" t="s">
        <v>452</v>
      </c>
      <c r="H22" s="5" t="s">
        <v>468</v>
      </c>
      <c r="I22" s="5" t="s">
        <v>486</v>
      </c>
      <c r="J22" s="5" t="s">
        <v>2329</v>
      </c>
      <c r="K22" s="5" t="s">
        <v>2353</v>
      </c>
      <c r="L22" s="5" t="s">
        <v>2377</v>
      </c>
      <c r="M22" s="5" t="s">
        <v>2401</v>
      </c>
      <c r="N22" s="5" t="s">
        <v>3976</v>
      </c>
      <c r="O22" s="5" t="s">
        <v>3994</v>
      </c>
    </row>
    <row r="23" spans="1:15" x14ac:dyDescent="0.25">
      <c r="A23" s="9" t="s">
        <v>86</v>
      </c>
      <c r="B23" s="9" t="s">
        <v>359</v>
      </c>
      <c r="C23" s="5" t="s">
        <v>373</v>
      </c>
      <c r="D23" s="5" t="s">
        <v>398</v>
      </c>
      <c r="E23" s="5" t="s">
        <v>417</v>
      </c>
      <c r="F23" s="5" t="s">
        <v>433</v>
      </c>
      <c r="G23" s="5" t="s">
        <v>453</v>
      </c>
      <c r="H23" s="5" t="s">
        <v>469</v>
      </c>
      <c r="I23" s="5" t="s">
        <v>487</v>
      </c>
      <c r="J23" s="5" t="s">
        <v>2330</v>
      </c>
      <c r="K23" s="5" t="s">
        <v>2354</v>
      </c>
      <c r="L23" s="5" t="s">
        <v>2378</v>
      </c>
      <c r="M23" s="5" t="s">
        <v>2402</v>
      </c>
      <c r="N23" s="5" t="s">
        <v>3977</v>
      </c>
      <c r="O23" s="5" t="s">
        <v>3995</v>
      </c>
    </row>
    <row r="24" spans="1:15" x14ac:dyDescent="0.25">
      <c r="A24" s="9" t="s">
        <v>358</v>
      </c>
      <c r="B24" s="9" t="s">
        <v>79</v>
      </c>
      <c r="C24" s="5" t="s">
        <v>80</v>
      </c>
      <c r="D24" s="5" t="s">
        <v>81</v>
      </c>
      <c r="E24" s="5" t="s">
        <v>79</v>
      </c>
      <c r="F24" s="5" t="s">
        <v>79</v>
      </c>
      <c r="G24" s="5" t="s">
        <v>82</v>
      </c>
      <c r="H24" s="5" t="s">
        <v>83</v>
      </c>
      <c r="I24" s="5" t="s">
        <v>84</v>
      </c>
      <c r="J24" s="5" t="s">
        <v>79</v>
      </c>
      <c r="K24" s="5" t="s">
        <v>84</v>
      </c>
      <c r="L24" s="5" t="s">
        <v>2379</v>
      </c>
      <c r="M24" s="5" t="s">
        <v>2403</v>
      </c>
      <c r="N24" s="5" t="s">
        <v>3978</v>
      </c>
      <c r="O24" s="5" t="s">
        <v>3996</v>
      </c>
    </row>
    <row r="25" spans="1:15" x14ac:dyDescent="0.25">
      <c r="A25" s="9" t="s">
        <v>94</v>
      </c>
      <c r="B25" s="9" t="s">
        <v>119</v>
      </c>
      <c r="C25" s="5" t="s">
        <v>120</v>
      </c>
      <c r="D25" s="5" t="s">
        <v>121</v>
      </c>
      <c r="E25" s="5" t="s">
        <v>122</v>
      </c>
      <c r="F25" s="5" t="s">
        <v>123</v>
      </c>
      <c r="G25" s="5" t="s">
        <v>124</v>
      </c>
      <c r="H25" s="5" t="s">
        <v>125</v>
      </c>
      <c r="I25" s="5" t="s">
        <v>126</v>
      </c>
      <c r="J25" s="5" t="s">
        <v>2331</v>
      </c>
      <c r="K25" s="5" t="s">
        <v>2355</v>
      </c>
      <c r="L25" s="5" t="s">
        <v>2380</v>
      </c>
      <c r="M25" s="5" t="s">
        <v>2404</v>
      </c>
      <c r="N25" s="5" t="s">
        <v>3979</v>
      </c>
      <c r="O25" s="5" t="s">
        <v>3997</v>
      </c>
    </row>
    <row r="26" spans="1:15" x14ac:dyDescent="0.25">
      <c r="A26" s="9" t="s">
        <v>362</v>
      </c>
      <c r="B26" s="9" t="s">
        <v>87</v>
      </c>
      <c r="C26" s="5" t="s">
        <v>374</v>
      </c>
      <c r="D26" s="5" t="s">
        <v>88</v>
      </c>
      <c r="E26" s="5" t="s">
        <v>89</v>
      </c>
      <c r="F26" s="5" t="s">
        <v>90</v>
      </c>
      <c r="G26" s="5" t="s">
        <v>91</v>
      </c>
      <c r="H26" s="5" t="s">
        <v>92</v>
      </c>
      <c r="I26" s="5" t="s">
        <v>93</v>
      </c>
      <c r="J26" s="5" t="s">
        <v>2332</v>
      </c>
      <c r="K26" s="5" t="s">
        <v>2356</v>
      </c>
      <c r="L26" s="5" t="s">
        <v>2381</v>
      </c>
      <c r="M26" s="5" t="s">
        <v>2405</v>
      </c>
      <c r="N26" s="5" t="s">
        <v>3943</v>
      </c>
      <c r="O26" s="5" t="s">
        <v>3908</v>
      </c>
    </row>
    <row r="27" spans="1:15" x14ac:dyDescent="0.25">
      <c r="A27" s="9" t="s">
        <v>4088</v>
      </c>
      <c r="B27" s="9" t="s">
        <v>95</v>
      </c>
      <c r="C27" s="5" t="s">
        <v>96</v>
      </c>
      <c r="D27" s="5" t="s">
        <v>97</v>
      </c>
      <c r="E27" s="5" t="s">
        <v>98</v>
      </c>
      <c r="F27" s="5" t="s">
        <v>434</v>
      </c>
      <c r="G27" s="5" t="s">
        <v>99</v>
      </c>
      <c r="H27" s="5" t="s">
        <v>100</v>
      </c>
      <c r="I27" s="5" t="s">
        <v>101</v>
      </c>
      <c r="J27" s="5" t="s">
        <v>2333</v>
      </c>
      <c r="K27" s="5" t="s">
        <v>2357</v>
      </c>
      <c r="L27" s="5" t="s">
        <v>2382</v>
      </c>
      <c r="M27" s="5" t="s">
        <v>2406</v>
      </c>
      <c r="N27" s="5" t="s">
        <v>3620</v>
      </c>
      <c r="O27" s="5" t="s">
        <v>3520</v>
      </c>
    </row>
  </sheetData>
  <dataValidations count="1">
    <dataValidation type="list" allowBlank="1" showInputMessage="1" showErrorMessage="1" sqref="B1" xr:uid="{00000000-0002-0000-0200-000000000000}">
      <formula1>$B$1:$D$1</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FA292"/>
  <sheetViews>
    <sheetView topLeftCell="A265" zoomScaleNormal="100" workbookViewId="0">
      <selection activeCell="B291" sqref="B291"/>
    </sheetView>
  </sheetViews>
  <sheetFormatPr baseColWidth="10" defaultColWidth="65.7109375" defaultRowHeight="15" x14ac:dyDescent="0.25"/>
  <sheetData>
    <row r="1" spans="1:16381" ht="15.75" thickBot="1" x14ac:dyDescent="0.3">
      <c r="A1" s="7" t="s">
        <v>37</v>
      </c>
      <c r="B1" s="8" t="s">
        <v>38</v>
      </c>
      <c r="C1" s="8" t="s">
        <v>39</v>
      </c>
      <c r="D1" s="8" t="s">
        <v>40</v>
      </c>
      <c r="E1" s="8" t="s">
        <v>41</v>
      </c>
      <c r="F1" s="8" t="s">
        <v>42</v>
      </c>
      <c r="G1" s="8" t="s">
        <v>43</v>
      </c>
      <c r="H1" s="8" t="s">
        <v>44</v>
      </c>
      <c r="I1" s="8" t="s">
        <v>2300</v>
      </c>
      <c r="J1" s="8" t="s">
        <v>2301</v>
      </c>
      <c r="K1" s="8" t="s">
        <v>2302</v>
      </c>
      <c r="L1" s="8" t="s">
        <v>2303</v>
      </c>
      <c r="M1" s="8" t="s">
        <v>3463</v>
      </c>
      <c r="N1" s="8" t="s">
        <v>3464</v>
      </c>
    </row>
    <row r="2" spans="1:16381" x14ac:dyDescent="0.25">
      <c r="A2" s="9" t="s">
        <v>1882</v>
      </c>
      <c r="B2" s="5" t="s">
        <v>1925</v>
      </c>
      <c r="C2" s="5" t="s">
        <v>1968</v>
      </c>
      <c r="D2" s="5" t="s">
        <v>2013</v>
      </c>
      <c r="E2" s="5" t="s">
        <v>2058</v>
      </c>
      <c r="F2" s="5" t="s">
        <v>2103</v>
      </c>
      <c r="G2" s="5" t="s">
        <v>2147</v>
      </c>
      <c r="H2" s="5" t="s">
        <v>2192</v>
      </c>
      <c r="I2" s="5" t="s">
        <v>2719</v>
      </c>
      <c r="J2" s="5" t="s">
        <v>2616</v>
      </c>
      <c r="K2" s="5" t="s">
        <v>2511</v>
      </c>
      <c r="L2" s="5" t="s">
        <v>3559</v>
      </c>
      <c r="M2" s="5" t="s">
        <v>3561</v>
      </c>
      <c r="N2" s="5" t="s">
        <v>3560</v>
      </c>
    </row>
    <row r="3" spans="1:16381" x14ac:dyDescent="0.25">
      <c r="A3" s="9" t="s">
        <v>1866</v>
      </c>
      <c r="B3" s="5" t="s">
        <v>1910</v>
      </c>
      <c r="C3" s="5" t="s">
        <v>1952</v>
      </c>
      <c r="D3" s="5" t="s">
        <v>1997</v>
      </c>
      <c r="E3" s="5" t="s">
        <v>2042</v>
      </c>
      <c r="F3" s="5" t="s">
        <v>2087</v>
      </c>
      <c r="G3" s="5" t="s">
        <v>2131</v>
      </c>
      <c r="H3" s="5" t="s">
        <v>2176</v>
      </c>
      <c r="I3" s="5" t="s">
        <v>2720</v>
      </c>
      <c r="J3" s="5" t="s">
        <v>2617</v>
      </c>
      <c r="K3" s="5" t="s">
        <v>2512</v>
      </c>
      <c r="L3" s="5" t="s">
        <v>2407</v>
      </c>
      <c r="M3" s="5" t="s">
        <v>3562</v>
      </c>
      <c r="N3" s="5" t="s">
        <v>3465</v>
      </c>
    </row>
    <row r="4" spans="1:16381" x14ac:dyDescent="0.25">
      <c r="A4" s="9" t="s">
        <v>1865</v>
      </c>
      <c r="B4" s="5" t="s">
        <v>1909</v>
      </c>
      <c r="C4" s="5" t="s">
        <v>1951</v>
      </c>
      <c r="D4" s="5" t="s">
        <v>1996</v>
      </c>
      <c r="E4" s="5" t="s">
        <v>2041</v>
      </c>
      <c r="F4" s="5" t="s">
        <v>2086</v>
      </c>
      <c r="G4" s="5" t="s">
        <v>2130</v>
      </c>
      <c r="H4" s="5" t="s">
        <v>2175</v>
      </c>
      <c r="I4" s="5" t="s">
        <v>2721</v>
      </c>
      <c r="J4" s="5" t="s">
        <v>2618</v>
      </c>
      <c r="K4" s="5" t="s">
        <v>2513</v>
      </c>
      <c r="L4" s="5" t="s">
        <v>2408</v>
      </c>
      <c r="M4" s="5" t="s">
        <v>3563</v>
      </c>
      <c r="N4" s="5" t="s">
        <v>3466</v>
      </c>
    </row>
    <row r="5" spans="1:16381" x14ac:dyDescent="0.25">
      <c r="A5" s="9" t="s">
        <v>2207</v>
      </c>
      <c r="B5" s="5" t="s">
        <v>2280</v>
      </c>
      <c r="C5" s="5" t="s">
        <v>2222</v>
      </c>
      <c r="D5" s="5" t="s">
        <v>2229</v>
      </c>
      <c r="E5" s="5" t="s">
        <v>2236</v>
      </c>
      <c r="F5" s="5" t="s">
        <v>2243</v>
      </c>
      <c r="G5" s="5" t="s">
        <v>2250</v>
      </c>
      <c r="H5" s="5" t="s">
        <v>2257</v>
      </c>
      <c r="I5" s="5" t="s">
        <v>2722</v>
      </c>
      <c r="J5" s="5" t="s">
        <v>2619</v>
      </c>
      <c r="K5" s="5" t="s">
        <v>2514</v>
      </c>
      <c r="L5" s="5" t="s">
        <v>2409</v>
      </c>
      <c r="M5" s="5" t="s">
        <v>3564</v>
      </c>
      <c r="N5" s="5" t="s">
        <v>2722</v>
      </c>
    </row>
    <row r="6" spans="1:16381" x14ac:dyDescent="0.25">
      <c r="A6" s="9" t="s">
        <v>1877</v>
      </c>
      <c r="B6" s="5" t="s">
        <v>1920</v>
      </c>
      <c r="C6" s="5" t="s">
        <v>1963</v>
      </c>
      <c r="D6" s="5" t="s">
        <v>2008</v>
      </c>
      <c r="E6" s="5" t="s">
        <v>2053</v>
      </c>
      <c r="F6" s="5" t="s">
        <v>2098</v>
      </c>
      <c r="G6" s="5" t="s">
        <v>2142</v>
      </c>
      <c r="H6" s="5" t="s">
        <v>2187</v>
      </c>
      <c r="I6" s="5" t="s">
        <v>2723</v>
      </c>
      <c r="J6" s="5" t="s">
        <v>2620</v>
      </c>
      <c r="K6" s="5" t="s">
        <v>2515</v>
      </c>
      <c r="L6" s="5" t="s">
        <v>2410</v>
      </c>
      <c r="M6" s="5" t="s">
        <v>3565</v>
      </c>
      <c r="N6" s="5" t="s">
        <v>3467</v>
      </c>
    </row>
    <row r="7" spans="1:16381" x14ac:dyDescent="0.25">
      <c r="A7" s="9" t="s">
        <v>1871</v>
      </c>
      <c r="B7" s="5" t="s">
        <v>1915</v>
      </c>
      <c r="C7" s="5" t="s">
        <v>1957</v>
      </c>
      <c r="D7" s="5" t="s">
        <v>2002</v>
      </c>
      <c r="E7" s="5" t="s">
        <v>2047</v>
      </c>
      <c r="F7" s="5" t="s">
        <v>2092</v>
      </c>
      <c r="G7" s="5" t="s">
        <v>2136</v>
      </c>
      <c r="H7" s="5" t="s">
        <v>2181</v>
      </c>
      <c r="I7" s="5" t="s">
        <v>2724</v>
      </c>
      <c r="J7" s="5" t="s">
        <v>2621</v>
      </c>
      <c r="K7" s="5" t="s">
        <v>2516</v>
      </c>
      <c r="L7" s="5" t="s">
        <v>2411</v>
      </c>
      <c r="M7" s="5" t="s">
        <v>3566</v>
      </c>
      <c r="N7" s="5" t="s">
        <v>3468</v>
      </c>
    </row>
    <row r="8" spans="1:16381" x14ac:dyDescent="0.25">
      <c r="A8" s="9" t="s">
        <v>1870</v>
      </c>
      <c r="B8" s="5" t="s">
        <v>1914</v>
      </c>
      <c r="C8" s="5" t="s">
        <v>1956</v>
      </c>
      <c r="D8" s="5" t="s">
        <v>2001</v>
      </c>
      <c r="E8" s="5" t="s">
        <v>2046</v>
      </c>
      <c r="F8" s="5" t="s">
        <v>2091</v>
      </c>
      <c r="G8" s="5" t="s">
        <v>2135</v>
      </c>
      <c r="H8" s="5" t="s">
        <v>2180</v>
      </c>
      <c r="I8" s="5" t="s">
        <v>2725</v>
      </c>
      <c r="J8" s="5" t="s">
        <v>2622</v>
      </c>
      <c r="K8" s="5" t="s">
        <v>2517</v>
      </c>
      <c r="L8" s="5" t="s">
        <v>2412</v>
      </c>
      <c r="M8" s="5" t="s">
        <v>3567</v>
      </c>
      <c r="N8" s="5" t="s">
        <v>3469</v>
      </c>
    </row>
    <row r="9" spans="1:16381" x14ac:dyDescent="0.25">
      <c r="A9" s="9" t="s">
        <v>1869</v>
      </c>
      <c r="B9" s="5" t="s">
        <v>1913</v>
      </c>
      <c r="C9" s="5" t="s">
        <v>1955</v>
      </c>
      <c r="D9" s="5" t="s">
        <v>2000</v>
      </c>
      <c r="E9" s="5" t="s">
        <v>2045</v>
      </c>
      <c r="F9" s="5" t="s">
        <v>2090</v>
      </c>
      <c r="G9" s="5" t="s">
        <v>2134</v>
      </c>
      <c r="H9" s="5" t="s">
        <v>2179</v>
      </c>
      <c r="I9" s="5" t="s">
        <v>2726</v>
      </c>
      <c r="J9" s="5" t="s">
        <v>2623</v>
      </c>
      <c r="K9" s="5" t="s">
        <v>2518</v>
      </c>
      <c r="L9" s="5" t="s">
        <v>2413</v>
      </c>
      <c r="M9" s="5" t="s">
        <v>3568</v>
      </c>
      <c r="N9" s="5" t="s">
        <v>3470</v>
      </c>
    </row>
    <row r="10" spans="1:16381" x14ac:dyDescent="0.25">
      <c r="A10" s="9" t="s">
        <v>1876</v>
      </c>
      <c r="B10" s="5" t="s">
        <v>2282</v>
      </c>
      <c r="C10" s="5" t="s">
        <v>1962</v>
      </c>
      <c r="D10" s="5" t="s">
        <v>2007</v>
      </c>
      <c r="E10" s="5" t="s">
        <v>2052</v>
      </c>
      <c r="F10" s="5" t="s">
        <v>2097</v>
      </c>
      <c r="G10" s="5" t="s">
        <v>2141</v>
      </c>
      <c r="H10" s="5" t="s">
        <v>2186</v>
      </c>
      <c r="I10" s="5" t="s">
        <v>2727</v>
      </c>
      <c r="J10" s="5" t="s">
        <v>2624</v>
      </c>
      <c r="K10" s="5" t="s">
        <v>2519</v>
      </c>
      <c r="L10" s="5" t="s">
        <v>2414</v>
      </c>
      <c r="M10" s="5" t="s">
        <v>3569</v>
      </c>
      <c r="N10" s="5" t="s">
        <v>3471</v>
      </c>
    </row>
    <row r="11" spans="1:16381" x14ac:dyDescent="0.25">
      <c r="A11" s="9" t="s">
        <v>488</v>
      </c>
      <c r="B11" s="5" t="s">
        <v>634</v>
      </c>
      <c r="C11" s="5" t="s">
        <v>712</v>
      </c>
      <c r="D11" s="5" t="s">
        <v>803</v>
      </c>
      <c r="E11" s="5" t="s">
        <v>894</v>
      </c>
      <c r="F11" s="5" t="s">
        <v>982</v>
      </c>
      <c r="G11" s="5" t="s">
        <v>1072</v>
      </c>
      <c r="H11" s="5" t="s">
        <v>1152</v>
      </c>
      <c r="I11" s="5" t="s">
        <v>2728</v>
      </c>
      <c r="J11" s="5" t="s">
        <v>2625</v>
      </c>
      <c r="K11" s="5" t="s">
        <v>2520</v>
      </c>
      <c r="L11" s="5" t="s">
        <v>2415</v>
      </c>
      <c r="M11" s="5" t="s">
        <v>3570</v>
      </c>
      <c r="N11" s="5" t="s">
        <v>3472</v>
      </c>
    </row>
    <row r="12" spans="1:16381" x14ac:dyDescent="0.25">
      <c r="A12" s="9" t="s">
        <v>1881</v>
      </c>
      <c r="B12" s="5" t="s">
        <v>1924</v>
      </c>
      <c r="C12" s="5" t="s">
        <v>1967</v>
      </c>
      <c r="D12" s="5" t="s">
        <v>2012</v>
      </c>
      <c r="E12" s="5" t="s">
        <v>2057</v>
      </c>
      <c r="F12" s="5" t="s">
        <v>2102</v>
      </c>
      <c r="G12" s="5" t="s">
        <v>2146</v>
      </c>
      <c r="H12" s="5" t="s">
        <v>2191</v>
      </c>
      <c r="I12" s="5" t="s">
        <v>2729</v>
      </c>
      <c r="J12" s="5" t="s">
        <v>2626</v>
      </c>
      <c r="K12" s="5" t="s">
        <v>2521</v>
      </c>
      <c r="L12" s="5" t="s">
        <v>2416</v>
      </c>
      <c r="M12" s="5" t="s">
        <v>3571</v>
      </c>
      <c r="N12" s="5" t="s">
        <v>3473</v>
      </c>
      <c r="P12" s="11"/>
      <c r="Q12" s="10"/>
      <c r="T12" s="11"/>
      <c r="U12" s="10"/>
      <c r="X12" s="11"/>
      <c r="Y12" s="10"/>
      <c r="AB12" s="11"/>
      <c r="AC12" s="10"/>
      <c r="AF12" s="11"/>
      <c r="AG12" s="10"/>
      <c r="AJ12" s="11"/>
      <c r="AK12" s="10"/>
      <c r="AN12" s="11"/>
      <c r="AO12" s="10"/>
      <c r="AR12" s="11"/>
      <c r="AS12" s="10"/>
      <c r="AV12" s="11"/>
      <c r="AW12" s="10"/>
      <c r="AZ12" s="11"/>
      <c r="BA12" s="10"/>
      <c r="BD12" s="11"/>
      <c r="BE12" s="10"/>
      <c r="BH12" s="11"/>
      <c r="BI12" s="10"/>
      <c r="BL12" s="11"/>
      <c r="BM12" s="10"/>
      <c r="BP12" s="11"/>
      <c r="BQ12" s="10"/>
      <c r="BT12" s="11"/>
      <c r="BU12" s="10"/>
      <c r="BX12" s="11"/>
      <c r="BY12" s="10"/>
      <c r="CB12" s="11"/>
      <c r="CC12" s="10"/>
      <c r="CF12" s="11"/>
      <c r="CG12" s="10"/>
      <c r="CJ12" s="11"/>
      <c r="CK12" s="10"/>
      <c r="CN12" s="11"/>
      <c r="CO12" s="10"/>
      <c r="CR12" s="11"/>
      <c r="CS12" s="10"/>
      <c r="CV12" s="11"/>
      <c r="CW12" s="10"/>
      <c r="CZ12" s="11"/>
      <c r="DA12" s="10"/>
      <c r="DD12" s="11"/>
      <c r="DE12" s="10"/>
      <c r="DH12" s="11"/>
      <c r="DI12" s="10"/>
      <c r="DL12" s="11"/>
      <c r="DM12" s="10"/>
      <c r="DP12" s="11"/>
      <c r="DQ12" s="10"/>
      <c r="DT12" s="11"/>
      <c r="DU12" s="10"/>
      <c r="DX12" s="11"/>
      <c r="DY12" s="10"/>
      <c r="EB12" s="11"/>
      <c r="EC12" s="10"/>
      <c r="EF12" s="11"/>
      <c r="EG12" s="10"/>
      <c r="EJ12" s="11"/>
      <c r="EK12" s="10"/>
      <c r="EN12" s="11"/>
      <c r="EO12" s="10"/>
      <c r="ER12" s="11"/>
      <c r="ES12" s="10"/>
      <c r="EV12" s="11"/>
      <c r="EW12" s="10"/>
      <c r="EZ12" s="11"/>
      <c r="FA12" s="10"/>
      <c r="FD12" s="11"/>
      <c r="FE12" s="10"/>
      <c r="FH12" s="11"/>
      <c r="FI12" s="10"/>
      <c r="FL12" s="11"/>
      <c r="FM12" s="10"/>
      <c r="FP12" s="11"/>
      <c r="FQ12" s="10"/>
      <c r="FT12" s="11"/>
      <c r="FU12" s="10"/>
      <c r="FX12" s="11"/>
      <c r="FY12" s="10"/>
      <c r="GB12" s="11"/>
      <c r="GC12" s="10"/>
      <c r="GF12" s="11"/>
      <c r="GG12" s="10"/>
      <c r="GJ12" s="11"/>
      <c r="GK12" s="10"/>
      <c r="GN12" s="11"/>
      <c r="GO12" s="10"/>
      <c r="GR12" s="11"/>
      <c r="GS12" s="10"/>
      <c r="GV12" s="11"/>
      <c r="GW12" s="10"/>
      <c r="GZ12" s="11"/>
      <c r="HA12" s="10"/>
      <c r="HD12" s="11"/>
      <c r="HE12" s="10"/>
      <c r="HH12" s="11"/>
      <c r="HI12" s="10"/>
      <c r="HL12" s="11"/>
      <c r="HM12" s="10"/>
      <c r="HP12" s="11"/>
      <c r="HQ12" s="10"/>
      <c r="HT12" s="11"/>
      <c r="HU12" s="10"/>
      <c r="HX12" s="11"/>
      <c r="HY12" s="10"/>
      <c r="IB12" s="11"/>
      <c r="IC12" s="10"/>
      <c r="IF12" s="11"/>
      <c r="IG12" s="10"/>
      <c r="IJ12" s="11"/>
      <c r="IK12" s="10"/>
      <c r="IN12" s="11"/>
      <c r="IO12" s="10"/>
      <c r="IR12" s="11"/>
      <c r="IS12" s="10"/>
      <c r="IV12" s="11"/>
      <c r="IW12" s="10"/>
      <c r="IZ12" s="11"/>
      <c r="JA12" s="10"/>
      <c r="JD12" s="11"/>
      <c r="JE12" s="10"/>
      <c r="JH12" s="11"/>
      <c r="JI12" s="10"/>
      <c r="JL12" s="11"/>
      <c r="JM12" s="10"/>
      <c r="JP12" s="11"/>
      <c r="JQ12" s="10"/>
      <c r="JT12" s="11"/>
      <c r="JU12" s="10"/>
      <c r="JX12" s="11"/>
      <c r="JY12" s="10"/>
      <c r="KB12" s="11"/>
      <c r="KC12" s="10"/>
      <c r="KF12" s="11"/>
      <c r="KG12" s="10"/>
      <c r="KJ12" s="11"/>
      <c r="KK12" s="10"/>
      <c r="KN12" s="11"/>
      <c r="KO12" s="10"/>
      <c r="KR12" s="11"/>
      <c r="KS12" s="10"/>
      <c r="KV12" s="11"/>
      <c r="KW12" s="10"/>
      <c r="KZ12" s="11"/>
      <c r="LA12" s="10"/>
      <c r="LD12" s="11"/>
      <c r="LE12" s="10"/>
      <c r="LH12" s="11"/>
      <c r="LI12" s="10"/>
      <c r="LL12" s="11"/>
      <c r="LM12" s="10"/>
      <c r="LP12" s="11"/>
      <c r="LQ12" s="10"/>
      <c r="LT12" s="11"/>
      <c r="LU12" s="10"/>
      <c r="LX12" s="11"/>
      <c r="LY12" s="10"/>
      <c r="MB12" s="11"/>
      <c r="MC12" s="10"/>
      <c r="MF12" s="11"/>
      <c r="MG12" s="10"/>
      <c r="MJ12" s="11"/>
      <c r="MK12" s="10"/>
      <c r="MN12" s="11"/>
      <c r="MO12" s="10"/>
      <c r="MR12" s="11"/>
      <c r="MS12" s="10"/>
      <c r="MV12" s="11"/>
      <c r="MW12" s="10"/>
      <c r="MZ12" s="11"/>
      <c r="NA12" s="10"/>
      <c r="ND12" s="11"/>
      <c r="NE12" s="10"/>
      <c r="NH12" s="11"/>
      <c r="NI12" s="10"/>
      <c r="NL12" s="11"/>
      <c r="NM12" s="10"/>
      <c r="NP12" s="11"/>
      <c r="NQ12" s="10"/>
      <c r="NT12" s="11"/>
      <c r="NU12" s="10"/>
      <c r="NX12" s="11"/>
      <c r="NY12" s="10"/>
      <c r="OB12" s="11"/>
      <c r="OC12" s="10"/>
      <c r="OF12" s="11"/>
      <c r="OG12" s="10"/>
      <c r="OJ12" s="11"/>
      <c r="OK12" s="10"/>
      <c r="ON12" s="11"/>
      <c r="OO12" s="10"/>
      <c r="OR12" s="11"/>
      <c r="OS12" s="10"/>
      <c r="OV12" s="11"/>
      <c r="OW12" s="10"/>
      <c r="OZ12" s="11"/>
      <c r="PA12" s="10"/>
      <c r="PD12" s="11"/>
      <c r="PE12" s="10"/>
      <c r="PH12" s="11"/>
      <c r="PI12" s="10"/>
      <c r="PL12" s="11"/>
      <c r="PM12" s="10"/>
      <c r="PP12" s="11"/>
      <c r="PQ12" s="10"/>
      <c r="PT12" s="11"/>
      <c r="PU12" s="10"/>
      <c r="PX12" s="11"/>
      <c r="PY12" s="10"/>
      <c r="QB12" s="11"/>
      <c r="QC12" s="10"/>
      <c r="QF12" s="11"/>
      <c r="QG12" s="10"/>
      <c r="QJ12" s="11"/>
      <c r="QK12" s="10"/>
      <c r="QN12" s="11"/>
      <c r="QO12" s="10"/>
      <c r="QR12" s="11"/>
      <c r="QS12" s="10"/>
      <c r="QV12" s="11"/>
      <c r="QW12" s="10"/>
      <c r="QZ12" s="11"/>
      <c r="RA12" s="10"/>
      <c r="RD12" s="11"/>
      <c r="RE12" s="10"/>
      <c r="RH12" s="11"/>
      <c r="RI12" s="10"/>
      <c r="RL12" s="11"/>
      <c r="RM12" s="10"/>
      <c r="RP12" s="11"/>
      <c r="RQ12" s="10"/>
      <c r="RT12" s="11"/>
      <c r="RU12" s="10"/>
      <c r="RX12" s="11"/>
      <c r="RY12" s="10"/>
      <c r="SB12" s="11"/>
      <c r="SC12" s="10"/>
      <c r="SF12" s="11"/>
      <c r="SG12" s="10"/>
      <c r="SJ12" s="11"/>
      <c r="SK12" s="10"/>
      <c r="SN12" s="11"/>
      <c r="SO12" s="10"/>
      <c r="SR12" s="11"/>
      <c r="SS12" s="10"/>
      <c r="SV12" s="11"/>
      <c r="SW12" s="10"/>
      <c r="SZ12" s="11"/>
      <c r="TA12" s="10"/>
      <c r="TD12" s="11"/>
      <c r="TE12" s="10"/>
      <c r="TH12" s="11"/>
      <c r="TI12" s="10"/>
      <c r="TL12" s="11"/>
      <c r="TM12" s="10"/>
      <c r="TP12" s="11"/>
      <c r="TQ12" s="10"/>
      <c r="TT12" s="11"/>
      <c r="TU12" s="10"/>
      <c r="TX12" s="11"/>
      <c r="TY12" s="10"/>
      <c r="UB12" s="11"/>
      <c r="UC12" s="10"/>
      <c r="UF12" s="11"/>
      <c r="UG12" s="10"/>
      <c r="UJ12" s="11"/>
      <c r="UK12" s="10"/>
      <c r="UN12" s="11"/>
      <c r="UO12" s="10"/>
      <c r="UR12" s="11"/>
      <c r="US12" s="10"/>
      <c r="UV12" s="11"/>
      <c r="UW12" s="10"/>
      <c r="UZ12" s="11"/>
      <c r="VA12" s="10"/>
      <c r="VD12" s="11"/>
      <c r="VE12" s="10"/>
      <c r="VH12" s="11"/>
      <c r="VI12" s="10"/>
      <c r="VL12" s="11"/>
      <c r="VM12" s="10"/>
      <c r="VP12" s="11"/>
      <c r="VQ12" s="10"/>
      <c r="VT12" s="11"/>
      <c r="VU12" s="10"/>
      <c r="VX12" s="11"/>
      <c r="VY12" s="10"/>
      <c r="WB12" s="11"/>
      <c r="WC12" s="10"/>
      <c r="WF12" s="11"/>
      <c r="WG12" s="10"/>
      <c r="WJ12" s="11"/>
      <c r="WK12" s="10"/>
      <c r="WN12" s="11"/>
      <c r="WO12" s="10"/>
      <c r="WR12" s="11"/>
      <c r="WS12" s="10"/>
      <c r="WV12" s="11"/>
      <c r="WW12" s="10"/>
      <c r="WZ12" s="11"/>
      <c r="XA12" s="10"/>
      <c r="XD12" s="11"/>
      <c r="XE12" s="10"/>
      <c r="XH12" s="11"/>
      <c r="XI12" s="10"/>
      <c r="XL12" s="11"/>
      <c r="XM12" s="10"/>
      <c r="XP12" s="11"/>
      <c r="XQ12" s="10"/>
      <c r="XT12" s="11"/>
      <c r="XU12" s="10"/>
      <c r="XX12" s="11"/>
      <c r="XY12" s="10"/>
      <c r="YB12" s="11"/>
      <c r="YC12" s="10"/>
      <c r="YF12" s="11"/>
      <c r="YG12" s="10"/>
      <c r="YJ12" s="11"/>
      <c r="YK12" s="10"/>
      <c r="YN12" s="11"/>
      <c r="YO12" s="10"/>
      <c r="YR12" s="11"/>
      <c r="YS12" s="10"/>
      <c r="YV12" s="11"/>
      <c r="YW12" s="10"/>
      <c r="YZ12" s="11"/>
      <c r="ZA12" s="10"/>
      <c r="ZD12" s="11"/>
      <c r="ZE12" s="10"/>
      <c r="ZH12" s="11"/>
      <c r="ZI12" s="10"/>
      <c r="ZL12" s="11"/>
      <c r="ZM12" s="10"/>
      <c r="ZP12" s="11"/>
      <c r="ZQ12" s="10"/>
      <c r="ZT12" s="11"/>
      <c r="ZU12" s="10"/>
      <c r="ZX12" s="11"/>
      <c r="ZY12" s="10"/>
      <c r="AAB12" s="11"/>
      <c r="AAC12" s="10"/>
      <c r="AAF12" s="11"/>
      <c r="AAG12" s="10"/>
      <c r="AAJ12" s="11"/>
      <c r="AAK12" s="10"/>
      <c r="AAN12" s="11"/>
      <c r="AAO12" s="10"/>
      <c r="AAR12" s="11"/>
      <c r="AAS12" s="10"/>
      <c r="AAV12" s="11"/>
      <c r="AAW12" s="10"/>
      <c r="AAZ12" s="11"/>
      <c r="ABA12" s="10"/>
      <c r="ABD12" s="11"/>
      <c r="ABE12" s="10"/>
      <c r="ABH12" s="11"/>
      <c r="ABI12" s="10"/>
      <c r="ABL12" s="11"/>
      <c r="ABM12" s="10"/>
      <c r="ABP12" s="11"/>
      <c r="ABQ12" s="10"/>
      <c r="ABT12" s="11"/>
      <c r="ABU12" s="10"/>
      <c r="ABX12" s="11"/>
      <c r="ABY12" s="10"/>
      <c r="ACB12" s="11"/>
      <c r="ACC12" s="10"/>
      <c r="ACF12" s="11"/>
      <c r="ACG12" s="10"/>
      <c r="ACJ12" s="11"/>
      <c r="ACK12" s="10"/>
      <c r="ACN12" s="11"/>
      <c r="ACO12" s="10"/>
      <c r="ACR12" s="11"/>
      <c r="ACS12" s="10"/>
      <c r="ACV12" s="11"/>
      <c r="ACW12" s="10"/>
      <c r="ACZ12" s="11"/>
      <c r="ADA12" s="10"/>
      <c r="ADD12" s="11"/>
      <c r="ADE12" s="10"/>
      <c r="ADH12" s="11"/>
      <c r="ADI12" s="10"/>
      <c r="ADL12" s="11"/>
      <c r="ADM12" s="10"/>
      <c r="ADP12" s="11"/>
      <c r="ADQ12" s="10"/>
      <c r="ADT12" s="11"/>
      <c r="ADU12" s="10"/>
      <c r="ADX12" s="11"/>
      <c r="ADY12" s="10"/>
      <c r="AEB12" s="11"/>
      <c r="AEC12" s="10"/>
      <c r="AEF12" s="11"/>
      <c r="AEG12" s="10"/>
      <c r="AEJ12" s="11"/>
      <c r="AEK12" s="10"/>
      <c r="AEN12" s="11"/>
      <c r="AEO12" s="10"/>
      <c r="AER12" s="11"/>
      <c r="AES12" s="10"/>
      <c r="AEV12" s="11"/>
      <c r="AEW12" s="10"/>
      <c r="AEZ12" s="11"/>
      <c r="AFA12" s="10"/>
      <c r="AFD12" s="11"/>
      <c r="AFE12" s="10"/>
      <c r="AFH12" s="11"/>
      <c r="AFI12" s="10"/>
      <c r="AFL12" s="11"/>
      <c r="AFM12" s="10"/>
      <c r="AFP12" s="11"/>
      <c r="AFQ12" s="10"/>
      <c r="AFT12" s="11"/>
      <c r="AFU12" s="10"/>
      <c r="AFX12" s="11"/>
      <c r="AFY12" s="10"/>
      <c r="AGB12" s="11"/>
      <c r="AGC12" s="10"/>
      <c r="AGF12" s="11"/>
      <c r="AGG12" s="10"/>
      <c r="AGJ12" s="11"/>
      <c r="AGK12" s="10"/>
      <c r="AGN12" s="11"/>
      <c r="AGO12" s="10"/>
      <c r="AGR12" s="11"/>
      <c r="AGS12" s="10"/>
      <c r="AGV12" s="11"/>
      <c r="AGW12" s="10"/>
      <c r="AGZ12" s="11"/>
      <c r="AHA12" s="10"/>
      <c r="AHD12" s="11"/>
      <c r="AHE12" s="10"/>
      <c r="AHH12" s="11"/>
      <c r="AHI12" s="10"/>
      <c r="AHL12" s="11"/>
      <c r="AHM12" s="10"/>
      <c r="AHP12" s="11"/>
      <c r="AHQ12" s="10"/>
      <c r="AHT12" s="11"/>
      <c r="AHU12" s="10"/>
      <c r="AHX12" s="11"/>
      <c r="AHY12" s="10"/>
      <c r="AIB12" s="11"/>
      <c r="AIC12" s="10"/>
      <c r="AIF12" s="11"/>
      <c r="AIG12" s="10"/>
      <c r="AIJ12" s="11"/>
      <c r="AIK12" s="10"/>
      <c r="AIN12" s="11"/>
      <c r="AIO12" s="10"/>
      <c r="AIR12" s="11"/>
      <c r="AIS12" s="10"/>
      <c r="AIV12" s="11"/>
      <c r="AIW12" s="10"/>
      <c r="AIZ12" s="11"/>
      <c r="AJA12" s="10"/>
      <c r="AJD12" s="11"/>
      <c r="AJE12" s="10"/>
      <c r="AJH12" s="11"/>
      <c r="AJI12" s="10"/>
      <c r="AJL12" s="11"/>
      <c r="AJM12" s="10"/>
      <c r="AJP12" s="11"/>
      <c r="AJQ12" s="10"/>
      <c r="AJT12" s="11"/>
      <c r="AJU12" s="10"/>
      <c r="AJX12" s="11"/>
      <c r="AJY12" s="10"/>
      <c r="AKB12" s="11"/>
      <c r="AKC12" s="10"/>
      <c r="AKF12" s="11"/>
      <c r="AKG12" s="10"/>
      <c r="AKJ12" s="11"/>
      <c r="AKK12" s="10"/>
      <c r="AKN12" s="11"/>
      <c r="AKO12" s="10"/>
      <c r="AKR12" s="11"/>
      <c r="AKS12" s="10"/>
      <c r="AKV12" s="11"/>
      <c r="AKW12" s="10"/>
      <c r="AKZ12" s="11"/>
      <c r="ALA12" s="10"/>
      <c r="ALD12" s="11"/>
      <c r="ALE12" s="10"/>
      <c r="ALH12" s="11"/>
      <c r="ALI12" s="10"/>
      <c r="ALL12" s="11"/>
      <c r="ALM12" s="10"/>
      <c r="ALP12" s="11"/>
      <c r="ALQ12" s="10"/>
      <c r="ALT12" s="11"/>
      <c r="ALU12" s="10"/>
      <c r="ALX12" s="11"/>
      <c r="ALY12" s="10"/>
      <c r="AMB12" s="11"/>
      <c r="AMC12" s="10"/>
      <c r="AMF12" s="11"/>
      <c r="AMG12" s="10"/>
      <c r="AMJ12" s="11"/>
      <c r="AMK12" s="10"/>
      <c r="AMN12" s="11"/>
      <c r="AMO12" s="10"/>
      <c r="AMR12" s="11"/>
      <c r="AMS12" s="10"/>
      <c r="AMV12" s="11"/>
      <c r="AMW12" s="10"/>
      <c r="AMZ12" s="11"/>
      <c r="ANA12" s="10"/>
      <c r="AND12" s="11"/>
      <c r="ANE12" s="10"/>
      <c r="ANH12" s="11"/>
      <c r="ANI12" s="10"/>
      <c r="ANL12" s="11"/>
      <c r="ANM12" s="10"/>
      <c r="ANP12" s="11"/>
      <c r="ANQ12" s="10"/>
      <c r="ANT12" s="11"/>
      <c r="ANU12" s="10"/>
      <c r="ANX12" s="11"/>
      <c r="ANY12" s="10"/>
      <c r="AOB12" s="11"/>
      <c r="AOC12" s="10"/>
      <c r="AOF12" s="11"/>
      <c r="AOG12" s="10"/>
      <c r="AOJ12" s="11"/>
      <c r="AOK12" s="10"/>
      <c r="AON12" s="11"/>
      <c r="AOO12" s="10"/>
      <c r="AOR12" s="11"/>
      <c r="AOS12" s="10"/>
      <c r="AOV12" s="11"/>
      <c r="AOW12" s="10"/>
      <c r="AOZ12" s="11"/>
      <c r="APA12" s="10"/>
      <c r="APD12" s="11"/>
      <c r="APE12" s="10"/>
      <c r="APH12" s="11"/>
      <c r="API12" s="10"/>
      <c r="APL12" s="11"/>
      <c r="APM12" s="10"/>
      <c r="APP12" s="11"/>
      <c r="APQ12" s="10"/>
      <c r="APT12" s="11"/>
      <c r="APU12" s="10"/>
      <c r="APX12" s="11"/>
      <c r="APY12" s="10"/>
      <c r="AQB12" s="11"/>
      <c r="AQC12" s="10"/>
      <c r="AQF12" s="11"/>
      <c r="AQG12" s="10"/>
      <c r="AQJ12" s="11"/>
      <c r="AQK12" s="10"/>
      <c r="AQN12" s="11"/>
      <c r="AQO12" s="10"/>
      <c r="AQR12" s="11"/>
      <c r="AQS12" s="10"/>
      <c r="AQV12" s="11"/>
      <c r="AQW12" s="10"/>
      <c r="AQZ12" s="11"/>
      <c r="ARA12" s="10"/>
      <c r="ARD12" s="11"/>
      <c r="ARE12" s="10"/>
      <c r="ARH12" s="11"/>
      <c r="ARI12" s="10"/>
      <c r="ARL12" s="11"/>
      <c r="ARM12" s="10"/>
      <c r="ARP12" s="11"/>
      <c r="ARQ12" s="10"/>
      <c r="ART12" s="11"/>
      <c r="ARU12" s="10"/>
      <c r="ARX12" s="11"/>
      <c r="ARY12" s="10"/>
      <c r="ASB12" s="11"/>
      <c r="ASC12" s="10"/>
      <c r="ASF12" s="11"/>
      <c r="ASG12" s="10"/>
      <c r="ASJ12" s="11"/>
      <c r="ASK12" s="10"/>
      <c r="ASN12" s="11"/>
      <c r="ASO12" s="10"/>
      <c r="ASR12" s="11"/>
      <c r="ASS12" s="10"/>
      <c r="ASV12" s="11"/>
      <c r="ASW12" s="10"/>
      <c r="ASZ12" s="11"/>
      <c r="ATA12" s="10"/>
      <c r="ATD12" s="11"/>
      <c r="ATE12" s="10"/>
      <c r="ATH12" s="11"/>
      <c r="ATI12" s="10"/>
      <c r="ATL12" s="11"/>
      <c r="ATM12" s="10"/>
      <c r="ATP12" s="11"/>
      <c r="ATQ12" s="10"/>
      <c r="ATT12" s="11"/>
      <c r="ATU12" s="10"/>
      <c r="ATX12" s="11"/>
      <c r="ATY12" s="10"/>
      <c r="AUB12" s="11"/>
      <c r="AUC12" s="10"/>
      <c r="AUF12" s="11"/>
      <c r="AUG12" s="10"/>
      <c r="AUJ12" s="11"/>
      <c r="AUK12" s="10"/>
      <c r="AUN12" s="11"/>
      <c r="AUO12" s="10"/>
      <c r="AUR12" s="11"/>
      <c r="AUS12" s="10"/>
      <c r="AUV12" s="11"/>
      <c r="AUW12" s="10"/>
      <c r="AUZ12" s="11"/>
      <c r="AVA12" s="10"/>
      <c r="AVD12" s="11"/>
      <c r="AVE12" s="10"/>
      <c r="AVH12" s="11"/>
      <c r="AVI12" s="10"/>
      <c r="AVL12" s="11"/>
      <c r="AVM12" s="10"/>
      <c r="AVP12" s="11"/>
      <c r="AVQ12" s="10"/>
      <c r="AVT12" s="11"/>
      <c r="AVU12" s="10"/>
      <c r="AVX12" s="11"/>
      <c r="AVY12" s="10"/>
      <c r="AWB12" s="11"/>
      <c r="AWC12" s="10"/>
      <c r="AWF12" s="11"/>
      <c r="AWG12" s="10"/>
      <c r="AWJ12" s="11"/>
      <c r="AWK12" s="10"/>
      <c r="AWN12" s="11"/>
      <c r="AWO12" s="10"/>
      <c r="AWR12" s="11"/>
      <c r="AWS12" s="10"/>
      <c r="AWV12" s="11"/>
      <c r="AWW12" s="10"/>
      <c r="AWZ12" s="11"/>
      <c r="AXA12" s="10"/>
      <c r="AXD12" s="11"/>
      <c r="AXE12" s="10"/>
      <c r="AXH12" s="11"/>
      <c r="AXI12" s="10"/>
      <c r="AXL12" s="11"/>
      <c r="AXM12" s="10"/>
      <c r="AXP12" s="11"/>
      <c r="AXQ12" s="10"/>
      <c r="AXT12" s="11"/>
      <c r="AXU12" s="10"/>
      <c r="AXX12" s="11"/>
      <c r="AXY12" s="10"/>
      <c r="AYB12" s="11"/>
      <c r="AYC12" s="10"/>
      <c r="AYF12" s="11"/>
      <c r="AYG12" s="10"/>
      <c r="AYJ12" s="11"/>
      <c r="AYK12" s="10"/>
      <c r="AYN12" s="11"/>
      <c r="AYO12" s="10"/>
      <c r="AYR12" s="11"/>
      <c r="AYS12" s="10"/>
      <c r="AYV12" s="11"/>
      <c r="AYW12" s="10"/>
      <c r="AYZ12" s="11"/>
      <c r="AZA12" s="10"/>
      <c r="AZD12" s="11"/>
      <c r="AZE12" s="10"/>
      <c r="AZH12" s="11"/>
      <c r="AZI12" s="10"/>
      <c r="AZL12" s="11"/>
      <c r="AZM12" s="10"/>
      <c r="AZP12" s="11"/>
      <c r="AZQ12" s="10"/>
      <c r="AZT12" s="11"/>
      <c r="AZU12" s="10"/>
      <c r="AZX12" s="11"/>
      <c r="AZY12" s="10"/>
      <c r="BAB12" s="11"/>
      <c r="BAC12" s="10"/>
      <c r="BAF12" s="11"/>
      <c r="BAG12" s="10"/>
      <c r="BAJ12" s="11"/>
      <c r="BAK12" s="10"/>
      <c r="BAN12" s="11"/>
      <c r="BAO12" s="10"/>
      <c r="BAR12" s="11"/>
      <c r="BAS12" s="10"/>
      <c r="BAV12" s="11"/>
      <c r="BAW12" s="10"/>
      <c r="BAZ12" s="11"/>
      <c r="BBA12" s="10"/>
      <c r="BBD12" s="11"/>
      <c r="BBE12" s="10"/>
      <c r="BBH12" s="11"/>
      <c r="BBI12" s="10"/>
      <c r="BBL12" s="11"/>
      <c r="BBM12" s="10"/>
      <c r="BBP12" s="11"/>
      <c r="BBQ12" s="10"/>
      <c r="BBT12" s="11"/>
      <c r="BBU12" s="10"/>
      <c r="BBX12" s="11"/>
      <c r="BBY12" s="10"/>
      <c r="BCB12" s="11"/>
      <c r="BCC12" s="10"/>
      <c r="BCF12" s="11"/>
      <c r="BCG12" s="10"/>
      <c r="BCJ12" s="11"/>
      <c r="BCK12" s="10"/>
      <c r="BCN12" s="11"/>
      <c r="BCO12" s="10"/>
      <c r="BCR12" s="11"/>
      <c r="BCS12" s="10"/>
      <c r="BCV12" s="11"/>
      <c r="BCW12" s="10"/>
      <c r="BCZ12" s="11"/>
      <c r="BDA12" s="10"/>
      <c r="BDD12" s="11"/>
      <c r="BDE12" s="10"/>
      <c r="BDH12" s="11"/>
      <c r="BDI12" s="10"/>
      <c r="BDL12" s="11"/>
      <c r="BDM12" s="10"/>
      <c r="BDP12" s="11"/>
      <c r="BDQ12" s="10"/>
      <c r="BDT12" s="11"/>
      <c r="BDU12" s="10"/>
      <c r="BDX12" s="11"/>
      <c r="BDY12" s="10"/>
      <c r="BEB12" s="11"/>
      <c r="BEC12" s="10"/>
      <c r="BEF12" s="11"/>
      <c r="BEG12" s="10"/>
      <c r="BEJ12" s="11"/>
      <c r="BEK12" s="10"/>
      <c r="BEN12" s="11"/>
      <c r="BEO12" s="10"/>
      <c r="BER12" s="11"/>
      <c r="BES12" s="10"/>
      <c r="BEV12" s="11"/>
      <c r="BEW12" s="10"/>
      <c r="BEZ12" s="11"/>
      <c r="BFA12" s="10"/>
      <c r="BFD12" s="11"/>
      <c r="BFE12" s="10"/>
      <c r="BFH12" s="11"/>
      <c r="BFI12" s="10"/>
      <c r="BFL12" s="11"/>
      <c r="BFM12" s="10"/>
      <c r="BFP12" s="11"/>
      <c r="BFQ12" s="10"/>
      <c r="BFT12" s="11"/>
      <c r="BFU12" s="10"/>
      <c r="BFX12" s="11"/>
      <c r="BFY12" s="10"/>
      <c r="BGB12" s="11"/>
      <c r="BGC12" s="10"/>
      <c r="BGF12" s="11"/>
      <c r="BGG12" s="10"/>
      <c r="BGJ12" s="11"/>
      <c r="BGK12" s="10"/>
      <c r="BGN12" s="11"/>
      <c r="BGO12" s="10"/>
      <c r="BGR12" s="11"/>
      <c r="BGS12" s="10"/>
      <c r="BGV12" s="11"/>
      <c r="BGW12" s="10"/>
      <c r="BGZ12" s="11"/>
      <c r="BHA12" s="10"/>
      <c r="BHD12" s="11"/>
      <c r="BHE12" s="10"/>
      <c r="BHH12" s="11"/>
      <c r="BHI12" s="10"/>
      <c r="BHL12" s="11"/>
      <c r="BHM12" s="10"/>
      <c r="BHP12" s="11"/>
      <c r="BHQ12" s="10"/>
      <c r="BHT12" s="11"/>
      <c r="BHU12" s="10"/>
      <c r="BHX12" s="11"/>
      <c r="BHY12" s="10"/>
      <c r="BIB12" s="11"/>
      <c r="BIC12" s="10"/>
      <c r="BIF12" s="11"/>
      <c r="BIG12" s="10"/>
      <c r="BIJ12" s="11"/>
      <c r="BIK12" s="10"/>
      <c r="BIN12" s="11"/>
      <c r="BIO12" s="10"/>
      <c r="BIR12" s="11"/>
      <c r="BIS12" s="10"/>
      <c r="BIV12" s="11"/>
      <c r="BIW12" s="10"/>
      <c r="BIZ12" s="11"/>
      <c r="BJA12" s="10"/>
      <c r="BJD12" s="11"/>
      <c r="BJE12" s="10"/>
      <c r="BJH12" s="11"/>
      <c r="BJI12" s="10"/>
      <c r="BJL12" s="11"/>
      <c r="BJM12" s="10"/>
      <c r="BJP12" s="11"/>
      <c r="BJQ12" s="10"/>
      <c r="BJT12" s="11"/>
      <c r="BJU12" s="10"/>
      <c r="BJX12" s="11"/>
      <c r="BJY12" s="10"/>
      <c r="BKB12" s="11"/>
      <c r="BKC12" s="10"/>
      <c r="BKF12" s="11"/>
      <c r="BKG12" s="10"/>
      <c r="BKJ12" s="11"/>
      <c r="BKK12" s="10"/>
      <c r="BKN12" s="11"/>
      <c r="BKO12" s="10"/>
      <c r="BKR12" s="11"/>
      <c r="BKS12" s="10"/>
      <c r="BKV12" s="11"/>
      <c r="BKW12" s="10"/>
      <c r="BKZ12" s="11"/>
      <c r="BLA12" s="10"/>
      <c r="BLD12" s="11"/>
      <c r="BLE12" s="10"/>
      <c r="BLH12" s="11"/>
      <c r="BLI12" s="10"/>
      <c r="BLL12" s="11"/>
      <c r="BLM12" s="10"/>
      <c r="BLP12" s="11"/>
      <c r="BLQ12" s="10"/>
      <c r="BLT12" s="11"/>
      <c r="BLU12" s="10"/>
      <c r="BLX12" s="11"/>
      <c r="BLY12" s="10"/>
      <c r="BMB12" s="11"/>
      <c r="BMC12" s="10"/>
      <c r="BMF12" s="11"/>
      <c r="BMG12" s="10"/>
      <c r="BMJ12" s="11"/>
      <c r="BMK12" s="10"/>
      <c r="BMN12" s="11"/>
      <c r="BMO12" s="10"/>
      <c r="BMR12" s="11"/>
      <c r="BMS12" s="10"/>
      <c r="BMV12" s="11"/>
      <c r="BMW12" s="10"/>
      <c r="BMZ12" s="11"/>
      <c r="BNA12" s="10"/>
      <c r="BND12" s="11"/>
      <c r="BNE12" s="10"/>
      <c r="BNH12" s="11"/>
      <c r="BNI12" s="10"/>
      <c r="BNL12" s="11"/>
      <c r="BNM12" s="10"/>
      <c r="BNP12" s="11"/>
      <c r="BNQ12" s="10"/>
      <c r="BNT12" s="11"/>
      <c r="BNU12" s="10"/>
      <c r="BNX12" s="11"/>
      <c r="BNY12" s="10"/>
      <c r="BOB12" s="11"/>
      <c r="BOC12" s="10"/>
      <c r="BOF12" s="11"/>
      <c r="BOG12" s="10"/>
      <c r="BOJ12" s="11"/>
      <c r="BOK12" s="10"/>
      <c r="BON12" s="11"/>
      <c r="BOO12" s="10"/>
      <c r="BOR12" s="11"/>
      <c r="BOS12" s="10"/>
      <c r="BOV12" s="11"/>
      <c r="BOW12" s="10"/>
      <c r="BOZ12" s="11"/>
      <c r="BPA12" s="10"/>
      <c r="BPD12" s="11"/>
      <c r="BPE12" s="10"/>
      <c r="BPH12" s="11"/>
      <c r="BPI12" s="10"/>
      <c r="BPL12" s="11"/>
      <c r="BPM12" s="10"/>
      <c r="BPP12" s="11"/>
      <c r="BPQ12" s="10"/>
      <c r="BPT12" s="11"/>
      <c r="BPU12" s="10"/>
      <c r="BPX12" s="11"/>
      <c r="BPY12" s="10"/>
      <c r="BQB12" s="11"/>
      <c r="BQC12" s="10"/>
      <c r="BQF12" s="11"/>
      <c r="BQG12" s="10"/>
      <c r="BQJ12" s="11"/>
      <c r="BQK12" s="10"/>
      <c r="BQN12" s="11"/>
      <c r="BQO12" s="10"/>
      <c r="BQR12" s="11"/>
      <c r="BQS12" s="10"/>
      <c r="BQV12" s="11"/>
      <c r="BQW12" s="10"/>
      <c r="BQZ12" s="11"/>
      <c r="BRA12" s="10"/>
      <c r="BRD12" s="11"/>
      <c r="BRE12" s="10"/>
      <c r="BRH12" s="11"/>
      <c r="BRI12" s="10"/>
      <c r="BRL12" s="11"/>
      <c r="BRM12" s="10"/>
      <c r="BRP12" s="11"/>
      <c r="BRQ12" s="10"/>
      <c r="BRT12" s="11"/>
      <c r="BRU12" s="10"/>
      <c r="BRX12" s="11"/>
      <c r="BRY12" s="10"/>
      <c r="BSB12" s="11"/>
      <c r="BSC12" s="10"/>
      <c r="BSF12" s="11"/>
      <c r="BSG12" s="10"/>
      <c r="BSJ12" s="11"/>
      <c r="BSK12" s="10"/>
      <c r="BSN12" s="11"/>
      <c r="BSO12" s="10"/>
      <c r="BSR12" s="11"/>
      <c r="BSS12" s="10"/>
      <c r="BSV12" s="11"/>
      <c r="BSW12" s="10"/>
      <c r="BSZ12" s="11"/>
      <c r="BTA12" s="10"/>
      <c r="BTD12" s="11"/>
      <c r="BTE12" s="10"/>
      <c r="BTH12" s="11"/>
      <c r="BTI12" s="10"/>
      <c r="BTL12" s="11"/>
      <c r="BTM12" s="10"/>
      <c r="BTP12" s="11"/>
      <c r="BTQ12" s="10"/>
      <c r="BTT12" s="11"/>
      <c r="BTU12" s="10"/>
      <c r="BTX12" s="11"/>
      <c r="BTY12" s="10"/>
      <c r="BUB12" s="11"/>
      <c r="BUC12" s="10"/>
      <c r="BUF12" s="11"/>
      <c r="BUG12" s="10"/>
      <c r="BUJ12" s="11"/>
      <c r="BUK12" s="10"/>
      <c r="BUN12" s="11"/>
      <c r="BUO12" s="10"/>
      <c r="BUR12" s="11"/>
      <c r="BUS12" s="10"/>
      <c r="BUV12" s="11"/>
      <c r="BUW12" s="10"/>
      <c r="BUZ12" s="11"/>
      <c r="BVA12" s="10"/>
      <c r="BVD12" s="11"/>
      <c r="BVE12" s="10"/>
      <c r="BVH12" s="11"/>
      <c r="BVI12" s="10"/>
      <c r="BVL12" s="11"/>
      <c r="BVM12" s="10"/>
      <c r="BVP12" s="11"/>
      <c r="BVQ12" s="10"/>
      <c r="BVT12" s="11"/>
      <c r="BVU12" s="10"/>
      <c r="BVX12" s="11"/>
      <c r="BVY12" s="10"/>
      <c r="BWB12" s="11"/>
      <c r="BWC12" s="10"/>
      <c r="BWF12" s="11"/>
      <c r="BWG12" s="10"/>
      <c r="BWJ12" s="11"/>
      <c r="BWK12" s="10"/>
      <c r="BWN12" s="11"/>
      <c r="BWO12" s="10"/>
      <c r="BWR12" s="11"/>
      <c r="BWS12" s="10"/>
      <c r="BWV12" s="11"/>
      <c r="BWW12" s="10"/>
      <c r="BWZ12" s="11"/>
      <c r="BXA12" s="10"/>
      <c r="BXD12" s="11"/>
      <c r="BXE12" s="10"/>
      <c r="BXH12" s="11"/>
      <c r="BXI12" s="10"/>
      <c r="BXL12" s="11"/>
      <c r="BXM12" s="10"/>
      <c r="BXP12" s="11"/>
      <c r="BXQ12" s="10"/>
      <c r="BXT12" s="11"/>
      <c r="BXU12" s="10"/>
      <c r="BXX12" s="11"/>
      <c r="BXY12" s="10"/>
      <c r="BYB12" s="11"/>
      <c r="BYC12" s="10"/>
      <c r="BYF12" s="11"/>
      <c r="BYG12" s="10"/>
      <c r="BYJ12" s="11"/>
      <c r="BYK12" s="10"/>
      <c r="BYN12" s="11"/>
      <c r="BYO12" s="10"/>
      <c r="BYR12" s="11"/>
      <c r="BYS12" s="10"/>
      <c r="BYV12" s="11"/>
      <c r="BYW12" s="10"/>
      <c r="BYZ12" s="11"/>
      <c r="BZA12" s="10"/>
      <c r="BZD12" s="11"/>
      <c r="BZE12" s="10"/>
      <c r="BZH12" s="11"/>
      <c r="BZI12" s="10"/>
      <c r="BZL12" s="11"/>
      <c r="BZM12" s="10"/>
      <c r="BZP12" s="11"/>
      <c r="BZQ12" s="10"/>
      <c r="BZT12" s="11"/>
      <c r="BZU12" s="10"/>
      <c r="BZX12" s="11"/>
      <c r="BZY12" s="10"/>
      <c r="CAB12" s="11"/>
      <c r="CAC12" s="10"/>
      <c r="CAF12" s="11"/>
      <c r="CAG12" s="10"/>
      <c r="CAJ12" s="11"/>
      <c r="CAK12" s="10"/>
      <c r="CAN12" s="11"/>
      <c r="CAO12" s="10"/>
      <c r="CAR12" s="11"/>
      <c r="CAS12" s="10"/>
      <c r="CAV12" s="11"/>
      <c r="CAW12" s="10"/>
      <c r="CAZ12" s="11"/>
      <c r="CBA12" s="10"/>
      <c r="CBD12" s="11"/>
      <c r="CBE12" s="10"/>
      <c r="CBH12" s="11"/>
      <c r="CBI12" s="10"/>
      <c r="CBL12" s="11"/>
      <c r="CBM12" s="10"/>
      <c r="CBP12" s="11"/>
      <c r="CBQ12" s="10"/>
      <c r="CBT12" s="11"/>
      <c r="CBU12" s="10"/>
      <c r="CBX12" s="11"/>
      <c r="CBY12" s="10"/>
      <c r="CCB12" s="11"/>
      <c r="CCC12" s="10"/>
      <c r="CCF12" s="11"/>
      <c r="CCG12" s="10"/>
      <c r="CCJ12" s="11"/>
      <c r="CCK12" s="10"/>
      <c r="CCN12" s="11"/>
      <c r="CCO12" s="10"/>
      <c r="CCR12" s="11"/>
      <c r="CCS12" s="10"/>
      <c r="CCV12" s="11"/>
      <c r="CCW12" s="10"/>
      <c r="CCZ12" s="11"/>
      <c r="CDA12" s="10"/>
      <c r="CDD12" s="11"/>
      <c r="CDE12" s="10"/>
      <c r="CDH12" s="11"/>
      <c r="CDI12" s="10"/>
      <c r="CDL12" s="11"/>
      <c r="CDM12" s="10"/>
      <c r="CDP12" s="11"/>
      <c r="CDQ12" s="10"/>
      <c r="CDT12" s="11"/>
      <c r="CDU12" s="10"/>
      <c r="CDX12" s="11"/>
      <c r="CDY12" s="10"/>
      <c r="CEB12" s="11"/>
      <c r="CEC12" s="10"/>
      <c r="CEF12" s="11"/>
      <c r="CEG12" s="10"/>
      <c r="CEJ12" s="11"/>
      <c r="CEK12" s="10"/>
      <c r="CEN12" s="11"/>
      <c r="CEO12" s="10"/>
      <c r="CER12" s="11"/>
      <c r="CES12" s="10"/>
      <c r="CEV12" s="11"/>
      <c r="CEW12" s="10"/>
      <c r="CEZ12" s="11"/>
      <c r="CFA12" s="10"/>
      <c r="CFD12" s="11"/>
      <c r="CFE12" s="10"/>
      <c r="CFH12" s="11"/>
      <c r="CFI12" s="10"/>
      <c r="CFL12" s="11"/>
      <c r="CFM12" s="10"/>
      <c r="CFP12" s="11"/>
      <c r="CFQ12" s="10"/>
      <c r="CFT12" s="11"/>
      <c r="CFU12" s="10"/>
      <c r="CFX12" s="11"/>
      <c r="CFY12" s="10"/>
      <c r="CGB12" s="11"/>
      <c r="CGC12" s="10"/>
      <c r="CGF12" s="11"/>
      <c r="CGG12" s="10"/>
      <c r="CGJ12" s="11"/>
      <c r="CGK12" s="10"/>
      <c r="CGN12" s="11"/>
      <c r="CGO12" s="10"/>
      <c r="CGR12" s="11"/>
      <c r="CGS12" s="10"/>
      <c r="CGV12" s="11"/>
      <c r="CGW12" s="10"/>
      <c r="CGZ12" s="11"/>
      <c r="CHA12" s="10"/>
      <c r="CHD12" s="11"/>
      <c r="CHE12" s="10"/>
      <c r="CHH12" s="11"/>
      <c r="CHI12" s="10"/>
      <c r="CHL12" s="11"/>
      <c r="CHM12" s="10"/>
      <c r="CHP12" s="11"/>
      <c r="CHQ12" s="10"/>
      <c r="CHT12" s="11"/>
      <c r="CHU12" s="10"/>
      <c r="CHX12" s="11"/>
      <c r="CHY12" s="10"/>
      <c r="CIB12" s="11"/>
      <c r="CIC12" s="10"/>
      <c r="CIF12" s="11"/>
      <c r="CIG12" s="10"/>
      <c r="CIJ12" s="11"/>
      <c r="CIK12" s="10"/>
      <c r="CIN12" s="11"/>
      <c r="CIO12" s="10"/>
      <c r="CIR12" s="11"/>
      <c r="CIS12" s="10"/>
      <c r="CIV12" s="11"/>
      <c r="CIW12" s="10"/>
      <c r="CIZ12" s="11"/>
      <c r="CJA12" s="10"/>
      <c r="CJD12" s="11"/>
      <c r="CJE12" s="10"/>
      <c r="CJH12" s="11"/>
      <c r="CJI12" s="10"/>
      <c r="CJL12" s="11"/>
      <c r="CJM12" s="10"/>
      <c r="CJP12" s="11"/>
      <c r="CJQ12" s="10"/>
      <c r="CJT12" s="11"/>
      <c r="CJU12" s="10"/>
      <c r="CJX12" s="11"/>
      <c r="CJY12" s="10"/>
      <c r="CKB12" s="11"/>
      <c r="CKC12" s="10"/>
      <c r="CKF12" s="11"/>
      <c r="CKG12" s="10"/>
      <c r="CKJ12" s="11"/>
      <c r="CKK12" s="10"/>
      <c r="CKN12" s="11"/>
      <c r="CKO12" s="10"/>
      <c r="CKR12" s="11"/>
      <c r="CKS12" s="10"/>
      <c r="CKV12" s="11"/>
      <c r="CKW12" s="10"/>
      <c r="CKZ12" s="11"/>
      <c r="CLA12" s="10"/>
      <c r="CLD12" s="11"/>
      <c r="CLE12" s="10"/>
      <c r="CLH12" s="11"/>
      <c r="CLI12" s="10"/>
      <c r="CLL12" s="11"/>
      <c r="CLM12" s="10"/>
      <c r="CLP12" s="11"/>
      <c r="CLQ12" s="10"/>
      <c r="CLT12" s="11"/>
      <c r="CLU12" s="10"/>
      <c r="CLX12" s="11"/>
      <c r="CLY12" s="10"/>
      <c r="CMB12" s="11"/>
      <c r="CMC12" s="10"/>
      <c r="CMF12" s="11"/>
      <c r="CMG12" s="10"/>
      <c r="CMJ12" s="11"/>
      <c r="CMK12" s="10"/>
      <c r="CMN12" s="11"/>
      <c r="CMO12" s="10"/>
      <c r="CMR12" s="11"/>
      <c r="CMS12" s="10"/>
      <c r="CMV12" s="11"/>
      <c r="CMW12" s="10"/>
      <c r="CMZ12" s="11"/>
      <c r="CNA12" s="10"/>
      <c r="CND12" s="11"/>
      <c r="CNE12" s="10"/>
      <c r="CNH12" s="11"/>
      <c r="CNI12" s="10"/>
      <c r="CNL12" s="11"/>
      <c r="CNM12" s="10"/>
      <c r="CNP12" s="11"/>
      <c r="CNQ12" s="10"/>
      <c r="CNT12" s="11"/>
      <c r="CNU12" s="10"/>
      <c r="CNX12" s="11"/>
      <c r="CNY12" s="10"/>
      <c r="COB12" s="11"/>
      <c r="COC12" s="10"/>
      <c r="COF12" s="11"/>
      <c r="COG12" s="10"/>
      <c r="COJ12" s="11"/>
      <c r="COK12" s="10"/>
      <c r="CON12" s="11"/>
      <c r="COO12" s="10"/>
      <c r="COR12" s="11"/>
      <c r="COS12" s="10"/>
      <c r="COV12" s="11"/>
      <c r="COW12" s="10"/>
      <c r="COZ12" s="11"/>
      <c r="CPA12" s="10"/>
      <c r="CPD12" s="11"/>
      <c r="CPE12" s="10"/>
      <c r="CPH12" s="11"/>
      <c r="CPI12" s="10"/>
      <c r="CPL12" s="11"/>
      <c r="CPM12" s="10"/>
      <c r="CPP12" s="11"/>
      <c r="CPQ12" s="10"/>
      <c r="CPT12" s="11"/>
      <c r="CPU12" s="10"/>
      <c r="CPX12" s="11"/>
      <c r="CPY12" s="10"/>
      <c r="CQB12" s="11"/>
      <c r="CQC12" s="10"/>
      <c r="CQF12" s="11"/>
      <c r="CQG12" s="10"/>
      <c r="CQJ12" s="11"/>
      <c r="CQK12" s="10"/>
      <c r="CQN12" s="11"/>
      <c r="CQO12" s="10"/>
      <c r="CQR12" s="11"/>
      <c r="CQS12" s="10"/>
      <c r="CQV12" s="11"/>
      <c r="CQW12" s="10"/>
      <c r="CQZ12" s="11"/>
      <c r="CRA12" s="10"/>
      <c r="CRD12" s="11"/>
      <c r="CRE12" s="10"/>
      <c r="CRH12" s="11"/>
      <c r="CRI12" s="10"/>
      <c r="CRL12" s="11"/>
      <c r="CRM12" s="10"/>
      <c r="CRP12" s="11"/>
      <c r="CRQ12" s="10"/>
      <c r="CRT12" s="11"/>
      <c r="CRU12" s="10"/>
      <c r="CRX12" s="11"/>
      <c r="CRY12" s="10"/>
      <c r="CSB12" s="11"/>
      <c r="CSC12" s="10"/>
      <c r="CSF12" s="11"/>
      <c r="CSG12" s="10"/>
      <c r="CSJ12" s="11"/>
      <c r="CSK12" s="10"/>
      <c r="CSN12" s="11"/>
      <c r="CSO12" s="10"/>
      <c r="CSR12" s="11"/>
      <c r="CSS12" s="10"/>
      <c r="CSV12" s="11"/>
      <c r="CSW12" s="10"/>
      <c r="CSZ12" s="11"/>
      <c r="CTA12" s="10"/>
      <c r="CTD12" s="11"/>
      <c r="CTE12" s="10"/>
      <c r="CTH12" s="11"/>
      <c r="CTI12" s="10"/>
      <c r="CTL12" s="11"/>
      <c r="CTM12" s="10"/>
      <c r="CTP12" s="11"/>
      <c r="CTQ12" s="10"/>
      <c r="CTT12" s="11"/>
      <c r="CTU12" s="10"/>
      <c r="CTX12" s="11"/>
      <c r="CTY12" s="10"/>
      <c r="CUB12" s="11"/>
      <c r="CUC12" s="10"/>
      <c r="CUF12" s="11"/>
      <c r="CUG12" s="10"/>
      <c r="CUJ12" s="11"/>
      <c r="CUK12" s="10"/>
      <c r="CUN12" s="11"/>
      <c r="CUO12" s="10"/>
      <c r="CUR12" s="11"/>
      <c r="CUS12" s="10"/>
      <c r="CUV12" s="11"/>
      <c r="CUW12" s="10"/>
      <c r="CUZ12" s="11"/>
      <c r="CVA12" s="10"/>
      <c r="CVD12" s="11"/>
      <c r="CVE12" s="10"/>
      <c r="CVH12" s="11"/>
      <c r="CVI12" s="10"/>
      <c r="CVL12" s="11"/>
      <c r="CVM12" s="10"/>
      <c r="CVP12" s="11"/>
      <c r="CVQ12" s="10"/>
      <c r="CVT12" s="11"/>
      <c r="CVU12" s="10"/>
      <c r="CVX12" s="11"/>
      <c r="CVY12" s="10"/>
      <c r="CWB12" s="11"/>
      <c r="CWC12" s="10"/>
      <c r="CWF12" s="11"/>
      <c r="CWG12" s="10"/>
      <c r="CWJ12" s="11"/>
      <c r="CWK12" s="10"/>
      <c r="CWN12" s="11"/>
      <c r="CWO12" s="10"/>
      <c r="CWR12" s="11"/>
      <c r="CWS12" s="10"/>
      <c r="CWV12" s="11"/>
      <c r="CWW12" s="10"/>
      <c r="CWZ12" s="11"/>
      <c r="CXA12" s="10"/>
      <c r="CXD12" s="11"/>
      <c r="CXE12" s="10"/>
      <c r="CXH12" s="11"/>
      <c r="CXI12" s="10"/>
      <c r="CXL12" s="11"/>
      <c r="CXM12" s="10"/>
      <c r="CXP12" s="11"/>
      <c r="CXQ12" s="10"/>
      <c r="CXT12" s="11"/>
      <c r="CXU12" s="10"/>
      <c r="CXX12" s="11"/>
      <c r="CXY12" s="10"/>
      <c r="CYB12" s="11"/>
      <c r="CYC12" s="10"/>
      <c r="CYF12" s="11"/>
      <c r="CYG12" s="10"/>
      <c r="CYJ12" s="11"/>
      <c r="CYK12" s="10"/>
      <c r="CYN12" s="11"/>
      <c r="CYO12" s="10"/>
      <c r="CYR12" s="11"/>
      <c r="CYS12" s="10"/>
      <c r="CYV12" s="11"/>
      <c r="CYW12" s="10"/>
      <c r="CYZ12" s="11"/>
      <c r="CZA12" s="10"/>
      <c r="CZD12" s="11"/>
      <c r="CZE12" s="10"/>
      <c r="CZH12" s="11"/>
      <c r="CZI12" s="10"/>
      <c r="CZL12" s="11"/>
      <c r="CZM12" s="10"/>
      <c r="CZP12" s="11"/>
      <c r="CZQ12" s="10"/>
      <c r="CZT12" s="11"/>
      <c r="CZU12" s="10"/>
      <c r="CZX12" s="11"/>
      <c r="CZY12" s="10"/>
      <c r="DAB12" s="11"/>
      <c r="DAC12" s="10"/>
      <c r="DAF12" s="11"/>
      <c r="DAG12" s="10"/>
      <c r="DAJ12" s="11"/>
      <c r="DAK12" s="10"/>
      <c r="DAN12" s="11"/>
      <c r="DAO12" s="10"/>
      <c r="DAR12" s="11"/>
      <c r="DAS12" s="10"/>
      <c r="DAV12" s="11"/>
      <c r="DAW12" s="10"/>
      <c r="DAZ12" s="11"/>
      <c r="DBA12" s="10"/>
      <c r="DBD12" s="11"/>
      <c r="DBE12" s="10"/>
      <c r="DBH12" s="11"/>
      <c r="DBI12" s="10"/>
      <c r="DBL12" s="11"/>
      <c r="DBM12" s="10"/>
      <c r="DBP12" s="11"/>
      <c r="DBQ12" s="10"/>
      <c r="DBT12" s="11"/>
      <c r="DBU12" s="10"/>
      <c r="DBX12" s="11"/>
      <c r="DBY12" s="10"/>
      <c r="DCB12" s="11"/>
      <c r="DCC12" s="10"/>
      <c r="DCF12" s="11"/>
      <c r="DCG12" s="10"/>
      <c r="DCJ12" s="11"/>
      <c r="DCK12" s="10"/>
      <c r="DCN12" s="11"/>
      <c r="DCO12" s="10"/>
      <c r="DCR12" s="11"/>
      <c r="DCS12" s="10"/>
      <c r="DCV12" s="11"/>
      <c r="DCW12" s="10"/>
      <c r="DCZ12" s="11"/>
      <c r="DDA12" s="10"/>
      <c r="DDD12" s="11"/>
      <c r="DDE12" s="10"/>
      <c r="DDH12" s="11"/>
      <c r="DDI12" s="10"/>
      <c r="DDL12" s="11"/>
      <c r="DDM12" s="10"/>
      <c r="DDP12" s="11"/>
      <c r="DDQ12" s="10"/>
      <c r="DDT12" s="11"/>
      <c r="DDU12" s="10"/>
      <c r="DDX12" s="11"/>
      <c r="DDY12" s="10"/>
      <c r="DEB12" s="11"/>
      <c r="DEC12" s="10"/>
      <c r="DEF12" s="11"/>
      <c r="DEG12" s="10"/>
      <c r="DEJ12" s="11"/>
      <c r="DEK12" s="10"/>
      <c r="DEN12" s="11"/>
      <c r="DEO12" s="10"/>
      <c r="DER12" s="11"/>
      <c r="DES12" s="10"/>
      <c r="DEV12" s="11"/>
      <c r="DEW12" s="10"/>
      <c r="DEZ12" s="11"/>
      <c r="DFA12" s="10"/>
      <c r="DFD12" s="11"/>
      <c r="DFE12" s="10"/>
      <c r="DFH12" s="11"/>
      <c r="DFI12" s="10"/>
      <c r="DFL12" s="11"/>
      <c r="DFM12" s="10"/>
      <c r="DFP12" s="11"/>
      <c r="DFQ12" s="10"/>
      <c r="DFT12" s="11"/>
      <c r="DFU12" s="10"/>
      <c r="DFX12" s="11"/>
      <c r="DFY12" s="10"/>
      <c r="DGB12" s="11"/>
      <c r="DGC12" s="10"/>
      <c r="DGF12" s="11"/>
      <c r="DGG12" s="10"/>
      <c r="DGJ12" s="11"/>
      <c r="DGK12" s="10"/>
      <c r="DGN12" s="11"/>
      <c r="DGO12" s="10"/>
      <c r="DGR12" s="11"/>
      <c r="DGS12" s="10"/>
      <c r="DGV12" s="11"/>
      <c r="DGW12" s="10"/>
      <c r="DGZ12" s="11"/>
      <c r="DHA12" s="10"/>
      <c r="DHD12" s="11"/>
      <c r="DHE12" s="10"/>
      <c r="DHH12" s="11"/>
      <c r="DHI12" s="10"/>
      <c r="DHL12" s="11"/>
      <c r="DHM12" s="10"/>
      <c r="DHP12" s="11"/>
      <c r="DHQ12" s="10"/>
      <c r="DHT12" s="11"/>
      <c r="DHU12" s="10"/>
      <c r="DHX12" s="11"/>
      <c r="DHY12" s="10"/>
      <c r="DIB12" s="11"/>
      <c r="DIC12" s="10"/>
      <c r="DIF12" s="11"/>
      <c r="DIG12" s="10"/>
      <c r="DIJ12" s="11"/>
      <c r="DIK12" s="10"/>
      <c r="DIN12" s="11"/>
      <c r="DIO12" s="10"/>
      <c r="DIR12" s="11"/>
      <c r="DIS12" s="10"/>
      <c r="DIV12" s="11"/>
      <c r="DIW12" s="10"/>
      <c r="DIZ12" s="11"/>
      <c r="DJA12" s="10"/>
      <c r="DJD12" s="11"/>
      <c r="DJE12" s="10"/>
      <c r="DJH12" s="11"/>
      <c r="DJI12" s="10"/>
      <c r="DJL12" s="11"/>
      <c r="DJM12" s="10"/>
      <c r="DJP12" s="11"/>
      <c r="DJQ12" s="10"/>
      <c r="DJT12" s="11"/>
      <c r="DJU12" s="10"/>
      <c r="DJX12" s="11"/>
      <c r="DJY12" s="10"/>
      <c r="DKB12" s="11"/>
      <c r="DKC12" s="10"/>
      <c r="DKF12" s="11"/>
      <c r="DKG12" s="10"/>
      <c r="DKJ12" s="11"/>
      <c r="DKK12" s="10"/>
      <c r="DKN12" s="11"/>
      <c r="DKO12" s="10"/>
      <c r="DKR12" s="11"/>
      <c r="DKS12" s="10"/>
      <c r="DKV12" s="11"/>
      <c r="DKW12" s="10"/>
      <c r="DKZ12" s="11"/>
      <c r="DLA12" s="10"/>
      <c r="DLD12" s="11"/>
      <c r="DLE12" s="10"/>
      <c r="DLH12" s="11"/>
      <c r="DLI12" s="10"/>
      <c r="DLL12" s="11"/>
      <c r="DLM12" s="10"/>
      <c r="DLP12" s="11"/>
      <c r="DLQ12" s="10"/>
      <c r="DLT12" s="11"/>
      <c r="DLU12" s="10"/>
      <c r="DLX12" s="11"/>
      <c r="DLY12" s="10"/>
      <c r="DMB12" s="11"/>
      <c r="DMC12" s="10"/>
      <c r="DMF12" s="11"/>
      <c r="DMG12" s="10"/>
      <c r="DMJ12" s="11"/>
      <c r="DMK12" s="10"/>
      <c r="DMN12" s="11"/>
      <c r="DMO12" s="10"/>
      <c r="DMR12" s="11"/>
      <c r="DMS12" s="10"/>
      <c r="DMV12" s="11"/>
      <c r="DMW12" s="10"/>
      <c r="DMZ12" s="11"/>
      <c r="DNA12" s="10"/>
      <c r="DND12" s="11"/>
      <c r="DNE12" s="10"/>
      <c r="DNH12" s="11"/>
      <c r="DNI12" s="10"/>
      <c r="DNL12" s="11"/>
      <c r="DNM12" s="10"/>
      <c r="DNP12" s="11"/>
      <c r="DNQ12" s="10"/>
      <c r="DNT12" s="11"/>
      <c r="DNU12" s="10"/>
      <c r="DNX12" s="11"/>
      <c r="DNY12" s="10"/>
      <c r="DOB12" s="11"/>
      <c r="DOC12" s="10"/>
      <c r="DOF12" s="11"/>
      <c r="DOG12" s="10"/>
      <c r="DOJ12" s="11"/>
      <c r="DOK12" s="10"/>
      <c r="DON12" s="11"/>
      <c r="DOO12" s="10"/>
      <c r="DOR12" s="11"/>
      <c r="DOS12" s="10"/>
      <c r="DOV12" s="11"/>
      <c r="DOW12" s="10"/>
      <c r="DOZ12" s="11"/>
      <c r="DPA12" s="10"/>
      <c r="DPD12" s="11"/>
      <c r="DPE12" s="10"/>
      <c r="DPH12" s="11"/>
      <c r="DPI12" s="10"/>
      <c r="DPL12" s="11"/>
      <c r="DPM12" s="10"/>
      <c r="DPP12" s="11"/>
      <c r="DPQ12" s="10"/>
      <c r="DPT12" s="11"/>
      <c r="DPU12" s="10"/>
      <c r="DPX12" s="11"/>
      <c r="DPY12" s="10"/>
      <c r="DQB12" s="11"/>
      <c r="DQC12" s="10"/>
      <c r="DQF12" s="11"/>
      <c r="DQG12" s="10"/>
      <c r="DQJ12" s="11"/>
      <c r="DQK12" s="10"/>
      <c r="DQN12" s="11"/>
      <c r="DQO12" s="10"/>
      <c r="DQR12" s="11"/>
      <c r="DQS12" s="10"/>
      <c r="DQV12" s="11"/>
      <c r="DQW12" s="10"/>
      <c r="DQZ12" s="11"/>
      <c r="DRA12" s="10"/>
      <c r="DRD12" s="11"/>
      <c r="DRE12" s="10"/>
      <c r="DRH12" s="11"/>
      <c r="DRI12" s="10"/>
      <c r="DRL12" s="11"/>
      <c r="DRM12" s="10"/>
      <c r="DRP12" s="11"/>
      <c r="DRQ12" s="10"/>
      <c r="DRT12" s="11"/>
      <c r="DRU12" s="10"/>
      <c r="DRX12" s="11"/>
      <c r="DRY12" s="10"/>
      <c r="DSB12" s="11"/>
      <c r="DSC12" s="10"/>
      <c r="DSF12" s="11"/>
      <c r="DSG12" s="10"/>
      <c r="DSJ12" s="11"/>
      <c r="DSK12" s="10"/>
      <c r="DSN12" s="11"/>
      <c r="DSO12" s="10"/>
      <c r="DSR12" s="11"/>
      <c r="DSS12" s="10"/>
      <c r="DSV12" s="11"/>
      <c r="DSW12" s="10"/>
      <c r="DSZ12" s="11"/>
      <c r="DTA12" s="10"/>
      <c r="DTD12" s="11"/>
      <c r="DTE12" s="10"/>
      <c r="DTH12" s="11"/>
      <c r="DTI12" s="10"/>
      <c r="DTL12" s="11"/>
      <c r="DTM12" s="10"/>
      <c r="DTP12" s="11"/>
      <c r="DTQ12" s="10"/>
      <c r="DTT12" s="11"/>
      <c r="DTU12" s="10"/>
      <c r="DTX12" s="11"/>
      <c r="DTY12" s="10"/>
      <c r="DUB12" s="11"/>
      <c r="DUC12" s="10"/>
      <c r="DUF12" s="11"/>
      <c r="DUG12" s="10"/>
      <c r="DUJ12" s="11"/>
      <c r="DUK12" s="10"/>
      <c r="DUN12" s="11"/>
      <c r="DUO12" s="10"/>
      <c r="DUR12" s="11"/>
      <c r="DUS12" s="10"/>
      <c r="DUV12" s="11"/>
      <c r="DUW12" s="10"/>
      <c r="DUZ12" s="11"/>
      <c r="DVA12" s="10"/>
      <c r="DVD12" s="11"/>
      <c r="DVE12" s="10"/>
      <c r="DVH12" s="11"/>
      <c r="DVI12" s="10"/>
      <c r="DVL12" s="11"/>
      <c r="DVM12" s="10"/>
      <c r="DVP12" s="11"/>
      <c r="DVQ12" s="10"/>
      <c r="DVT12" s="11"/>
      <c r="DVU12" s="10"/>
      <c r="DVX12" s="11"/>
      <c r="DVY12" s="10"/>
      <c r="DWB12" s="11"/>
      <c r="DWC12" s="10"/>
      <c r="DWF12" s="11"/>
      <c r="DWG12" s="10"/>
      <c r="DWJ12" s="11"/>
      <c r="DWK12" s="10"/>
      <c r="DWN12" s="11"/>
      <c r="DWO12" s="10"/>
      <c r="DWR12" s="11"/>
      <c r="DWS12" s="10"/>
      <c r="DWV12" s="11"/>
      <c r="DWW12" s="10"/>
      <c r="DWZ12" s="11"/>
      <c r="DXA12" s="10"/>
      <c r="DXD12" s="11"/>
      <c r="DXE12" s="10"/>
      <c r="DXH12" s="11"/>
      <c r="DXI12" s="10"/>
      <c r="DXL12" s="11"/>
      <c r="DXM12" s="10"/>
      <c r="DXP12" s="11"/>
      <c r="DXQ12" s="10"/>
      <c r="DXT12" s="11"/>
      <c r="DXU12" s="10"/>
      <c r="DXX12" s="11"/>
      <c r="DXY12" s="10"/>
      <c r="DYB12" s="11"/>
      <c r="DYC12" s="10"/>
      <c r="DYF12" s="11"/>
      <c r="DYG12" s="10"/>
      <c r="DYJ12" s="11"/>
      <c r="DYK12" s="10"/>
      <c r="DYN12" s="11"/>
      <c r="DYO12" s="10"/>
      <c r="DYR12" s="11"/>
      <c r="DYS12" s="10"/>
      <c r="DYV12" s="11"/>
      <c r="DYW12" s="10"/>
      <c r="DYZ12" s="11"/>
      <c r="DZA12" s="10"/>
      <c r="DZD12" s="11"/>
      <c r="DZE12" s="10"/>
      <c r="DZH12" s="11"/>
      <c r="DZI12" s="10"/>
      <c r="DZL12" s="11"/>
      <c r="DZM12" s="10"/>
      <c r="DZP12" s="11"/>
      <c r="DZQ12" s="10"/>
      <c r="DZT12" s="11"/>
      <c r="DZU12" s="10"/>
      <c r="DZX12" s="11"/>
      <c r="DZY12" s="10"/>
      <c r="EAB12" s="11"/>
      <c r="EAC12" s="10"/>
      <c r="EAF12" s="11"/>
      <c r="EAG12" s="10"/>
      <c r="EAJ12" s="11"/>
      <c r="EAK12" s="10"/>
      <c r="EAN12" s="11"/>
      <c r="EAO12" s="10"/>
      <c r="EAR12" s="11"/>
      <c r="EAS12" s="10"/>
      <c r="EAV12" s="11"/>
      <c r="EAW12" s="10"/>
      <c r="EAZ12" s="11"/>
      <c r="EBA12" s="10"/>
      <c r="EBD12" s="11"/>
      <c r="EBE12" s="10"/>
      <c r="EBH12" s="11"/>
      <c r="EBI12" s="10"/>
      <c r="EBL12" s="11"/>
      <c r="EBM12" s="10"/>
      <c r="EBP12" s="11"/>
      <c r="EBQ12" s="10"/>
      <c r="EBT12" s="11"/>
      <c r="EBU12" s="10"/>
      <c r="EBX12" s="11"/>
      <c r="EBY12" s="10"/>
      <c r="ECB12" s="11"/>
      <c r="ECC12" s="10"/>
      <c r="ECF12" s="11"/>
      <c r="ECG12" s="10"/>
      <c r="ECJ12" s="11"/>
      <c r="ECK12" s="10"/>
      <c r="ECN12" s="11"/>
      <c r="ECO12" s="10"/>
      <c r="ECR12" s="11"/>
      <c r="ECS12" s="10"/>
      <c r="ECV12" s="11"/>
      <c r="ECW12" s="10"/>
      <c r="ECZ12" s="11"/>
      <c r="EDA12" s="10"/>
      <c r="EDD12" s="11"/>
      <c r="EDE12" s="10"/>
      <c r="EDH12" s="11"/>
      <c r="EDI12" s="10"/>
      <c r="EDL12" s="11"/>
      <c r="EDM12" s="10"/>
      <c r="EDP12" s="11"/>
      <c r="EDQ12" s="10"/>
      <c r="EDT12" s="11"/>
      <c r="EDU12" s="10"/>
      <c r="EDX12" s="11"/>
      <c r="EDY12" s="10"/>
      <c r="EEB12" s="11"/>
      <c r="EEC12" s="10"/>
      <c r="EEF12" s="11"/>
      <c r="EEG12" s="10"/>
      <c r="EEJ12" s="11"/>
      <c r="EEK12" s="10"/>
      <c r="EEN12" s="11"/>
      <c r="EEO12" s="10"/>
      <c r="EER12" s="11"/>
      <c r="EES12" s="10"/>
      <c r="EEV12" s="11"/>
      <c r="EEW12" s="10"/>
      <c r="EEZ12" s="11"/>
      <c r="EFA12" s="10"/>
      <c r="EFD12" s="11"/>
      <c r="EFE12" s="10"/>
      <c r="EFH12" s="11"/>
      <c r="EFI12" s="10"/>
      <c r="EFL12" s="11"/>
      <c r="EFM12" s="10"/>
      <c r="EFP12" s="11"/>
      <c r="EFQ12" s="10"/>
      <c r="EFT12" s="11"/>
      <c r="EFU12" s="10"/>
      <c r="EFX12" s="11"/>
      <c r="EFY12" s="10"/>
      <c r="EGB12" s="11"/>
      <c r="EGC12" s="10"/>
      <c r="EGF12" s="11"/>
      <c r="EGG12" s="10"/>
      <c r="EGJ12" s="11"/>
      <c r="EGK12" s="10"/>
      <c r="EGN12" s="11"/>
      <c r="EGO12" s="10"/>
      <c r="EGR12" s="11"/>
      <c r="EGS12" s="10"/>
      <c r="EGV12" s="11"/>
      <c r="EGW12" s="10"/>
      <c r="EGZ12" s="11"/>
      <c r="EHA12" s="10"/>
      <c r="EHD12" s="11"/>
      <c r="EHE12" s="10"/>
      <c r="EHH12" s="11"/>
      <c r="EHI12" s="10"/>
      <c r="EHL12" s="11"/>
      <c r="EHM12" s="10"/>
      <c r="EHP12" s="11"/>
      <c r="EHQ12" s="10"/>
      <c r="EHT12" s="11"/>
      <c r="EHU12" s="10"/>
      <c r="EHX12" s="11"/>
      <c r="EHY12" s="10"/>
      <c r="EIB12" s="11"/>
      <c r="EIC12" s="10"/>
      <c r="EIF12" s="11"/>
      <c r="EIG12" s="10"/>
      <c r="EIJ12" s="11"/>
      <c r="EIK12" s="10"/>
      <c r="EIN12" s="11"/>
      <c r="EIO12" s="10"/>
      <c r="EIR12" s="11"/>
      <c r="EIS12" s="10"/>
      <c r="EIV12" s="11"/>
      <c r="EIW12" s="10"/>
      <c r="EIZ12" s="11"/>
      <c r="EJA12" s="10"/>
      <c r="EJD12" s="11"/>
      <c r="EJE12" s="10"/>
      <c r="EJH12" s="11"/>
      <c r="EJI12" s="10"/>
      <c r="EJL12" s="11"/>
      <c r="EJM12" s="10"/>
      <c r="EJP12" s="11"/>
      <c r="EJQ12" s="10"/>
      <c r="EJT12" s="11"/>
      <c r="EJU12" s="10"/>
      <c r="EJX12" s="11"/>
      <c r="EJY12" s="10"/>
      <c r="EKB12" s="11"/>
      <c r="EKC12" s="10"/>
      <c r="EKF12" s="11"/>
      <c r="EKG12" s="10"/>
      <c r="EKJ12" s="11"/>
      <c r="EKK12" s="10"/>
      <c r="EKN12" s="11"/>
      <c r="EKO12" s="10"/>
      <c r="EKR12" s="11"/>
      <c r="EKS12" s="10"/>
      <c r="EKV12" s="11"/>
      <c r="EKW12" s="10"/>
      <c r="EKZ12" s="11"/>
      <c r="ELA12" s="10"/>
      <c r="ELD12" s="11"/>
      <c r="ELE12" s="10"/>
      <c r="ELH12" s="11"/>
      <c r="ELI12" s="10"/>
      <c r="ELL12" s="11"/>
      <c r="ELM12" s="10"/>
      <c r="ELP12" s="11"/>
      <c r="ELQ12" s="10"/>
      <c r="ELT12" s="11"/>
      <c r="ELU12" s="10"/>
      <c r="ELX12" s="11"/>
      <c r="ELY12" s="10"/>
      <c r="EMB12" s="11"/>
      <c r="EMC12" s="10"/>
      <c r="EMF12" s="11"/>
      <c r="EMG12" s="10"/>
      <c r="EMJ12" s="11"/>
      <c r="EMK12" s="10"/>
      <c r="EMN12" s="11"/>
      <c r="EMO12" s="10"/>
      <c r="EMR12" s="11"/>
      <c r="EMS12" s="10"/>
      <c r="EMV12" s="11"/>
      <c r="EMW12" s="10"/>
      <c r="EMZ12" s="11"/>
      <c r="ENA12" s="10"/>
      <c r="END12" s="11"/>
      <c r="ENE12" s="10"/>
      <c r="ENH12" s="11"/>
      <c r="ENI12" s="10"/>
      <c r="ENL12" s="11"/>
      <c r="ENM12" s="10"/>
      <c r="ENP12" s="11"/>
      <c r="ENQ12" s="10"/>
      <c r="ENT12" s="11"/>
      <c r="ENU12" s="10"/>
      <c r="ENX12" s="11"/>
      <c r="ENY12" s="10"/>
      <c r="EOB12" s="11"/>
      <c r="EOC12" s="10"/>
      <c r="EOF12" s="11"/>
      <c r="EOG12" s="10"/>
      <c r="EOJ12" s="11"/>
      <c r="EOK12" s="10"/>
      <c r="EON12" s="11"/>
      <c r="EOO12" s="10"/>
      <c r="EOR12" s="11"/>
      <c r="EOS12" s="10"/>
      <c r="EOV12" s="11"/>
      <c r="EOW12" s="10"/>
      <c r="EOZ12" s="11"/>
      <c r="EPA12" s="10"/>
      <c r="EPD12" s="11"/>
      <c r="EPE12" s="10"/>
      <c r="EPH12" s="11"/>
      <c r="EPI12" s="10"/>
      <c r="EPL12" s="11"/>
      <c r="EPM12" s="10"/>
      <c r="EPP12" s="11"/>
      <c r="EPQ12" s="10"/>
      <c r="EPT12" s="11"/>
      <c r="EPU12" s="10"/>
      <c r="EPX12" s="11"/>
      <c r="EPY12" s="10"/>
      <c r="EQB12" s="11"/>
      <c r="EQC12" s="10"/>
      <c r="EQF12" s="11"/>
      <c r="EQG12" s="10"/>
      <c r="EQJ12" s="11"/>
      <c r="EQK12" s="10"/>
      <c r="EQN12" s="11"/>
      <c r="EQO12" s="10"/>
      <c r="EQR12" s="11"/>
      <c r="EQS12" s="10"/>
      <c r="EQV12" s="11"/>
      <c r="EQW12" s="10"/>
      <c r="EQZ12" s="11"/>
      <c r="ERA12" s="10"/>
      <c r="ERD12" s="11"/>
      <c r="ERE12" s="10"/>
      <c r="ERH12" s="11"/>
      <c r="ERI12" s="10"/>
      <c r="ERL12" s="11"/>
      <c r="ERM12" s="10"/>
      <c r="ERP12" s="11"/>
      <c r="ERQ12" s="10"/>
      <c r="ERT12" s="11"/>
      <c r="ERU12" s="10"/>
      <c r="ERX12" s="11"/>
      <c r="ERY12" s="10"/>
      <c r="ESB12" s="11"/>
      <c r="ESC12" s="10"/>
      <c r="ESF12" s="11"/>
      <c r="ESG12" s="10"/>
      <c r="ESJ12" s="11"/>
      <c r="ESK12" s="10"/>
      <c r="ESN12" s="11"/>
      <c r="ESO12" s="10"/>
      <c r="ESR12" s="11"/>
      <c r="ESS12" s="10"/>
      <c r="ESV12" s="11"/>
      <c r="ESW12" s="10"/>
      <c r="ESZ12" s="11"/>
      <c r="ETA12" s="10"/>
      <c r="ETD12" s="11"/>
      <c r="ETE12" s="10"/>
      <c r="ETH12" s="11"/>
      <c r="ETI12" s="10"/>
      <c r="ETL12" s="11"/>
      <c r="ETM12" s="10"/>
      <c r="ETP12" s="11"/>
      <c r="ETQ12" s="10"/>
      <c r="ETT12" s="11"/>
      <c r="ETU12" s="10"/>
      <c r="ETX12" s="11"/>
      <c r="ETY12" s="10"/>
      <c r="EUB12" s="11"/>
      <c r="EUC12" s="10"/>
      <c r="EUF12" s="11"/>
      <c r="EUG12" s="10"/>
      <c r="EUJ12" s="11"/>
      <c r="EUK12" s="10"/>
      <c r="EUN12" s="11"/>
      <c r="EUO12" s="10"/>
      <c r="EUR12" s="11"/>
      <c r="EUS12" s="10"/>
      <c r="EUV12" s="11"/>
      <c r="EUW12" s="10"/>
      <c r="EUZ12" s="11"/>
      <c r="EVA12" s="10"/>
      <c r="EVD12" s="11"/>
      <c r="EVE12" s="10"/>
      <c r="EVH12" s="11"/>
      <c r="EVI12" s="10"/>
      <c r="EVL12" s="11"/>
      <c r="EVM12" s="10"/>
      <c r="EVP12" s="11"/>
      <c r="EVQ12" s="10"/>
      <c r="EVT12" s="11"/>
      <c r="EVU12" s="10"/>
      <c r="EVX12" s="11"/>
      <c r="EVY12" s="10"/>
      <c r="EWB12" s="11"/>
      <c r="EWC12" s="10"/>
      <c r="EWF12" s="11"/>
      <c r="EWG12" s="10"/>
      <c r="EWJ12" s="11"/>
      <c r="EWK12" s="10"/>
      <c r="EWN12" s="11"/>
      <c r="EWO12" s="10"/>
      <c r="EWR12" s="11"/>
      <c r="EWS12" s="10"/>
      <c r="EWV12" s="11"/>
      <c r="EWW12" s="10"/>
      <c r="EWZ12" s="11"/>
      <c r="EXA12" s="10"/>
      <c r="EXD12" s="11"/>
      <c r="EXE12" s="10"/>
      <c r="EXH12" s="11"/>
      <c r="EXI12" s="10"/>
      <c r="EXL12" s="11"/>
      <c r="EXM12" s="10"/>
      <c r="EXP12" s="11"/>
      <c r="EXQ12" s="10"/>
      <c r="EXT12" s="11"/>
      <c r="EXU12" s="10"/>
      <c r="EXX12" s="11"/>
      <c r="EXY12" s="10"/>
      <c r="EYB12" s="11"/>
      <c r="EYC12" s="10"/>
      <c r="EYF12" s="11"/>
      <c r="EYG12" s="10"/>
      <c r="EYJ12" s="11"/>
      <c r="EYK12" s="10"/>
      <c r="EYN12" s="11"/>
      <c r="EYO12" s="10"/>
      <c r="EYR12" s="11"/>
      <c r="EYS12" s="10"/>
      <c r="EYV12" s="11"/>
      <c r="EYW12" s="10"/>
      <c r="EYZ12" s="11"/>
      <c r="EZA12" s="10"/>
      <c r="EZD12" s="11"/>
      <c r="EZE12" s="10"/>
      <c r="EZH12" s="11"/>
      <c r="EZI12" s="10"/>
      <c r="EZL12" s="11"/>
      <c r="EZM12" s="10"/>
      <c r="EZP12" s="11"/>
      <c r="EZQ12" s="10"/>
      <c r="EZT12" s="11"/>
      <c r="EZU12" s="10"/>
      <c r="EZX12" s="11"/>
      <c r="EZY12" s="10"/>
      <c r="FAB12" s="11"/>
      <c r="FAC12" s="10"/>
      <c r="FAF12" s="11"/>
      <c r="FAG12" s="10"/>
      <c r="FAJ12" s="11"/>
      <c r="FAK12" s="10"/>
      <c r="FAN12" s="11"/>
      <c r="FAO12" s="10"/>
      <c r="FAR12" s="11"/>
      <c r="FAS12" s="10"/>
      <c r="FAV12" s="11"/>
      <c r="FAW12" s="10"/>
      <c r="FAZ12" s="11"/>
      <c r="FBA12" s="10"/>
      <c r="FBD12" s="11"/>
      <c r="FBE12" s="10"/>
      <c r="FBH12" s="11"/>
      <c r="FBI12" s="10"/>
      <c r="FBL12" s="11"/>
      <c r="FBM12" s="10"/>
      <c r="FBP12" s="11"/>
      <c r="FBQ12" s="10"/>
      <c r="FBT12" s="11"/>
      <c r="FBU12" s="10"/>
      <c r="FBX12" s="11"/>
      <c r="FBY12" s="10"/>
      <c r="FCB12" s="11"/>
      <c r="FCC12" s="10"/>
      <c r="FCF12" s="11"/>
      <c r="FCG12" s="10"/>
      <c r="FCJ12" s="11"/>
      <c r="FCK12" s="10"/>
      <c r="FCN12" s="11"/>
      <c r="FCO12" s="10"/>
      <c r="FCR12" s="11"/>
      <c r="FCS12" s="10"/>
      <c r="FCV12" s="11"/>
      <c r="FCW12" s="10"/>
      <c r="FCZ12" s="11"/>
      <c r="FDA12" s="10"/>
      <c r="FDD12" s="11"/>
      <c r="FDE12" s="10"/>
      <c r="FDH12" s="11"/>
      <c r="FDI12" s="10"/>
      <c r="FDL12" s="11"/>
      <c r="FDM12" s="10"/>
      <c r="FDP12" s="11"/>
      <c r="FDQ12" s="10"/>
      <c r="FDT12" s="11"/>
      <c r="FDU12" s="10"/>
      <c r="FDX12" s="11"/>
      <c r="FDY12" s="10"/>
      <c r="FEB12" s="11"/>
      <c r="FEC12" s="10"/>
      <c r="FEF12" s="11"/>
      <c r="FEG12" s="10"/>
      <c r="FEJ12" s="11"/>
      <c r="FEK12" s="10"/>
      <c r="FEN12" s="11"/>
      <c r="FEO12" s="10"/>
      <c r="FER12" s="11"/>
      <c r="FES12" s="10"/>
      <c r="FEV12" s="11"/>
      <c r="FEW12" s="10"/>
      <c r="FEZ12" s="11"/>
      <c r="FFA12" s="10"/>
      <c r="FFD12" s="11"/>
      <c r="FFE12" s="10"/>
      <c r="FFH12" s="11"/>
      <c r="FFI12" s="10"/>
      <c r="FFL12" s="11"/>
      <c r="FFM12" s="10"/>
      <c r="FFP12" s="11"/>
      <c r="FFQ12" s="10"/>
      <c r="FFT12" s="11"/>
      <c r="FFU12" s="10"/>
      <c r="FFX12" s="11"/>
      <c r="FFY12" s="10"/>
      <c r="FGB12" s="11"/>
      <c r="FGC12" s="10"/>
      <c r="FGF12" s="11"/>
      <c r="FGG12" s="10"/>
      <c r="FGJ12" s="11"/>
      <c r="FGK12" s="10"/>
      <c r="FGN12" s="11"/>
      <c r="FGO12" s="10"/>
      <c r="FGR12" s="11"/>
      <c r="FGS12" s="10"/>
      <c r="FGV12" s="11"/>
      <c r="FGW12" s="10"/>
      <c r="FGZ12" s="11"/>
      <c r="FHA12" s="10"/>
      <c r="FHD12" s="11"/>
      <c r="FHE12" s="10"/>
      <c r="FHH12" s="11"/>
      <c r="FHI12" s="10"/>
      <c r="FHL12" s="11"/>
      <c r="FHM12" s="10"/>
      <c r="FHP12" s="11"/>
      <c r="FHQ12" s="10"/>
      <c r="FHT12" s="11"/>
      <c r="FHU12" s="10"/>
      <c r="FHX12" s="11"/>
      <c r="FHY12" s="10"/>
      <c r="FIB12" s="11"/>
      <c r="FIC12" s="10"/>
      <c r="FIF12" s="11"/>
      <c r="FIG12" s="10"/>
      <c r="FIJ12" s="11"/>
      <c r="FIK12" s="10"/>
      <c r="FIN12" s="11"/>
      <c r="FIO12" s="10"/>
      <c r="FIR12" s="11"/>
      <c r="FIS12" s="10"/>
      <c r="FIV12" s="11"/>
      <c r="FIW12" s="10"/>
      <c r="FIZ12" s="11"/>
      <c r="FJA12" s="10"/>
      <c r="FJD12" s="11"/>
      <c r="FJE12" s="10"/>
      <c r="FJH12" s="11"/>
      <c r="FJI12" s="10"/>
      <c r="FJL12" s="11"/>
      <c r="FJM12" s="10"/>
      <c r="FJP12" s="11"/>
      <c r="FJQ12" s="10"/>
      <c r="FJT12" s="11"/>
      <c r="FJU12" s="10"/>
      <c r="FJX12" s="11"/>
      <c r="FJY12" s="10"/>
      <c r="FKB12" s="11"/>
      <c r="FKC12" s="10"/>
      <c r="FKF12" s="11"/>
      <c r="FKG12" s="10"/>
      <c r="FKJ12" s="11"/>
      <c r="FKK12" s="10"/>
      <c r="FKN12" s="11"/>
      <c r="FKO12" s="10"/>
      <c r="FKR12" s="11"/>
      <c r="FKS12" s="10"/>
      <c r="FKV12" s="11"/>
      <c r="FKW12" s="10"/>
      <c r="FKZ12" s="11"/>
      <c r="FLA12" s="10"/>
      <c r="FLD12" s="11"/>
      <c r="FLE12" s="10"/>
      <c r="FLH12" s="11"/>
      <c r="FLI12" s="10"/>
      <c r="FLL12" s="11"/>
      <c r="FLM12" s="10"/>
      <c r="FLP12" s="11"/>
      <c r="FLQ12" s="10"/>
      <c r="FLT12" s="11"/>
      <c r="FLU12" s="10"/>
      <c r="FLX12" s="11"/>
      <c r="FLY12" s="10"/>
      <c r="FMB12" s="11"/>
      <c r="FMC12" s="10"/>
      <c r="FMF12" s="11"/>
      <c r="FMG12" s="10"/>
      <c r="FMJ12" s="11"/>
      <c r="FMK12" s="10"/>
      <c r="FMN12" s="11"/>
      <c r="FMO12" s="10"/>
      <c r="FMR12" s="11"/>
      <c r="FMS12" s="10"/>
      <c r="FMV12" s="11"/>
      <c r="FMW12" s="10"/>
      <c r="FMZ12" s="11"/>
      <c r="FNA12" s="10"/>
      <c r="FND12" s="11"/>
      <c r="FNE12" s="10"/>
      <c r="FNH12" s="11"/>
      <c r="FNI12" s="10"/>
      <c r="FNL12" s="11"/>
      <c r="FNM12" s="10"/>
      <c r="FNP12" s="11"/>
      <c r="FNQ12" s="10"/>
      <c r="FNT12" s="11"/>
      <c r="FNU12" s="10"/>
      <c r="FNX12" s="11"/>
      <c r="FNY12" s="10"/>
      <c r="FOB12" s="11"/>
      <c r="FOC12" s="10"/>
      <c r="FOF12" s="11"/>
      <c r="FOG12" s="10"/>
      <c r="FOJ12" s="11"/>
      <c r="FOK12" s="10"/>
      <c r="FON12" s="11"/>
      <c r="FOO12" s="10"/>
      <c r="FOR12" s="11"/>
      <c r="FOS12" s="10"/>
      <c r="FOV12" s="11"/>
      <c r="FOW12" s="10"/>
      <c r="FOZ12" s="11"/>
      <c r="FPA12" s="10"/>
      <c r="FPD12" s="11"/>
      <c r="FPE12" s="10"/>
      <c r="FPH12" s="11"/>
      <c r="FPI12" s="10"/>
      <c r="FPL12" s="11"/>
      <c r="FPM12" s="10"/>
      <c r="FPP12" s="11"/>
      <c r="FPQ12" s="10"/>
      <c r="FPT12" s="11"/>
      <c r="FPU12" s="10"/>
      <c r="FPX12" s="11"/>
      <c r="FPY12" s="10"/>
      <c r="FQB12" s="11"/>
      <c r="FQC12" s="10"/>
      <c r="FQF12" s="11"/>
      <c r="FQG12" s="10"/>
      <c r="FQJ12" s="11"/>
      <c r="FQK12" s="10"/>
      <c r="FQN12" s="11"/>
      <c r="FQO12" s="10"/>
      <c r="FQR12" s="11"/>
      <c r="FQS12" s="10"/>
      <c r="FQV12" s="11"/>
      <c r="FQW12" s="10"/>
      <c r="FQZ12" s="11"/>
      <c r="FRA12" s="10"/>
      <c r="FRD12" s="11"/>
      <c r="FRE12" s="10"/>
      <c r="FRH12" s="11"/>
      <c r="FRI12" s="10"/>
      <c r="FRL12" s="11"/>
      <c r="FRM12" s="10"/>
      <c r="FRP12" s="11"/>
      <c r="FRQ12" s="10"/>
      <c r="FRT12" s="11"/>
      <c r="FRU12" s="10"/>
      <c r="FRX12" s="11"/>
      <c r="FRY12" s="10"/>
      <c r="FSB12" s="11"/>
      <c r="FSC12" s="10"/>
      <c r="FSF12" s="11"/>
      <c r="FSG12" s="10"/>
      <c r="FSJ12" s="11"/>
      <c r="FSK12" s="10"/>
      <c r="FSN12" s="11"/>
      <c r="FSO12" s="10"/>
      <c r="FSR12" s="11"/>
      <c r="FSS12" s="10"/>
      <c r="FSV12" s="11"/>
      <c r="FSW12" s="10"/>
      <c r="FSZ12" s="11"/>
      <c r="FTA12" s="10"/>
      <c r="FTD12" s="11"/>
      <c r="FTE12" s="10"/>
      <c r="FTH12" s="11"/>
      <c r="FTI12" s="10"/>
      <c r="FTL12" s="11"/>
      <c r="FTM12" s="10"/>
      <c r="FTP12" s="11"/>
      <c r="FTQ12" s="10"/>
      <c r="FTT12" s="11"/>
      <c r="FTU12" s="10"/>
      <c r="FTX12" s="11"/>
      <c r="FTY12" s="10"/>
      <c r="FUB12" s="11"/>
      <c r="FUC12" s="10"/>
      <c r="FUF12" s="11"/>
      <c r="FUG12" s="10"/>
      <c r="FUJ12" s="11"/>
      <c r="FUK12" s="10"/>
      <c r="FUN12" s="11"/>
      <c r="FUO12" s="10"/>
      <c r="FUR12" s="11"/>
      <c r="FUS12" s="10"/>
      <c r="FUV12" s="11"/>
      <c r="FUW12" s="10"/>
      <c r="FUZ12" s="11"/>
      <c r="FVA12" s="10"/>
      <c r="FVD12" s="11"/>
      <c r="FVE12" s="10"/>
      <c r="FVH12" s="11"/>
      <c r="FVI12" s="10"/>
      <c r="FVL12" s="11"/>
      <c r="FVM12" s="10"/>
      <c r="FVP12" s="11"/>
      <c r="FVQ12" s="10"/>
      <c r="FVT12" s="11"/>
      <c r="FVU12" s="10"/>
      <c r="FVX12" s="11"/>
      <c r="FVY12" s="10"/>
      <c r="FWB12" s="11"/>
      <c r="FWC12" s="10"/>
      <c r="FWF12" s="11"/>
      <c r="FWG12" s="10"/>
      <c r="FWJ12" s="11"/>
      <c r="FWK12" s="10"/>
      <c r="FWN12" s="11"/>
      <c r="FWO12" s="10"/>
      <c r="FWR12" s="11"/>
      <c r="FWS12" s="10"/>
      <c r="FWV12" s="11"/>
      <c r="FWW12" s="10"/>
      <c r="FWZ12" s="11"/>
      <c r="FXA12" s="10"/>
      <c r="FXD12" s="11"/>
      <c r="FXE12" s="10"/>
      <c r="FXH12" s="11"/>
      <c r="FXI12" s="10"/>
      <c r="FXL12" s="11"/>
      <c r="FXM12" s="10"/>
      <c r="FXP12" s="11"/>
      <c r="FXQ12" s="10"/>
      <c r="FXT12" s="11"/>
      <c r="FXU12" s="10"/>
      <c r="FXX12" s="11"/>
      <c r="FXY12" s="10"/>
      <c r="FYB12" s="11"/>
      <c r="FYC12" s="10"/>
      <c r="FYF12" s="11"/>
      <c r="FYG12" s="10"/>
      <c r="FYJ12" s="11"/>
      <c r="FYK12" s="10"/>
      <c r="FYN12" s="11"/>
      <c r="FYO12" s="10"/>
      <c r="FYR12" s="11"/>
      <c r="FYS12" s="10"/>
      <c r="FYV12" s="11"/>
      <c r="FYW12" s="10"/>
      <c r="FYZ12" s="11"/>
      <c r="FZA12" s="10"/>
      <c r="FZD12" s="11"/>
      <c r="FZE12" s="10"/>
      <c r="FZH12" s="11"/>
      <c r="FZI12" s="10"/>
      <c r="FZL12" s="11"/>
      <c r="FZM12" s="10"/>
      <c r="FZP12" s="11"/>
      <c r="FZQ12" s="10"/>
      <c r="FZT12" s="11"/>
      <c r="FZU12" s="10"/>
      <c r="FZX12" s="11"/>
      <c r="FZY12" s="10"/>
      <c r="GAB12" s="11"/>
      <c r="GAC12" s="10"/>
      <c r="GAF12" s="11"/>
      <c r="GAG12" s="10"/>
      <c r="GAJ12" s="11"/>
      <c r="GAK12" s="10"/>
      <c r="GAN12" s="11"/>
      <c r="GAO12" s="10"/>
      <c r="GAR12" s="11"/>
      <c r="GAS12" s="10"/>
      <c r="GAV12" s="11"/>
      <c r="GAW12" s="10"/>
      <c r="GAZ12" s="11"/>
      <c r="GBA12" s="10"/>
      <c r="GBD12" s="11"/>
      <c r="GBE12" s="10"/>
      <c r="GBH12" s="11"/>
      <c r="GBI12" s="10"/>
      <c r="GBL12" s="11"/>
      <c r="GBM12" s="10"/>
      <c r="GBP12" s="11"/>
      <c r="GBQ12" s="10"/>
      <c r="GBT12" s="11"/>
      <c r="GBU12" s="10"/>
      <c r="GBX12" s="11"/>
      <c r="GBY12" s="10"/>
      <c r="GCB12" s="11"/>
      <c r="GCC12" s="10"/>
      <c r="GCF12" s="11"/>
      <c r="GCG12" s="10"/>
      <c r="GCJ12" s="11"/>
      <c r="GCK12" s="10"/>
      <c r="GCN12" s="11"/>
      <c r="GCO12" s="10"/>
      <c r="GCR12" s="11"/>
      <c r="GCS12" s="10"/>
      <c r="GCV12" s="11"/>
      <c r="GCW12" s="10"/>
      <c r="GCZ12" s="11"/>
      <c r="GDA12" s="10"/>
      <c r="GDD12" s="11"/>
      <c r="GDE12" s="10"/>
      <c r="GDH12" s="11"/>
      <c r="GDI12" s="10"/>
      <c r="GDL12" s="11"/>
      <c r="GDM12" s="10"/>
      <c r="GDP12" s="11"/>
      <c r="GDQ12" s="10"/>
      <c r="GDT12" s="11"/>
      <c r="GDU12" s="10"/>
      <c r="GDX12" s="11"/>
      <c r="GDY12" s="10"/>
      <c r="GEB12" s="11"/>
      <c r="GEC12" s="10"/>
      <c r="GEF12" s="11"/>
      <c r="GEG12" s="10"/>
      <c r="GEJ12" s="11"/>
      <c r="GEK12" s="10"/>
      <c r="GEN12" s="11"/>
      <c r="GEO12" s="10"/>
      <c r="GER12" s="11"/>
      <c r="GES12" s="10"/>
      <c r="GEV12" s="11"/>
      <c r="GEW12" s="10"/>
      <c r="GEZ12" s="11"/>
      <c r="GFA12" s="10"/>
      <c r="GFD12" s="11"/>
      <c r="GFE12" s="10"/>
      <c r="GFH12" s="11"/>
      <c r="GFI12" s="10"/>
      <c r="GFL12" s="11"/>
      <c r="GFM12" s="10"/>
      <c r="GFP12" s="11"/>
      <c r="GFQ12" s="10"/>
      <c r="GFT12" s="11"/>
      <c r="GFU12" s="10"/>
      <c r="GFX12" s="11"/>
      <c r="GFY12" s="10"/>
      <c r="GGB12" s="11"/>
      <c r="GGC12" s="10"/>
      <c r="GGF12" s="11"/>
      <c r="GGG12" s="10"/>
      <c r="GGJ12" s="11"/>
      <c r="GGK12" s="10"/>
      <c r="GGN12" s="11"/>
      <c r="GGO12" s="10"/>
      <c r="GGR12" s="11"/>
      <c r="GGS12" s="10"/>
      <c r="GGV12" s="11"/>
      <c r="GGW12" s="10"/>
      <c r="GGZ12" s="11"/>
      <c r="GHA12" s="10"/>
      <c r="GHD12" s="11"/>
      <c r="GHE12" s="10"/>
      <c r="GHH12" s="11"/>
      <c r="GHI12" s="10"/>
      <c r="GHL12" s="11"/>
      <c r="GHM12" s="10"/>
      <c r="GHP12" s="11"/>
      <c r="GHQ12" s="10"/>
      <c r="GHT12" s="11"/>
      <c r="GHU12" s="10"/>
      <c r="GHX12" s="11"/>
      <c r="GHY12" s="10"/>
      <c r="GIB12" s="11"/>
      <c r="GIC12" s="10"/>
      <c r="GIF12" s="11"/>
      <c r="GIG12" s="10"/>
      <c r="GIJ12" s="11"/>
      <c r="GIK12" s="10"/>
      <c r="GIN12" s="11"/>
      <c r="GIO12" s="10"/>
      <c r="GIR12" s="11"/>
      <c r="GIS12" s="10"/>
      <c r="GIV12" s="11"/>
      <c r="GIW12" s="10"/>
      <c r="GIZ12" s="11"/>
      <c r="GJA12" s="10"/>
      <c r="GJD12" s="11"/>
      <c r="GJE12" s="10"/>
      <c r="GJH12" s="11"/>
      <c r="GJI12" s="10"/>
      <c r="GJL12" s="11"/>
      <c r="GJM12" s="10"/>
      <c r="GJP12" s="11"/>
      <c r="GJQ12" s="10"/>
      <c r="GJT12" s="11"/>
      <c r="GJU12" s="10"/>
      <c r="GJX12" s="11"/>
      <c r="GJY12" s="10"/>
      <c r="GKB12" s="11"/>
      <c r="GKC12" s="10"/>
      <c r="GKF12" s="11"/>
      <c r="GKG12" s="10"/>
      <c r="GKJ12" s="11"/>
      <c r="GKK12" s="10"/>
      <c r="GKN12" s="11"/>
      <c r="GKO12" s="10"/>
      <c r="GKR12" s="11"/>
      <c r="GKS12" s="10"/>
      <c r="GKV12" s="11"/>
      <c r="GKW12" s="10"/>
      <c r="GKZ12" s="11"/>
      <c r="GLA12" s="10"/>
      <c r="GLD12" s="11"/>
      <c r="GLE12" s="10"/>
      <c r="GLH12" s="11"/>
      <c r="GLI12" s="10"/>
      <c r="GLL12" s="11"/>
      <c r="GLM12" s="10"/>
      <c r="GLP12" s="11"/>
      <c r="GLQ12" s="10"/>
      <c r="GLT12" s="11"/>
      <c r="GLU12" s="10"/>
      <c r="GLX12" s="11"/>
      <c r="GLY12" s="10"/>
      <c r="GMB12" s="11"/>
      <c r="GMC12" s="10"/>
      <c r="GMF12" s="11"/>
      <c r="GMG12" s="10"/>
      <c r="GMJ12" s="11"/>
      <c r="GMK12" s="10"/>
      <c r="GMN12" s="11"/>
      <c r="GMO12" s="10"/>
      <c r="GMR12" s="11"/>
      <c r="GMS12" s="10"/>
      <c r="GMV12" s="11"/>
      <c r="GMW12" s="10"/>
      <c r="GMZ12" s="11"/>
      <c r="GNA12" s="10"/>
      <c r="GND12" s="11"/>
      <c r="GNE12" s="10"/>
      <c r="GNH12" s="11"/>
      <c r="GNI12" s="10"/>
      <c r="GNL12" s="11"/>
      <c r="GNM12" s="10"/>
      <c r="GNP12" s="11"/>
      <c r="GNQ12" s="10"/>
      <c r="GNT12" s="11"/>
      <c r="GNU12" s="10"/>
      <c r="GNX12" s="11"/>
      <c r="GNY12" s="10"/>
      <c r="GOB12" s="11"/>
      <c r="GOC12" s="10"/>
      <c r="GOF12" s="11"/>
      <c r="GOG12" s="10"/>
      <c r="GOJ12" s="11"/>
      <c r="GOK12" s="10"/>
      <c r="GON12" s="11"/>
      <c r="GOO12" s="10"/>
      <c r="GOR12" s="11"/>
      <c r="GOS12" s="10"/>
      <c r="GOV12" s="11"/>
      <c r="GOW12" s="10"/>
      <c r="GOZ12" s="11"/>
      <c r="GPA12" s="10"/>
      <c r="GPD12" s="11"/>
      <c r="GPE12" s="10"/>
      <c r="GPH12" s="11"/>
      <c r="GPI12" s="10"/>
      <c r="GPL12" s="11"/>
      <c r="GPM12" s="10"/>
      <c r="GPP12" s="11"/>
      <c r="GPQ12" s="10"/>
      <c r="GPT12" s="11"/>
      <c r="GPU12" s="10"/>
      <c r="GPX12" s="11"/>
      <c r="GPY12" s="10"/>
      <c r="GQB12" s="11"/>
      <c r="GQC12" s="10"/>
      <c r="GQF12" s="11"/>
      <c r="GQG12" s="10"/>
      <c r="GQJ12" s="11"/>
      <c r="GQK12" s="10"/>
      <c r="GQN12" s="11"/>
      <c r="GQO12" s="10"/>
      <c r="GQR12" s="11"/>
      <c r="GQS12" s="10"/>
      <c r="GQV12" s="11"/>
      <c r="GQW12" s="10"/>
      <c r="GQZ12" s="11"/>
      <c r="GRA12" s="10"/>
      <c r="GRD12" s="11"/>
      <c r="GRE12" s="10"/>
      <c r="GRH12" s="11"/>
      <c r="GRI12" s="10"/>
      <c r="GRL12" s="11"/>
      <c r="GRM12" s="10"/>
      <c r="GRP12" s="11"/>
      <c r="GRQ12" s="10"/>
      <c r="GRT12" s="11"/>
      <c r="GRU12" s="10"/>
      <c r="GRX12" s="11"/>
      <c r="GRY12" s="10"/>
      <c r="GSB12" s="11"/>
      <c r="GSC12" s="10"/>
      <c r="GSF12" s="11"/>
      <c r="GSG12" s="10"/>
      <c r="GSJ12" s="11"/>
      <c r="GSK12" s="10"/>
      <c r="GSN12" s="11"/>
      <c r="GSO12" s="10"/>
      <c r="GSR12" s="11"/>
      <c r="GSS12" s="10"/>
      <c r="GSV12" s="11"/>
      <c r="GSW12" s="10"/>
      <c r="GSZ12" s="11"/>
      <c r="GTA12" s="10"/>
      <c r="GTD12" s="11"/>
      <c r="GTE12" s="10"/>
      <c r="GTH12" s="11"/>
      <c r="GTI12" s="10"/>
      <c r="GTL12" s="11"/>
      <c r="GTM12" s="10"/>
      <c r="GTP12" s="11"/>
      <c r="GTQ12" s="10"/>
      <c r="GTT12" s="11"/>
      <c r="GTU12" s="10"/>
      <c r="GTX12" s="11"/>
      <c r="GTY12" s="10"/>
      <c r="GUB12" s="11"/>
      <c r="GUC12" s="10"/>
      <c r="GUF12" s="11"/>
      <c r="GUG12" s="10"/>
      <c r="GUJ12" s="11"/>
      <c r="GUK12" s="10"/>
      <c r="GUN12" s="11"/>
      <c r="GUO12" s="10"/>
      <c r="GUR12" s="11"/>
      <c r="GUS12" s="10"/>
      <c r="GUV12" s="11"/>
      <c r="GUW12" s="10"/>
      <c r="GUZ12" s="11"/>
      <c r="GVA12" s="10"/>
      <c r="GVD12" s="11"/>
      <c r="GVE12" s="10"/>
      <c r="GVH12" s="11"/>
      <c r="GVI12" s="10"/>
      <c r="GVL12" s="11"/>
      <c r="GVM12" s="10"/>
      <c r="GVP12" s="11"/>
      <c r="GVQ12" s="10"/>
      <c r="GVT12" s="11"/>
      <c r="GVU12" s="10"/>
      <c r="GVX12" s="11"/>
      <c r="GVY12" s="10"/>
      <c r="GWB12" s="11"/>
      <c r="GWC12" s="10"/>
      <c r="GWF12" s="11"/>
      <c r="GWG12" s="10"/>
      <c r="GWJ12" s="11"/>
      <c r="GWK12" s="10"/>
      <c r="GWN12" s="11"/>
      <c r="GWO12" s="10"/>
      <c r="GWR12" s="11"/>
      <c r="GWS12" s="10"/>
      <c r="GWV12" s="11"/>
      <c r="GWW12" s="10"/>
      <c r="GWZ12" s="11"/>
      <c r="GXA12" s="10"/>
      <c r="GXD12" s="11"/>
      <c r="GXE12" s="10"/>
      <c r="GXH12" s="11"/>
      <c r="GXI12" s="10"/>
      <c r="GXL12" s="11"/>
      <c r="GXM12" s="10"/>
      <c r="GXP12" s="11"/>
      <c r="GXQ12" s="10"/>
      <c r="GXT12" s="11"/>
      <c r="GXU12" s="10"/>
      <c r="GXX12" s="11"/>
      <c r="GXY12" s="10"/>
      <c r="GYB12" s="11"/>
      <c r="GYC12" s="10"/>
      <c r="GYF12" s="11"/>
      <c r="GYG12" s="10"/>
      <c r="GYJ12" s="11"/>
      <c r="GYK12" s="10"/>
      <c r="GYN12" s="11"/>
      <c r="GYO12" s="10"/>
      <c r="GYR12" s="11"/>
      <c r="GYS12" s="10"/>
      <c r="GYV12" s="11"/>
      <c r="GYW12" s="10"/>
      <c r="GYZ12" s="11"/>
      <c r="GZA12" s="10"/>
      <c r="GZD12" s="11"/>
      <c r="GZE12" s="10"/>
      <c r="GZH12" s="11"/>
      <c r="GZI12" s="10"/>
      <c r="GZL12" s="11"/>
      <c r="GZM12" s="10"/>
      <c r="GZP12" s="11"/>
      <c r="GZQ12" s="10"/>
      <c r="GZT12" s="11"/>
      <c r="GZU12" s="10"/>
      <c r="GZX12" s="11"/>
      <c r="GZY12" s="10"/>
      <c r="HAB12" s="11"/>
      <c r="HAC12" s="10"/>
      <c r="HAF12" s="11"/>
      <c r="HAG12" s="10"/>
      <c r="HAJ12" s="11"/>
      <c r="HAK12" s="10"/>
      <c r="HAN12" s="11"/>
      <c r="HAO12" s="10"/>
      <c r="HAR12" s="11"/>
      <c r="HAS12" s="10"/>
      <c r="HAV12" s="11"/>
      <c r="HAW12" s="10"/>
      <c r="HAZ12" s="11"/>
      <c r="HBA12" s="10"/>
      <c r="HBD12" s="11"/>
      <c r="HBE12" s="10"/>
      <c r="HBH12" s="11"/>
      <c r="HBI12" s="10"/>
      <c r="HBL12" s="11"/>
      <c r="HBM12" s="10"/>
      <c r="HBP12" s="11"/>
      <c r="HBQ12" s="10"/>
      <c r="HBT12" s="11"/>
      <c r="HBU12" s="10"/>
      <c r="HBX12" s="11"/>
      <c r="HBY12" s="10"/>
      <c r="HCB12" s="11"/>
      <c r="HCC12" s="10"/>
      <c r="HCF12" s="11"/>
      <c r="HCG12" s="10"/>
      <c r="HCJ12" s="11"/>
      <c r="HCK12" s="10"/>
      <c r="HCN12" s="11"/>
      <c r="HCO12" s="10"/>
      <c r="HCR12" s="11"/>
      <c r="HCS12" s="10"/>
      <c r="HCV12" s="11"/>
      <c r="HCW12" s="10"/>
      <c r="HCZ12" s="11"/>
      <c r="HDA12" s="10"/>
      <c r="HDD12" s="11"/>
      <c r="HDE12" s="10"/>
      <c r="HDH12" s="11"/>
      <c r="HDI12" s="10"/>
      <c r="HDL12" s="11"/>
      <c r="HDM12" s="10"/>
      <c r="HDP12" s="11"/>
      <c r="HDQ12" s="10"/>
      <c r="HDT12" s="11"/>
      <c r="HDU12" s="10"/>
      <c r="HDX12" s="11"/>
      <c r="HDY12" s="10"/>
      <c r="HEB12" s="11"/>
      <c r="HEC12" s="10"/>
      <c r="HEF12" s="11"/>
      <c r="HEG12" s="10"/>
      <c r="HEJ12" s="11"/>
      <c r="HEK12" s="10"/>
      <c r="HEN12" s="11"/>
      <c r="HEO12" s="10"/>
      <c r="HER12" s="11"/>
      <c r="HES12" s="10"/>
      <c r="HEV12" s="11"/>
      <c r="HEW12" s="10"/>
      <c r="HEZ12" s="11"/>
      <c r="HFA12" s="10"/>
      <c r="HFD12" s="11"/>
      <c r="HFE12" s="10"/>
      <c r="HFH12" s="11"/>
      <c r="HFI12" s="10"/>
      <c r="HFL12" s="11"/>
      <c r="HFM12" s="10"/>
      <c r="HFP12" s="11"/>
      <c r="HFQ12" s="10"/>
      <c r="HFT12" s="11"/>
      <c r="HFU12" s="10"/>
      <c r="HFX12" s="11"/>
      <c r="HFY12" s="10"/>
      <c r="HGB12" s="11"/>
      <c r="HGC12" s="10"/>
      <c r="HGF12" s="11"/>
      <c r="HGG12" s="10"/>
      <c r="HGJ12" s="11"/>
      <c r="HGK12" s="10"/>
      <c r="HGN12" s="11"/>
      <c r="HGO12" s="10"/>
      <c r="HGR12" s="11"/>
      <c r="HGS12" s="10"/>
      <c r="HGV12" s="11"/>
      <c r="HGW12" s="10"/>
      <c r="HGZ12" s="11"/>
      <c r="HHA12" s="10"/>
      <c r="HHD12" s="11"/>
      <c r="HHE12" s="10"/>
      <c r="HHH12" s="11"/>
      <c r="HHI12" s="10"/>
      <c r="HHL12" s="11"/>
      <c r="HHM12" s="10"/>
      <c r="HHP12" s="11"/>
      <c r="HHQ12" s="10"/>
      <c r="HHT12" s="11"/>
      <c r="HHU12" s="10"/>
      <c r="HHX12" s="11"/>
      <c r="HHY12" s="10"/>
      <c r="HIB12" s="11"/>
      <c r="HIC12" s="10"/>
      <c r="HIF12" s="11"/>
      <c r="HIG12" s="10"/>
      <c r="HIJ12" s="11"/>
      <c r="HIK12" s="10"/>
      <c r="HIN12" s="11"/>
      <c r="HIO12" s="10"/>
      <c r="HIR12" s="11"/>
      <c r="HIS12" s="10"/>
      <c r="HIV12" s="11"/>
      <c r="HIW12" s="10"/>
      <c r="HIZ12" s="11"/>
      <c r="HJA12" s="10"/>
      <c r="HJD12" s="11"/>
      <c r="HJE12" s="10"/>
      <c r="HJH12" s="11"/>
      <c r="HJI12" s="10"/>
      <c r="HJL12" s="11"/>
      <c r="HJM12" s="10"/>
      <c r="HJP12" s="11"/>
      <c r="HJQ12" s="10"/>
      <c r="HJT12" s="11"/>
      <c r="HJU12" s="10"/>
      <c r="HJX12" s="11"/>
      <c r="HJY12" s="10"/>
      <c r="HKB12" s="11"/>
      <c r="HKC12" s="10"/>
      <c r="HKF12" s="11"/>
      <c r="HKG12" s="10"/>
      <c r="HKJ12" s="11"/>
      <c r="HKK12" s="10"/>
      <c r="HKN12" s="11"/>
      <c r="HKO12" s="10"/>
      <c r="HKR12" s="11"/>
      <c r="HKS12" s="10"/>
      <c r="HKV12" s="11"/>
      <c r="HKW12" s="10"/>
      <c r="HKZ12" s="11"/>
      <c r="HLA12" s="10"/>
      <c r="HLD12" s="11"/>
      <c r="HLE12" s="10"/>
      <c r="HLH12" s="11"/>
      <c r="HLI12" s="10"/>
      <c r="HLL12" s="11"/>
      <c r="HLM12" s="10"/>
      <c r="HLP12" s="11"/>
      <c r="HLQ12" s="10"/>
      <c r="HLT12" s="11"/>
      <c r="HLU12" s="10"/>
      <c r="HLX12" s="11"/>
      <c r="HLY12" s="10"/>
      <c r="HMB12" s="11"/>
      <c r="HMC12" s="10"/>
      <c r="HMF12" s="11"/>
      <c r="HMG12" s="10"/>
      <c r="HMJ12" s="11"/>
      <c r="HMK12" s="10"/>
      <c r="HMN12" s="11"/>
      <c r="HMO12" s="10"/>
      <c r="HMR12" s="11"/>
      <c r="HMS12" s="10"/>
      <c r="HMV12" s="11"/>
      <c r="HMW12" s="10"/>
      <c r="HMZ12" s="11"/>
      <c r="HNA12" s="10"/>
      <c r="HND12" s="11"/>
      <c r="HNE12" s="10"/>
      <c r="HNH12" s="11"/>
      <c r="HNI12" s="10"/>
      <c r="HNL12" s="11"/>
      <c r="HNM12" s="10"/>
      <c r="HNP12" s="11"/>
      <c r="HNQ12" s="10"/>
      <c r="HNT12" s="11"/>
      <c r="HNU12" s="10"/>
      <c r="HNX12" s="11"/>
      <c r="HNY12" s="10"/>
      <c r="HOB12" s="11"/>
      <c r="HOC12" s="10"/>
      <c r="HOF12" s="11"/>
      <c r="HOG12" s="10"/>
      <c r="HOJ12" s="11"/>
      <c r="HOK12" s="10"/>
      <c r="HON12" s="11"/>
      <c r="HOO12" s="10"/>
      <c r="HOR12" s="11"/>
      <c r="HOS12" s="10"/>
      <c r="HOV12" s="11"/>
      <c r="HOW12" s="10"/>
      <c r="HOZ12" s="11"/>
      <c r="HPA12" s="10"/>
      <c r="HPD12" s="11"/>
      <c r="HPE12" s="10"/>
      <c r="HPH12" s="11"/>
      <c r="HPI12" s="10"/>
      <c r="HPL12" s="11"/>
      <c r="HPM12" s="10"/>
      <c r="HPP12" s="11"/>
      <c r="HPQ12" s="10"/>
      <c r="HPT12" s="11"/>
      <c r="HPU12" s="10"/>
      <c r="HPX12" s="11"/>
      <c r="HPY12" s="10"/>
      <c r="HQB12" s="11"/>
      <c r="HQC12" s="10"/>
      <c r="HQF12" s="11"/>
      <c r="HQG12" s="10"/>
      <c r="HQJ12" s="11"/>
      <c r="HQK12" s="10"/>
      <c r="HQN12" s="11"/>
      <c r="HQO12" s="10"/>
      <c r="HQR12" s="11"/>
      <c r="HQS12" s="10"/>
      <c r="HQV12" s="11"/>
      <c r="HQW12" s="10"/>
      <c r="HQZ12" s="11"/>
      <c r="HRA12" s="10"/>
      <c r="HRD12" s="11"/>
      <c r="HRE12" s="10"/>
      <c r="HRH12" s="11"/>
      <c r="HRI12" s="10"/>
      <c r="HRL12" s="11"/>
      <c r="HRM12" s="10"/>
      <c r="HRP12" s="11"/>
      <c r="HRQ12" s="10"/>
      <c r="HRT12" s="11"/>
      <c r="HRU12" s="10"/>
      <c r="HRX12" s="11"/>
      <c r="HRY12" s="10"/>
      <c r="HSB12" s="11"/>
      <c r="HSC12" s="10"/>
      <c r="HSF12" s="11"/>
      <c r="HSG12" s="10"/>
      <c r="HSJ12" s="11"/>
      <c r="HSK12" s="10"/>
      <c r="HSN12" s="11"/>
      <c r="HSO12" s="10"/>
      <c r="HSR12" s="11"/>
      <c r="HSS12" s="10"/>
      <c r="HSV12" s="11"/>
      <c r="HSW12" s="10"/>
      <c r="HSZ12" s="11"/>
      <c r="HTA12" s="10"/>
      <c r="HTD12" s="11"/>
      <c r="HTE12" s="10"/>
      <c r="HTH12" s="11"/>
      <c r="HTI12" s="10"/>
      <c r="HTL12" s="11"/>
      <c r="HTM12" s="10"/>
      <c r="HTP12" s="11"/>
      <c r="HTQ12" s="10"/>
      <c r="HTT12" s="11"/>
      <c r="HTU12" s="10"/>
      <c r="HTX12" s="11"/>
      <c r="HTY12" s="10"/>
      <c r="HUB12" s="11"/>
      <c r="HUC12" s="10"/>
      <c r="HUF12" s="11"/>
      <c r="HUG12" s="10"/>
      <c r="HUJ12" s="11"/>
      <c r="HUK12" s="10"/>
      <c r="HUN12" s="11"/>
      <c r="HUO12" s="10"/>
      <c r="HUR12" s="11"/>
      <c r="HUS12" s="10"/>
      <c r="HUV12" s="11"/>
      <c r="HUW12" s="10"/>
      <c r="HUZ12" s="11"/>
      <c r="HVA12" s="10"/>
      <c r="HVD12" s="11"/>
      <c r="HVE12" s="10"/>
      <c r="HVH12" s="11"/>
      <c r="HVI12" s="10"/>
      <c r="HVL12" s="11"/>
      <c r="HVM12" s="10"/>
      <c r="HVP12" s="11"/>
      <c r="HVQ12" s="10"/>
      <c r="HVT12" s="11"/>
      <c r="HVU12" s="10"/>
      <c r="HVX12" s="11"/>
      <c r="HVY12" s="10"/>
      <c r="HWB12" s="11"/>
      <c r="HWC12" s="10"/>
      <c r="HWF12" s="11"/>
      <c r="HWG12" s="10"/>
      <c r="HWJ12" s="11"/>
      <c r="HWK12" s="10"/>
      <c r="HWN12" s="11"/>
      <c r="HWO12" s="10"/>
      <c r="HWR12" s="11"/>
      <c r="HWS12" s="10"/>
      <c r="HWV12" s="11"/>
      <c r="HWW12" s="10"/>
      <c r="HWZ12" s="11"/>
      <c r="HXA12" s="10"/>
      <c r="HXD12" s="11"/>
      <c r="HXE12" s="10"/>
      <c r="HXH12" s="11"/>
      <c r="HXI12" s="10"/>
      <c r="HXL12" s="11"/>
      <c r="HXM12" s="10"/>
      <c r="HXP12" s="11"/>
      <c r="HXQ12" s="10"/>
      <c r="HXT12" s="11"/>
      <c r="HXU12" s="10"/>
      <c r="HXX12" s="11"/>
      <c r="HXY12" s="10"/>
      <c r="HYB12" s="11"/>
      <c r="HYC12" s="10"/>
      <c r="HYF12" s="11"/>
      <c r="HYG12" s="10"/>
      <c r="HYJ12" s="11"/>
      <c r="HYK12" s="10"/>
      <c r="HYN12" s="11"/>
      <c r="HYO12" s="10"/>
      <c r="HYR12" s="11"/>
      <c r="HYS12" s="10"/>
      <c r="HYV12" s="11"/>
      <c r="HYW12" s="10"/>
      <c r="HYZ12" s="11"/>
      <c r="HZA12" s="10"/>
      <c r="HZD12" s="11"/>
      <c r="HZE12" s="10"/>
      <c r="HZH12" s="11"/>
      <c r="HZI12" s="10"/>
      <c r="HZL12" s="11"/>
      <c r="HZM12" s="10"/>
      <c r="HZP12" s="11"/>
      <c r="HZQ12" s="10"/>
      <c r="HZT12" s="11"/>
      <c r="HZU12" s="10"/>
      <c r="HZX12" s="11"/>
      <c r="HZY12" s="10"/>
      <c r="IAB12" s="11"/>
      <c r="IAC12" s="10"/>
      <c r="IAF12" s="11"/>
      <c r="IAG12" s="10"/>
      <c r="IAJ12" s="11"/>
      <c r="IAK12" s="10"/>
      <c r="IAN12" s="11"/>
      <c r="IAO12" s="10"/>
      <c r="IAR12" s="11"/>
      <c r="IAS12" s="10"/>
      <c r="IAV12" s="11"/>
      <c r="IAW12" s="10"/>
      <c r="IAZ12" s="11"/>
      <c r="IBA12" s="10"/>
      <c r="IBD12" s="11"/>
      <c r="IBE12" s="10"/>
      <c r="IBH12" s="11"/>
      <c r="IBI12" s="10"/>
      <c r="IBL12" s="11"/>
      <c r="IBM12" s="10"/>
      <c r="IBP12" s="11"/>
      <c r="IBQ12" s="10"/>
      <c r="IBT12" s="11"/>
      <c r="IBU12" s="10"/>
      <c r="IBX12" s="11"/>
      <c r="IBY12" s="10"/>
      <c r="ICB12" s="11"/>
      <c r="ICC12" s="10"/>
      <c r="ICF12" s="11"/>
      <c r="ICG12" s="10"/>
      <c r="ICJ12" s="11"/>
      <c r="ICK12" s="10"/>
      <c r="ICN12" s="11"/>
      <c r="ICO12" s="10"/>
      <c r="ICR12" s="11"/>
      <c r="ICS12" s="10"/>
      <c r="ICV12" s="11"/>
      <c r="ICW12" s="10"/>
      <c r="ICZ12" s="11"/>
      <c r="IDA12" s="10"/>
      <c r="IDD12" s="11"/>
      <c r="IDE12" s="10"/>
      <c r="IDH12" s="11"/>
      <c r="IDI12" s="10"/>
      <c r="IDL12" s="11"/>
      <c r="IDM12" s="10"/>
      <c r="IDP12" s="11"/>
      <c r="IDQ12" s="10"/>
      <c r="IDT12" s="11"/>
      <c r="IDU12" s="10"/>
      <c r="IDX12" s="11"/>
      <c r="IDY12" s="10"/>
      <c r="IEB12" s="11"/>
      <c r="IEC12" s="10"/>
      <c r="IEF12" s="11"/>
      <c r="IEG12" s="10"/>
      <c r="IEJ12" s="11"/>
      <c r="IEK12" s="10"/>
      <c r="IEN12" s="11"/>
      <c r="IEO12" s="10"/>
      <c r="IER12" s="11"/>
      <c r="IES12" s="10"/>
      <c r="IEV12" s="11"/>
      <c r="IEW12" s="10"/>
      <c r="IEZ12" s="11"/>
      <c r="IFA12" s="10"/>
      <c r="IFD12" s="11"/>
      <c r="IFE12" s="10"/>
      <c r="IFH12" s="11"/>
      <c r="IFI12" s="10"/>
      <c r="IFL12" s="11"/>
      <c r="IFM12" s="10"/>
      <c r="IFP12" s="11"/>
      <c r="IFQ12" s="10"/>
      <c r="IFT12" s="11"/>
      <c r="IFU12" s="10"/>
      <c r="IFX12" s="11"/>
      <c r="IFY12" s="10"/>
      <c r="IGB12" s="11"/>
      <c r="IGC12" s="10"/>
      <c r="IGF12" s="11"/>
      <c r="IGG12" s="10"/>
      <c r="IGJ12" s="11"/>
      <c r="IGK12" s="10"/>
      <c r="IGN12" s="11"/>
      <c r="IGO12" s="10"/>
      <c r="IGR12" s="11"/>
      <c r="IGS12" s="10"/>
      <c r="IGV12" s="11"/>
      <c r="IGW12" s="10"/>
      <c r="IGZ12" s="11"/>
      <c r="IHA12" s="10"/>
      <c r="IHD12" s="11"/>
      <c r="IHE12" s="10"/>
      <c r="IHH12" s="11"/>
      <c r="IHI12" s="10"/>
      <c r="IHL12" s="11"/>
      <c r="IHM12" s="10"/>
      <c r="IHP12" s="11"/>
      <c r="IHQ12" s="10"/>
      <c r="IHT12" s="11"/>
      <c r="IHU12" s="10"/>
      <c r="IHX12" s="11"/>
      <c r="IHY12" s="10"/>
      <c r="IIB12" s="11"/>
      <c r="IIC12" s="10"/>
      <c r="IIF12" s="11"/>
      <c r="IIG12" s="10"/>
      <c r="IIJ12" s="11"/>
      <c r="IIK12" s="10"/>
      <c r="IIN12" s="11"/>
      <c r="IIO12" s="10"/>
      <c r="IIR12" s="11"/>
      <c r="IIS12" s="10"/>
      <c r="IIV12" s="11"/>
      <c r="IIW12" s="10"/>
      <c r="IIZ12" s="11"/>
      <c r="IJA12" s="10"/>
      <c r="IJD12" s="11"/>
      <c r="IJE12" s="10"/>
      <c r="IJH12" s="11"/>
      <c r="IJI12" s="10"/>
      <c r="IJL12" s="11"/>
      <c r="IJM12" s="10"/>
      <c r="IJP12" s="11"/>
      <c r="IJQ12" s="10"/>
      <c r="IJT12" s="11"/>
      <c r="IJU12" s="10"/>
      <c r="IJX12" s="11"/>
      <c r="IJY12" s="10"/>
      <c r="IKB12" s="11"/>
      <c r="IKC12" s="10"/>
      <c r="IKF12" s="11"/>
      <c r="IKG12" s="10"/>
      <c r="IKJ12" s="11"/>
      <c r="IKK12" s="10"/>
      <c r="IKN12" s="11"/>
      <c r="IKO12" s="10"/>
      <c r="IKR12" s="11"/>
      <c r="IKS12" s="10"/>
      <c r="IKV12" s="11"/>
      <c r="IKW12" s="10"/>
      <c r="IKZ12" s="11"/>
      <c r="ILA12" s="10"/>
      <c r="ILD12" s="11"/>
      <c r="ILE12" s="10"/>
      <c r="ILH12" s="11"/>
      <c r="ILI12" s="10"/>
      <c r="ILL12" s="11"/>
      <c r="ILM12" s="10"/>
      <c r="ILP12" s="11"/>
      <c r="ILQ12" s="10"/>
      <c r="ILT12" s="11"/>
      <c r="ILU12" s="10"/>
      <c r="ILX12" s="11"/>
      <c r="ILY12" s="10"/>
      <c r="IMB12" s="11"/>
      <c r="IMC12" s="10"/>
      <c r="IMF12" s="11"/>
      <c r="IMG12" s="10"/>
      <c r="IMJ12" s="11"/>
      <c r="IMK12" s="10"/>
      <c r="IMN12" s="11"/>
      <c r="IMO12" s="10"/>
      <c r="IMR12" s="11"/>
      <c r="IMS12" s="10"/>
      <c r="IMV12" s="11"/>
      <c r="IMW12" s="10"/>
      <c r="IMZ12" s="11"/>
      <c r="INA12" s="10"/>
      <c r="IND12" s="11"/>
      <c r="INE12" s="10"/>
      <c r="INH12" s="11"/>
      <c r="INI12" s="10"/>
      <c r="INL12" s="11"/>
      <c r="INM12" s="10"/>
      <c r="INP12" s="11"/>
      <c r="INQ12" s="10"/>
      <c r="INT12" s="11"/>
      <c r="INU12" s="10"/>
      <c r="INX12" s="11"/>
      <c r="INY12" s="10"/>
      <c r="IOB12" s="11"/>
      <c r="IOC12" s="10"/>
      <c r="IOF12" s="11"/>
      <c r="IOG12" s="10"/>
      <c r="IOJ12" s="11"/>
      <c r="IOK12" s="10"/>
      <c r="ION12" s="11"/>
      <c r="IOO12" s="10"/>
      <c r="IOR12" s="11"/>
      <c r="IOS12" s="10"/>
      <c r="IOV12" s="11"/>
      <c r="IOW12" s="10"/>
      <c r="IOZ12" s="11"/>
      <c r="IPA12" s="10"/>
      <c r="IPD12" s="11"/>
      <c r="IPE12" s="10"/>
      <c r="IPH12" s="11"/>
      <c r="IPI12" s="10"/>
      <c r="IPL12" s="11"/>
      <c r="IPM12" s="10"/>
      <c r="IPP12" s="11"/>
      <c r="IPQ12" s="10"/>
      <c r="IPT12" s="11"/>
      <c r="IPU12" s="10"/>
      <c r="IPX12" s="11"/>
      <c r="IPY12" s="10"/>
      <c r="IQB12" s="11"/>
      <c r="IQC12" s="10"/>
      <c r="IQF12" s="11"/>
      <c r="IQG12" s="10"/>
      <c r="IQJ12" s="11"/>
      <c r="IQK12" s="10"/>
      <c r="IQN12" s="11"/>
      <c r="IQO12" s="10"/>
      <c r="IQR12" s="11"/>
      <c r="IQS12" s="10"/>
      <c r="IQV12" s="11"/>
      <c r="IQW12" s="10"/>
      <c r="IQZ12" s="11"/>
      <c r="IRA12" s="10"/>
      <c r="IRD12" s="11"/>
      <c r="IRE12" s="10"/>
      <c r="IRH12" s="11"/>
      <c r="IRI12" s="10"/>
      <c r="IRL12" s="11"/>
      <c r="IRM12" s="10"/>
      <c r="IRP12" s="11"/>
      <c r="IRQ12" s="10"/>
      <c r="IRT12" s="11"/>
      <c r="IRU12" s="10"/>
      <c r="IRX12" s="11"/>
      <c r="IRY12" s="10"/>
      <c r="ISB12" s="11"/>
      <c r="ISC12" s="10"/>
      <c r="ISF12" s="11"/>
      <c r="ISG12" s="10"/>
      <c r="ISJ12" s="11"/>
      <c r="ISK12" s="10"/>
      <c r="ISN12" s="11"/>
      <c r="ISO12" s="10"/>
      <c r="ISR12" s="11"/>
      <c r="ISS12" s="10"/>
      <c r="ISV12" s="11"/>
      <c r="ISW12" s="10"/>
      <c r="ISZ12" s="11"/>
      <c r="ITA12" s="10"/>
      <c r="ITD12" s="11"/>
      <c r="ITE12" s="10"/>
      <c r="ITH12" s="11"/>
      <c r="ITI12" s="10"/>
      <c r="ITL12" s="11"/>
      <c r="ITM12" s="10"/>
      <c r="ITP12" s="11"/>
      <c r="ITQ12" s="10"/>
      <c r="ITT12" s="11"/>
      <c r="ITU12" s="10"/>
      <c r="ITX12" s="11"/>
      <c r="ITY12" s="10"/>
      <c r="IUB12" s="11"/>
      <c r="IUC12" s="10"/>
      <c r="IUF12" s="11"/>
      <c r="IUG12" s="10"/>
      <c r="IUJ12" s="11"/>
      <c r="IUK12" s="10"/>
      <c r="IUN12" s="11"/>
      <c r="IUO12" s="10"/>
      <c r="IUR12" s="11"/>
      <c r="IUS12" s="10"/>
      <c r="IUV12" s="11"/>
      <c r="IUW12" s="10"/>
      <c r="IUZ12" s="11"/>
      <c r="IVA12" s="10"/>
      <c r="IVD12" s="11"/>
      <c r="IVE12" s="10"/>
      <c r="IVH12" s="11"/>
      <c r="IVI12" s="10"/>
      <c r="IVL12" s="11"/>
      <c r="IVM12" s="10"/>
      <c r="IVP12" s="11"/>
      <c r="IVQ12" s="10"/>
      <c r="IVT12" s="11"/>
      <c r="IVU12" s="10"/>
      <c r="IVX12" s="11"/>
      <c r="IVY12" s="10"/>
      <c r="IWB12" s="11"/>
      <c r="IWC12" s="10"/>
      <c r="IWF12" s="11"/>
      <c r="IWG12" s="10"/>
      <c r="IWJ12" s="11"/>
      <c r="IWK12" s="10"/>
      <c r="IWN12" s="11"/>
      <c r="IWO12" s="10"/>
      <c r="IWR12" s="11"/>
      <c r="IWS12" s="10"/>
      <c r="IWV12" s="11"/>
      <c r="IWW12" s="10"/>
      <c r="IWZ12" s="11"/>
      <c r="IXA12" s="10"/>
      <c r="IXD12" s="11"/>
      <c r="IXE12" s="10"/>
      <c r="IXH12" s="11"/>
      <c r="IXI12" s="10"/>
      <c r="IXL12" s="11"/>
      <c r="IXM12" s="10"/>
      <c r="IXP12" s="11"/>
      <c r="IXQ12" s="10"/>
      <c r="IXT12" s="11"/>
      <c r="IXU12" s="10"/>
      <c r="IXX12" s="11"/>
      <c r="IXY12" s="10"/>
      <c r="IYB12" s="11"/>
      <c r="IYC12" s="10"/>
      <c r="IYF12" s="11"/>
      <c r="IYG12" s="10"/>
      <c r="IYJ12" s="11"/>
      <c r="IYK12" s="10"/>
      <c r="IYN12" s="11"/>
      <c r="IYO12" s="10"/>
      <c r="IYR12" s="11"/>
      <c r="IYS12" s="10"/>
      <c r="IYV12" s="11"/>
      <c r="IYW12" s="10"/>
      <c r="IYZ12" s="11"/>
      <c r="IZA12" s="10"/>
      <c r="IZD12" s="11"/>
      <c r="IZE12" s="10"/>
      <c r="IZH12" s="11"/>
      <c r="IZI12" s="10"/>
      <c r="IZL12" s="11"/>
      <c r="IZM12" s="10"/>
      <c r="IZP12" s="11"/>
      <c r="IZQ12" s="10"/>
      <c r="IZT12" s="11"/>
      <c r="IZU12" s="10"/>
      <c r="IZX12" s="11"/>
      <c r="IZY12" s="10"/>
      <c r="JAB12" s="11"/>
      <c r="JAC12" s="10"/>
      <c r="JAF12" s="11"/>
      <c r="JAG12" s="10"/>
      <c r="JAJ12" s="11"/>
      <c r="JAK12" s="10"/>
      <c r="JAN12" s="11"/>
      <c r="JAO12" s="10"/>
      <c r="JAR12" s="11"/>
      <c r="JAS12" s="10"/>
      <c r="JAV12" s="11"/>
      <c r="JAW12" s="10"/>
      <c r="JAZ12" s="11"/>
      <c r="JBA12" s="10"/>
      <c r="JBD12" s="11"/>
      <c r="JBE12" s="10"/>
      <c r="JBH12" s="11"/>
      <c r="JBI12" s="10"/>
      <c r="JBL12" s="11"/>
      <c r="JBM12" s="10"/>
      <c r="JBP12" s="11"/>
      <c r="JBQ12" s="10"/>
      <c r="JBT12" s="11"/>
      <c r="JBU12" s="10"/>
      <c r="JBX12" s="11"/>
      <c r="JBY12" s="10"/>
      <c r="JCB12" s="11"/>
      <c r="JCC12" s="10"/>
      <c r="JCF12" s="11"/>
      <c r="JCG12" s="10"/>
      <c r="JCJ12" s="11"/>
      <c r="JCK12" s="10"/>
      <c r="JCN12" s="11"/>
      <c r="JCO12" s="10"/>
      <c r="JCR12" s="11"/>
      <c r="JCS12" s="10"/>
      <c r="JCV12" s="11"/>
      <c r="JCW12" s="10"/>
      <c r="JCZ12" s="11"/>
      <c r="JDA12" s="10"/>
      <c r="JDD12" s="11"/>
      <c r="JDE12" s="10"/>
      <c r="JDH12" s="11"/>
      <c r="JDI12" s="10"/>
      <c r="JDL12" s="11"/>
      <c r="JDM12" s="10"/>
      <c r="JDP12" s="11"/>
      <c r="JDQ12" s="10"/>
      <c r="JDT12" s="11"/>
      <c r="JDU12" s="10"/>
      <c r="JDX12" s="11"/>
      <c r="JDY12" s="10"/>
      <c r="JEB12" s="11"/>
      <c r="JEC12" s="10"/>
      <c r="JEF12" s="11"/>
      <c r="JEG12" s="10"/>
      <c r="JEJ12" s="11"/>
      <c r="JEK12" s="10"/>
      <c r="JEN12" s="11"/>
      <c r="JEO12" s="10"/>
      <c r="JER12" s="11"/>
      <c r="JES12" s="10"/>
      <c r="JEV12" s="11"/>
      <c r="JEW12" s="10"/>
      <c r="JEZ12" s="11"/>
      <c r="JFA12" s="10"/>
      <c r="JFD12" s="11"/>
      <c r="JFE12" s="10"/>
      <c r="JFH12" s="11"/>
      <c r="JFI12" s="10"/>
      <c r="JFL12" s="11"/>
      <c r="JFM12" s="10"/>
      <c r="JFP12" s="11"/>
      <c r="JFQ12" s="10"/>
      <c r="JFT12" s="11"/>
      <c r="JFU12" s="10"/>
      <c r="JFX12" s="11"/>
      <c r="JFY12" s="10"/>
      <c r="JGB12" s="11"/>
      <c r="JGC12" s="10"/>
      <c r="JGF12" s="11"/>
      <c r="JGG12" s="10"/>
      <c r="JGJ12" s="11"/>
      <c r="JGK12" s="10"/>
      <c r="JGN12" s="11"/>
      <c r="JGO12" s="10"/>
      <c r="JGR12" s="11"/>
      <c r="JGS12" s="10"/>
      <c r="JGV12" s="11"/>
      <c r="JGW12" s="10"/>
      <c r="JGZ12" s="11"/>
      <c r="JHA12" s="10"/>
      <c r="JHD12" s="11"/>
      <c r="JHE12" s="10"/>
      <c r="JHH12" s="11"/>
      <c r="JHI12" s="10"/>
      <c r="JHL12" s="11"/>
      <c r="JHM12" s="10"/>
      <c r="JHP12" s="11"/>
      <c r="JHQ12" s="10"/>
      <c r="JHT12" s="11"/>
      <c r="JHU12" s="10"/>
      <c r="JHX12" s="11"/>
      <c r="JHY12" s="10"/>
      <c r="JIB12" s="11"/>
      <c r="JIC12" s="10"/>
      <c r="JIF12" s="11"/>
      <c r="JIG12" s="10"/>
      <c r="JIJ12" s="11"/>
      <c r="JIK12" s="10"/>
      <c r="JIN12" s="11"/>
      <c r="JIO12" s="10"/>
      <c r="JIR12" s="11"/>
      <c r="JIS12" s="10"/>
      <c r="JIV12" s="11"/>
      <c r="JIW12" s="10"/>
      <c r="JIZ12" s="11"/>
      <c r="JJA12" s="10"/>
      <c r="JJD12" s="11"/>
      <c r="JJE12" s="10"/>
      <c r="JJH12" s="11"/>
      <c r="JJI12" s="10"/>
      <c r="JJL12" s="11"/>
      <c r="JJM12" s="10"/>
      <c r="JJP12" s="11"/>
      <c r="JJQ12" s="10"/>
      <c r="JJT12" s="11"/>
      <c r="JJU12" s="10"/>
      <c r="JJX12" s="11"/>
      <c r="JJY12" s="10"/>
      <c r="JKB12" s="11"/>
      <c r="JKC12" s="10"/>
      <c r="JKF12" s="11"/>
      <c r="JKG12" s="10"/>
      <c r="JKJ12" s="11"/>
      <c r="JKK12" s="10"/>
      <c r="JKN12" s="11"/>
      <c r="JKO12" s="10"/>
      <c r="JKR12" s="11"/>
      <c r="JKS12" s="10"/>
      <c r="JKV12" s="11"/>
      <c r="JKW12" s="10"/>
      <c r="JKZ12" s="11"/>
      <c r="JLA12" s="10"/>
      <c r="JLD12" s="11"/>
      <c r="JLE12" s="10"/>
      <c r="JLH12" s="11"/>
      <c r="JLI12" s="10"/>
      <c r="JLL12" s="11"/>
      <c r="JLM12" s="10"/>
      <c r="JLP12" s="11"/>
      <c r="JLQ12" s="10"/>
      <c r="JLT12" s="11"/>
      <c r="JLU12" s="10"/>
      <c r="JLX12" s="11"/>
      <c r="JLY12" s="10"/>
      <c r="JMB12" s="11"/>
      <c r="JMC12" s="10"/>
      <c r="JMF12" s="11"/>
      <c r="JMG12" s="10"/>
      <c r="JMJ12" s="11"/>
      <c r="JMK12" s="10"/>
      <c r="JMN12" s="11"/>
      <c r="JMO12" s="10"/>
      <c r="JMR12" s="11"/>
      <c r="JMS12" s="10"/>
      <c r="JMV12" s="11"/>
      <c r="JMW12" s="10"/>
      <c r="JMZ12" s="11"/>
      <c r="JNA12" s="10"/>
      <c r="JND12" s="11"/>
      <c r="JNE12" s="10"/>
      <c r="JNH12" s="11"/>
      <c r="JNI12" s="10"/>
      <c r="JNL12" s="11"/>
      <c r="JNM12" s="10"/>
      <c r="JNP12" s="11"/>
      <c r="JNQ12" s="10"/>
      <c r="JNT12" s="11"/>
      <c r="JNU12" s="10"/>
      <c r="JNX12" s="11"/>
      <c r="JNY12" s="10"/>
      <c r="JOB12" s="11"/>
      <c r="JOC12" s="10"/>
      <c r="JOF12" s="11"/>
      <c r="JOG12" s="10"/>
      <c r="JOJ12" s="11"/>
      <c r="JOK12" s="10"/>
      <c r="JON12" s="11"/>
      <c r="JOO12" s="10"/>
      <c r="JOR12" s="11"/>
      <c r="JOS12" s="10"/>
      <c r="JOV12" s="11"/>
      <c r="JOW12" s="10"/>
      <c r="JOZ12" s="11"/>
      <c r="JPA12" s="10"/>
      <c r="JPD12" s="11"/>
      <c r="JPE12" s="10"/>
      <c r="JPH12" s="11"/>
      <c r="JPI12" s="10"/>
      <c r="JPL12" s="11"/>
      <c r="JPM12" s="10"/>
      <c r="JPP12" s="11"/>
      <c r="JPQ12" s="10"/>
      <c r="JPT12" s="11"/>
      <c r="JPU12" s="10"/>
      <c r="JPX12" s="11"/>
      <c r="JPY12" s="10"/>
      <c r="JQB12" s="11"/>
      <c r="JQC12" s="10"/>
      <c r="JQF12" s="11"/>
      <c r="JQG12" s="10"/>
      <c r="JQJ12" s="11"/>
      <c r="JQK12" s="10"/>
      <c r="JQN12" s="11"/>
      <c r="JQO12" s="10"/>
      <c r="JQR12" s="11"/>
      <c r="JQS12" s="10"/>
      <c r="JQV12" s="11"/>
      <c r="JQW12" s="10"/>
      <c r="JQZ12" s="11"/>
      <c r="JRA12" s="10"/>
      <c r="JRD12" s="11"/>
      <c r="JRE12" s="10"/>
      <c r="JRH12" s="11"/>
      <c r="JRI12" s="10"/>
      <c r="JRL12" s="11"/>
      <c r="JRM12" s="10"/>
      <c r="JRP12" s="11"/>
      <c r="JRQ12" s="10"/>
      <c r="JRT12" s="11"/>
      <c r="JRU12" s="10"/>
      <c r="JRX12" s="11"/>
      <c r="JRY12" s="10"/>
      <c r="JSB12" s="11"/>
      <c r="JSC12" s="10"/>
      <c r="JSF12" s="11"/>
      <c r="JSG12" s="10"/>
      <c r="JSJ12" s="11"/>
      <c r="JSK12" s="10"/>
      <c r="JSN12" s="11"/>
      <c r="JSO12" s="10"/>
      <c r="JSR12" s="11"/>
      <c r="JSS12" s="10"/>
      <c r="JSV12" s="11"/>
      <c r="JSW12" s="10"/>
      <c r="JSZ12" s="11"/>
      <c r="JTA12" s="10"/>
      <c r="JTD12" s="11"/>
      <c r="JTE12" s="10"/>
      <c r="JTH12" s="11"/>
      <c r="JTI12" s="10"/>
      <c r="JTL12" s="11"/>
      <c r="JTM12" s="10"/>
      <c r="JTP12" s="11"/>
      <c r="JTQ12" s="10"/>
      <c r="JTT12" s="11"/>
      <c r="JTU12" s="10"/>
      <c r="JTX12" s="11"/>
      <c r="JTY12" s="10"/>
      <c r="JUB12" s="11"/>
      <c r="JUC12" s="10"/>
      <c r="JUF12" s="11"/>
      <c r="JUG12" s="10"/>
      <c r="JUJ12" s="11"/>
      <c r="JUK12" s="10"/>
      <c r="JUN12" s="11"/>
      <c r="JUO12" s="10"/>
      <c r="JUR12" s="11"/>
      <c r="JUS12" s="10"/>
      <c r="JUV12" s="11"/>
      <c r="JUW12" s="10"/>
      <c r="JUZ12" s="11"/>
      <c r="JVA12" s="10"/>
      <c r="JVD12" s="11"/>
      <c r="JVE12" s="10"/>
      <c r="JVH12" s="11"/>
      <c r="JVI12" s="10"/>
      <c r="JVL12" s="11"/>
      <c r="JVM12" s="10"/>
      <c r="JVP12" s="11"/>
      <c r="JVQ12" s="10"/>
      <c r="JVT12" s="11"/>
      <c r="JVU12" s="10"/>
      <c r="JVX12" s="11"/>
      <c r="JVY12" s="10"/>
      <c r="JWB12" s="11"/>
      <c r="JWC12" s="10"/>
      <c r="JWF12" s="11"/>
      <c r="JWG12" s="10"/>
      <c r="JWJ12" s="11"/>
      <c r="JWK12" s="10"/>
      <c r="JWN12" s="11"/>
      <c r="JWO12" s="10"/>
      <c r="JWR12" s="11"/>
      <c r="JWS12" s="10"/>
      <c r="JWV12" s="11"/>
      <c r="JWW12" s="10"/>
      <c r="JWZ12" s="11"/>
      <c r="JXA12" s="10"/>
      <c r="JXD12" s="11"/>
      <c r="JXE12" s="10"/>
      <c r="JXH12" s="11"/>
      <c r="JXI12" s="10"/>
      <c r="JXL12" s="11"/>
      <c r="JXM12" s="10"/>
      <c r="JXP12" s="11"/>
      <c r="JXQ12" s="10"/>
      <c r="JXT12" s="11"/>
      <c r="JXU12" s="10"/>
      <c r="JXX12" s="11"/>
      <c r="JXY12" s="10"/>
      <c r="JYB12" s="11"/>
      <c r="JYC12" s="10"/>
      <c r="JYF12" s="11"/>
      <c r="JYG12" s="10"/>
      <c r="JYJ12" s="11"/>
      <c r="JYK12" s="10"/>
      <c r="JYN12" s="11"/>
      <c r="JYO12" s="10"/>
      <c r="JYR12" s="11"/>
      <c r="JYS12" s="10"/>
      <c r="JYV12" s="11"/>
      <c r="JYW12" s="10"/>
      <c r="JYZ12" s="11"/>
      <c r="JZA12" s="10"/>
      <c r="JZD12" s="11"/>
      <c r="JZE12" s="10"/>
      <c r="JZH12" s="11"/>
      <c r="JZI12" s="10"/>
      <c r="JZL12" s="11"/>
      <c r="JZM12" s="10"/>
      <c r="JZP12" s="11"/>
      <c r="JZQ12" s="10"/>
      <c r="JZT12" s="11"/>
      <c r="JZU12" s="10"/>
      <c r="JZX12" s="11"/>
      <c r="JZY12" s="10"/>
      <c r="KAB12" s="11"/>
      <c r="KAC12" s="10"/>
      <c r="KAF12" s="11"/>
      <c r="KAG12" s="10"/>
      <c r="KAJ12" s="11"/>
      <c r="KAK12" s="10"/>
      <c r="KAN12" s="11"/>
      <c r="KAO12" s="10"/>
      <c r="KAR12" s="11"/>
      <c r="KAS12" s="10"/>
      <c r="KAV12" s="11"/>
      <c r="KAW12" s="10"/>
      <c r="KAZ12" s="11"/>
      <c r="KBA12" s="10"/>
      <c r="KBD12" s="11"/>
      <c r="KBE12" s="10"/>
      <c r="KBH12" s="11"/>
      <c r="KBI12" s="10"/>
      <c r="KBL12" s="11"/>
      <c r="KBM12" s="10"/>
      <c r="KBP12" s="11"/>
      <c r="KBQ12" s="10"/>
      <c r="KBT12" s="11"/>
      <c r="KBU12" s="10"/>
      <c r="KBX12" s="11"/>
      <c r="KBY12" s="10"/>
      <c r="KCB12" s="11"/>
      <c r="KCC12" s="10"/>
      <c r="KCF12" s="11"/>
      <c r="KCG12" s="10"/>
      <c r="KCJ12" s="11"/>
      <c r="KCK12" s="10"/>
      <c r="KCN12" s="11"/>
      <c r="KCO12" s="10"/>
      <c r="KCR12" s="11"/>
      <c r="KCS12" s="10"/>
      <c r="KCV12" s="11"/>
      <c r="KCW12" s="10"/>
      <c r="KCZ12" s="11"/>
      <c r="KDA12" s="10"/>
      <c r="KDD12" s="11"/>
      <c r="KDE12" s="10"/>
      <c r="KDH12" s="11"/>
      <c r="KDI12" s="10"/>
      <c r="KDL12" s="11"/>
      <c r="KDM12" s="10"/>
      <c r="KDP12" s="11"/>
      <c r="KDQ12" s="10"/>
      <c r="KDT12" s="11"/>
      <c r="KDU12" s="10"/>
      <c r="KDX12" s="11"/>
      <c r="KDY12" s="10"/>
      <c r="KEB12" s="11"/>
      <c r="KEC12" s="10"/>
      <c r="KEF12" s="11"/>
      <c r="KEG12" s="10"/>
      <c r="KEJ12" s="11"/>
      <c r="KEK12" s="10"/>
      <c r="KEN12" s="11"/>
      <c r="KEO12" s="10"/>
      <c r="KER12" s="11"/>
      <c r="KES12" s="10"/>
      <c r="KEV12" s="11"/>
      <c r="KEW12" s="10"/>
      <c r="KEZ12" s="11"/>
      <c r="KFA12" s="10"/>
      <c r="KFD12" s="11"/>
      <c r="KFE12" s="10"/>
      <c r="KFH12" s="11"/>
      <c r="KFI12" s="10"/>
      <c r="KFL12" s="11"/>
      <c r="KFM12" s="10"/>
      <c r="KFP12" s="11"/>
      <c r="KFQ12" s="10"/>
      <c r="KFT12" s="11"/>
      <c r="KFU12" s="10"/>
      <c r="KFX12" s="11"/>
      <c r="KFY12" s="10"/>
      <c r="KGB12" s="11"/>
      <c r="KGC12" s="10"/>
      <c r="KGF12" s="11"/>
      <c r="KGG12" s="10"/>
      <c r="KGJ12" s="11"/>
      <c r="KGK12" s="10"/>
      <c r="KGN12" s="11"/>
      <c r="KGO12" s="10"/>
      <c r="KGR12" s="11"/>
      <c r="KGS12" s="10"/>
      <c r="KGV12" s="11"/>
      <c r="KGW12" s="10"/>
      <c r="KGZ12" s="11"/>
      <c r="KHA12" s="10"/>
      <c r="KHD12" s="11"/>
      <c r="KHE12" s="10"/>
      <c r="KHH12" s="11"/>
      <c r="KHI12" s="10"/>
      <c r="KHL12" s="11"/>
      <c r="KHM12" s="10"/>
      <c r="KHP12" s="11"/>
      <c r="KHQ12" s="10"/>
      <c r="KHT12" s="11"/>
      <c r="KHU12" s="10"/>
      <c r="KHX12" s="11"/>
      <c r="KHY12" s="10"/>
      <c r="KIB12" s="11"/>
      <c r="KIC12" s="10"/>
      <c r="KIF12" s="11"/>
      <c r="KIG12" s="10"/>
      <c r="KIJ12" s="11"/>
      <c r="KIK12" s="10"/>
      <c r="KIN12" s="11"/>
      <c r="KIO12" s="10"/>
      <c r="KIR12" s="11"/>
      <c r="KIS12" s="10"/>
      <c r="KIV12" s="11"/>
      <c r="KIW12" s="10"/>
      <c r="KIZ12" s="11"/>
      <c r="KJA12" s="10"/>
      <c r="KJD12" s="11"/>
      <c r="KJE12" s="10"/>
      <c r="KJH12" s="11"/>
      <c r="KJI12" s="10"/>
      <c r="KJL12" s="11"/>
      <c r="KJM12" s="10"/>
      <c r="KJP12" s="11"/>
      <c r="KJQ12" s="10"/>
      <c r="KJT12" s="11"/>
      <c r="KJU12" s="10"/>
      <c r="KJX12" s="11"/>
      <c r="KJY12" s="10"/>
      <c r="KKB12" s="11"/>
      <c r="KKC12" s="10"/>
      <c r="KKF12" s="11"/>
      <c r="KKG12" s="10"/>
      <c r="KKJ12" s="11"/>
      <c r="KKK12" s="10"/>
      <c r="KKN12" s="11"/>
      <c r="KKO12" s="10"/>
      <c r="KKR12" s="11"/>
      <c r="KKS12" s="10"/>
      <c r="KKV12" s="11"/>
      <c r="KKW12" s="10"/>
      <c r="KKZ12" s="11"/>
      <c r="KLA12" s="10"/>
      <c r="KLD12" s="11"/>
      <c r="KLE12" s="10"/>
      <c r="KLH12" s="11"/>
      <c r="KLI12" s="10"/>
      <c r="KLL12" s="11"/>
      <c r="KLM12" s="10"/>
      <c r="KLP12" s="11"/>
      <c r="KLQ12" s="10"/>
      <c r="KLT12" s="11"/>
      <c r="KLU12" s="10"/>
      <c r="KLX12" s="11"/>
      <c r="KLY12" s="10"/>
      <c r="KMB12" s="11"/>
      <c r="KMC12" s="10"/>
      <c r="KMF12" s="11"/>
      <c r="KMG12" s="10"/>
      <c r="KMJ12" s="11"/>
      <c r="KMK12" s="10"/>
      <c r="KMN12" s="11"/>
      <c r="KMO12" s="10"/>
      <c r="KMR12" s="11"/>
      <c r="KMS12" s="10"/>
      <c r="KMV12" s="11"/>
      <c r="KMW12" s="10"/>
      <c r="KMZ12" s="11"/>
      <c r="KNA12" s="10"/>
      <c r="KND12" s="11"/>
      <c r="KNE12" s="10"/>
      <c r="KNH12" s="11"/>
      <c r="KNI12" s="10"/>
      <c r="KNL12" s="11"/>
      <c r="KNM12" s="10"/>
      <c r="KNP12" s="11"/>
      <c r="KNQ12" s="10"/>
      <c r="KNT12" s="11"/>
      <c r="KNU12" s="10"/>
      <c r="KNX12" s="11"/>
      <c r="KNY12" s="10"/>
      <c r="KOB12" s="11"/>
      <c r="KOC12" s="10"/>
      <c r="KOF12" s="11"/>
      <c r="KOG12" s="10"/>
      <c r="KOJ12" s="11"/>
      <c r="KOK12" s="10"/>
      <c r="KON12" s="11"/>
      <c r="KOO12" s="10"/>
      <c r="KOR12" s="11"/>
      <c r="KOS12" s="10"/>
      <c r="KOV12" s="11"/>
      <c r="KOW12" s="10"/>
      <c r="KOZ12" s="11"/>
      <c r="KPA12" s="10"/>
      <c r="KPD12" s="11"/>
      <c r="KPE12" s="10"/>
      <c r="KPH12" s="11"/>
      <c r="KPI12" s="10"/>
      <c r="KPL12" s="11"/>
      <c r="KPM12" s="10"/>
      <c r="KPP12" s="11"/>
      <c r="KPQ12" s="10"/>
      <c r="KPT12" s="11"/>
      <c r="KPU12" s="10"/>
      <c r="KPX12" s="11"/>
      <c r="KPY12" s="10"/>
      <c r="KQB12" s="11"/>
      <c r="KQC12" s="10"/>
      <c r="KQF12" s="11"/>
      <c r="KQG12" s="10"/>
      <c r="KQJ12" s="11"/>
      <c r="KQK12" s="10"/>
      <c r="KQN12" s="11"/>
      <c r="KQO12" s="10"/>
      <c r="KQR12" s="11"/>
      <c r="KQS12" s="10"/>
      <c r="KQV12" s="11"/>
      <c r="KQW12" s="10"/>
      <c r="KQZ12" s="11"/>
      <c r="KRA12" s="10"/>
      <c r="KRD12" s="11"/>
      <c r="KRE12" s="10"/>
      <c r="KRH12" s="11"/>
      <c r="KRI12" s="10"/>
      <c r="KRL12" s="11"/>
      <c r="KRM12" s="10"/>
      <c r="KRP12" s="11"/>
      <c r="KRQ12" s="10"/>
      <c r="KRT12" s="11"/>
      <c r="KRU12" s="10"/>
      <c r="KRX12" s="11"/>
      <c r="KRY12" s="10"/>
      <c r="KSB12" s="11"/>
      <c r="KSC12" s="10"/>
      <c r="KSF12" s="11"/>
      <c r="KSG12" s="10"/>
      <c r="KSJ12" s="11"/>
      <c r="KSK12" s="10"/>
      <c r="KSN12" s="11"/>
      <c r="KSO12" s="10"/>
      <c r="KSR12" s="11"/>
      <c r="KSS12" s="10"/>
      <c r="KSV12" s="11"/>
      <c r="KSW12" s="10"/>
      <c r="KSZ12" s="11"/>
      <c r="KTA12" s="10"/>
      <c r="KTD12" s="11"/>
      <c r="KTE12" s="10"/>
      <c r="KTH12" s="11"/>
      <c r="KTI12" s="10"/>
      <c r="KTL12" s="11"/>
      <c r="KTM12" s="10"/>
      <c r="KTP12" s="11"/>
      <c r="KTQ12" s="10"/>
      <c r="KTT12" s="11"/>
      <c r="KTU12" s="10"/>
      <c r="KTX12" s="11"/>
      <c r="KTY12" s="10"/>
      <c r="KUB12" s="11"/>
      <c r="KUC12" s="10"/>
      <c r="KUF12" s="11"/>
      <c r="KUG12" s="10"/>
      <c r="KUJ12" s="11"/>
      <c r="KUK12" s="10"/>
      <c r="KUN12" s="11"/>
      <c r="KUO12" s="10"/>
      <c r="KUR12" s="11"/>
      <c r="KUS12" s="10"/>
      <c r="KUV12" s="11"/>
      <c r="KUW12" s="10"/>
      <c r="KUZ12" s="11"/>
      <c r="KVA12" s="10"/>
      <c r="KVD12" s="11"/>
      <c r="KVE12" s="10"/>
      <c r="KVH12" s="11"/>
      <c r="KVI12" s="10"/>
      <c r="KVL12" s="11"/>
      <c r="KVM12" s="10"/>
      <c r="KVP12" s="11"/>
      <c r="KVQ12" s="10"/>
      <c r="KVT12" s="11"/>
      <c r="KVU12" s="10"/>
      <c r="KVX12" s="11"/>
      <c r="KVY12" s="10"/>
      <c r="KWB12" s="11"/>
      <c r="KWC12" s="10"/>
      <c r="KWF12" s="11"/>
      <c r="KWG12" s="10"/>
      <c r="KWJ12" s="11"/>
      <c r="KWK12" s="10"/>
      <c r="KWN12" s="11"/>
      <c r="KWO12" s="10"/>
      <c r="KWR12" s="11"/>
      <c r="KWS12" s="10"/>
      <c r="KWV12" s="11"/>
      <c r="KWW12" s="10"/>
      <c r="KWZ12" s="11"/>
      <c r="KXA12" s="10"/>
      <c r="KXD12" s="11"/>
      <c r="KXE12" s="10"/>
      <c r="KXH12" s="11"/>
      <c r="KXI12" s="10"/>
      <c r="KXL12" s="11"/>
      <c r="KXM12" s="10"/>
      <c r="KXP12" s="11"/>
      <c r="KXQ12" s="10"/>
      <c r="KXT12" s="11"/>
      <c r="KXU12" s="10"/>
      <c r="KXX12" s="11"/>
      <c r="KXY12" s="10"/>
      <c r="KYB12" s="11"/>
      <c r="KYC12" s="10"/>
      <c r="KYF12" s="11"/>
      <c r="KYG12" s="10"/>
      <c r="KYJ12" s="11"/>
      <c r="KYK12" s="10"/>
      <c r="KYN12" s="11"/>
      <c r="KYO12" s="10"/>
      <c r="KYR12" s="11"/>
      <c r="KYS12" s="10"/>
      <c r="KYV12" s="11"/>
      <c r="KYW12" s="10"/>
      <c r="KYZ12" s="11"/>
      <c r="KZA12" s="10"/>
      <c r="KZD12" s="11"/>
      <c r="KZE12" s="10"/>
      <c r="KZH12" s="11"/>
      <c r="KZI12" s="10"/>
      <c r="KZL12" s="11"/>
      <c r="KZM12" s="10"/>
      <c r="KZP12" s="11"/>
      <c r="KZQ12" s="10"/>
      <c r="KZT12" s="11"/>
      <c r="KZU12" s="10"/>
      <c r="KZX12" s="11"/>
      <c r="KZY12" s="10"/>
      <c r="LAB12" s="11"/>
      <c r="LAC12" s="10"/>
      <c r="LAF12" s="11"/>
      <c r="LAG12" s="10"/>
      <c r="LAJ12" s="11"/>
      <c r="LAK12" s="10"/>
      <c r="LAN12" s="11"/>
      <c r="LAO12" s="10"/>
      <c r="LAR12" s="11"/>
      <c r="LAS12" s="10"/>
      <c r="LAV12" s="11"/>
      <c r="LAW12" s="10"/>
      <c r="LAZ12" s="11"/>
      <c r="LBA12" s="10"/>
      <c r="LBD12" s="11"/>
      <c r="LBE12" s="10"/>
      <c r="LBH12" s="11"/>
      <c r="LBI12" s="10"/>
      <c r="LBL12" s="11"/>
      <c r="LBM12" s="10"/>
      <c r="LBP12" s="11"/>
      <c r="LBQ12" s="10"/>
      <c r="LBT12" s="11"/>
      <c r="LBU12" s="10"/>
      <c r="LBX12" s="11"/>
      <c r="LBY12" s="10"/>
      <c r="LCB12" s="11"/>
      <c r="LCC12" s="10"/>
      <c r="LCF12" s="11"/>
      <c r="LCG12" s="10"/>
      <c r="LCJ12" s="11"/>
      <c r="LCK12" s="10"/>
      <c r="LCN12" s="11"/>
      <c r="LCO12" s="10"/>
      <c r="LCR12" s="11"/>
      <c r="LCS12" s="10"/>
      <c r="LCV12" s="11"/>
      <c r="LCW12" s="10"/>
      <c r="LCZ12" s="11"/>
      <c r="LDA12" s="10"/>
      <c r="LDD12" s="11"/>
      <c r="LDE12" s="10"/>
      <c r="LDH12" s="11"/>
      <c r="LDI12" s="10"/>
      <c r="LDL12" s="11"/>
      <c r="LDM12" s="10"/>
      <c r="LDP12" s="11"/>
      <c r="LDQ12" s="10"/>
      <c r="LDT12" s="11"/>
      <c r="LDU12" s="10"/>
      <c r="LDX12" s="11"/>
      <c r="LDY12" s="10"/>
      <c r="LEB12" s="11"/>
      <c r="LEC12" s="10"/>
      <c r="LEF12" s="11"/>
      <c r="LEG12" s="10"/>
      <c r="LEJ12" s="11"/>
      <c r="LEK12" s="10"/>
      <c r="LEN12" s="11"/>
      <c r="LEO12" s="10"/>
      <c r="LER12" s="11"/>
      <c r="LES12" s="10"/>
      <c r="LEV12" s="11"/>
      <c r="LEW12" s="10"/>
      <c r="LEZ12" s="11"/>
      <c r="LFA12" s="10"/>
      <c r="LFD12" s="11"/>
      <c r="LFE12" s="10"/>
      <c r="LFH12" s="11"/>
      <c r="LFI12" s="10"/>
      <c r="LFL12" s="11"/>
      <c r="LFM12" s="10"/>
      <c r="LFP12" s="11"/>
      <c r="LFQ12" s="10"/>
      <c r="LFT12" s="11"/>
      <c r="LFU12" s="10"/>
      <c r="LFX12" s="11"/>
      <c r="LFY12" s="10"/>
      <c r="LGB12" s="11"/>
      <c r="LGC12" s="10"/>
      <c r="LGF12" s="11"/>
      <c r="LGG12" s="10"/>
      <c r="LGJ12" s="11"/>
      <c r="LGK12" s="10"/>
      <c r="LGN12" s="11"/>
      <c r="LGO12" s="10"/>
      <c r="LGR12" s="11"/>
      <c r="LGS12" s="10"/>
      <c r="LGV12" s="11"/>
      <c r="LGW12" s="10"/>
      <c r="LGZ12" s="11"/>
      <c r="LHA12" s="10"/>
      <c r="LHD12" s="11"/>
      <c r="LHE12" s="10"/>
      <c r="LHH12" s="11"/>
      <c r="LHI12" s="10"/>
      <c r="LHL12" s="11"/>
      <c r="LHM12" s="10"/>
      <c r="LHP12" s="11"/>
      <c r="LHQ12" s="10"/>
      <c r="LHT12" s="11"/>
      <c r="LHU12" s="10"/>
      <c r="LHX12" s="11"/>
      <c r="LHY12" s="10"/>
      <c r="LIB12" s="11"/>
      <c r="LIC12" s="10"/>
      <c r="LIF12" s="11"/>
      <c r="LIG12" s="10"/>
      <c r="LIJ12" s="11"/>
      <c r="LIK12" s="10"/>
      <c r="LIN12" s="11"/>
      <c r="LIO12" s="10"/>
      <c r="LIR12" s="11"/>
      <c r="LIS12" s="10"/>
      <c r="LIV12" s="11"/>
      <c r="LIW12" s="10"/>
      <c r="LIZ12" s="11"/>
      <c r="LJA12" s="10"/>
      <c r="LJD12" s="11"/>
      <c r="LJE12" s="10"/>
      <c r="LJH12" s="11"/>
      <c r="LJI12" s="10"/>
      <c r="LJL12" s="11"/>
      <c r="LJM12" s="10"/>
      <c r="LJP12" s="11"/>
      <c r="LJQ12" s="10"/>
      <c r="LJT12" s="11"/>
      <c r="LJU12" s="10"/>
      <c r="LJX12" s="11"/>
      <c r="LJY12" s="10"/>
      <c r="LKB12" s="11"/>
      <c r="LKC12" s="10"/>
      <c r="LKF12" s="11"/>
      <c r="LKG12" s="10"/>
      <c r="LKJ12" s="11"/>
      <c r="LKK12" s="10"/>
      <c r="LKN12" s="11"/>
      <c r="LKO12" s="10"/>
      <c r="LKR12" s="11"/>
      <c r="LKS12" s="10"/>
      <c r="LKV12" s="11"/>
      <c r="LKW12" s="10"/>
      <c r="LKZ12" s="11"/>
      <c r="LLA12" s="10"/>
      <c r="LLD12" s="11"/>
      <c r="LLE12" s="10"/>
      <c r="LLH12" s="11"/>
      <c r="LLI12" s="10"/>
      <c r="LLL12" s="11"/>
      <c r="LLM12" s="10"/>
      <c r="LLP12" s="11"/>
      <c r="LLQ12" s="10"/>
      <c r="LLT12" s="11"/>
      <c r="LLU12" s="10"/>
      <c r="LLX12" s="11"/>
      <c r="LLY12" s="10"/>
      <c r="LMB12" s="11"/>
      <c r="LMC12" s="10"/>
      <c r="LMF12" s="11"/>
      <c r="LMG12" s="10"/>
      <c r="LMJ12" s="11"/>
      <c r="LMK12" s="10"/>
      <c r="LMN12" s="11"/>
      <c r="LMO12" s="10"/>
      <c r="LMR12" s="11"/>
      <c r="LMS12" s="10"/>
      <c r="LMV12" s="11"/>
      <c r="LMW12" s="10"/>
      <c r="LMZ12" s="11"/>
      <c r="LNA12" s="10"/>
      <c r="LND12" s="11"/>
      <c r="LNE12" s="10"/>
      <c r="LNH12" s="11"/>
      <c r="LNI12" s="10"/>
      <c r="LNL12" s="11"/>
      <c r="LNM12" s="10"/>
      <c r="LNP12" s="11"/>
      <c r="LNQ12" s="10"/>
      <c r="LNT12" s="11"/>
      <c r="LNU12" s="10"/>
      <c r="LNX12" s="11"/>
      <c r="LNY12" s="10"/>
      <c r="LOB12" s="11"/>
      <c r="LOC12" s="10"/>
      <c r="LOF12" s="11"/>
      <c r="LOG12" s="10"/>
      <c r="LOJ12" s="11"/>
      <c r="LOK12" s="10"/>
      <c r="LON12" s="11"/>
      <c r="LOO12" s="10"/>
      <c r="LOR12" s="11"/>
      <c r="LOS12" s="10"/>
      <c r="LOV12" s="11"/>
      <c r="LOW12" s="10"/>
      <c r="LOZ12" s="11"/>
      <c r="LPA12" s="10"/>
      <c r="LPD12" s="11"/>
      <c r="LPE12" s="10"/>
      <c r="LPH12" s="11"/>
      <c r="LPI12" s="10"/>
      <c r="LPL12" s="11"/>
      <c r="LPM12" s="10"/>
      <c r="LPP12" s="11"/>
      <c r="LPQ12" s="10"/>
      <c r="LPT12" s="11"/>
      <c r="LPU12" s="10"/>
      <c r="LPX12" s="11"/>
      <c r="LPY12" s="10"/>
      <c r="LQB12" s="11"/>
      <c r="LQC12" s="10"/>
      <c r="LQF12" s="11"/>
      <c r="LQG12" s="10"/>
      <c r="LQJ12" s="11"/>
      <c r="LQK12" s="10"/>
      <c r="LQN12" s="11"/>
      <c r="LQO12" s="10"/>
      <c r="LQR12" s="11"/>
      <c r="LQS12" s="10"/>
      <c r="LQV12" s="11"/>
      <c r="LQW12" s="10"/>
      <c r="LQZ12" s="11"/>
      <c r="LRA12" s="10"/>
      <c r="LRD12" s="11"/>
      <c r="LRE12" s="10"/>
      <c r="LRH12" s="11"/>
      <c r="LRI12" s="10"/>
      <c r="LRL12" s="11"/>
      <c r="LRM12" s="10"/>
      <c r="LRP12" s="11"/>
      <c r="LRQ12" s="10"/>
      <c r="LRT12" s="11"/>
      <c r="LRU12" s="10"/>
      <c r="LRX12" s="11"/>
      <c r="LRY12" s="10"/>
      <c r="LSB12" s="11"/>
      <c r="LSC12" s="10"/>
      <c r="LSF12" s="11"/>
      <c r="LSG12" s="10"/>
      <c r="LSJ12" s="11"/>
      <c r="LSK12" s="10"/>
      <c r="LSN12" s="11"/>
      <c r="LSO12" s="10"/>
      <c r="LSR12" s="11"/>
      <c r="LSS12" s="10"/>
      <c r="LSV12" s="11"/>
      <c r="LSW12" s="10"/>
      <c r="LSZ12" s="11"/>
      <c r="LTA12" s="10"/>
      <c r="LTD12" s="11"/>
      <c r="LTE12" s="10"/>
      <c r="LTH12" s="11"/>
      <c r="LTI12" s="10"/>
      <c r="LTL12" s="11"/>
      <c r="LTM12" s="10"/>
      <c r="LTP12" s="11"/>
      <c r="LTQ12" s="10"/>
      <c r="LTT12" s="11"/>
      <c r="LTU12" s="10"/>
      <c r="LTX12" s="11"/>
      <c r="LTY12" s="10"/>
      <c r="LUB12" s="11"/>
      <c r="LUC12" s="10"/>
      <c r="LUF12" s="11"/>
      <c r="LUG12" s="10"/>
      <c r="LUJ12" s="11"/>
      <c r="LUK12" s="10"/>
      <c r="LUN12" s="11"/>
      <c r="LUO12" s="10"/>
      <c r="LUR12" s="11"/>
      <c r="LUS12" s="10"/>
      <c r="LUV12" s="11"/>
      <c r="LUW12" s="10"/>
      <c r="LUZ12" s="11"/>
      <c r="LVA12" s="10"/>
      <c r="LVD12" s="11"/>
      <c r="LVE12" s="10"/>
      <c r="LVH12" s="11"/>
      <c r="LVI12" s="10"/>
      <c r="LVL12" s="11"/>
      <c r="LVM12" s="10"/>
      <c r="LVP12" s="11"/>
      <c r="LVQ12" s="10"/>
      <c r="LVT12" s="11"/>
      <c r="LVU12" s="10"/>
      <c r="LVX12" s="11"/>
      <c r="LVY12" s="10"/>
      <c r="LWB12" s="11"/>
      <c r="LWC12" s="10"/>
      <c r="LWF12" s="11"/>
      <c r="LWG12" s="10"/>
      <c r="LWJ12" s="11"/>
      <c r="LWK12" s="10"/>
      <c r="LWN12" s="11"/>
      <c r="LWO12" s="10"/>
      <c r="LWR12" s="11"/>
      <c r="LWS12" s="10"/>
      <c r="LWV12" s="11"/>
      <c r="LWW12" s="10"/>
      <c r="LWZ12" s="11"/>
      <c r="LXA12" s="10"/>
      <c r="LXD12" s="11"/>
      <c r="LXE12" s="10"/>
      <c r="LXH12" s="11"/>
      <c r="LXI12" s="10"/>
      <c r="LXL12" s="11"/>
      <c r="LXM12" s="10"/>
      <c r="LXP12" s="11"/>
      <c r="LXQ12" s="10"/>
      <c r="LXT12" s="11"/>
      <c r="LXU12" s="10"/>
      <c r="LXX12" s="11"/>
      <c r="LXY12" s="10"/>
      <c r="LYB12" s="11"/>
      <c r="LYC12" s="10"/>
      <c r="LYF12" s="11"/>
      <c r="LYG12" s="10"/>
      <c r="LYJ12" s="11"/>
      <c r="LYK12" s="10"/>
      <c r="LYN12" s="11"/>
      <c r="LYO12" s="10"/>
      <c r="LYR12" s="11"/>
      <c r="LYS12" s="10"/>
      <c r="LYV12" s="11"/>
      <c r="LYW12" s="10"/>
      <c r="LYZ12" s="11"/>
      <c r="LZA12" s="10"/>
      <c r="LZD12" s="11"/>
      <c r="LZE12" s="10"/>
      <c r="LZH12" s="11"/>
      <c r="LZI12" s="10"/>
      <c r="LZL12" s="11"/>
      <c r="LZM12" s="10"/>
      <c r="LZP12" s="11"/>
      <c r="LZQ12" s="10"/>
      <c r="LZT12" s="11"/>
      <c r="LZU12" s="10"/>
      <c r="LZX12" s="11"/>
      <c r="LZY12" s="10"/>
      <c r="MAB12" s="11"/>
      <c r="MAC12" s="10"/>
      <c r="MAF12" s="11"/>
      <c r="MAG12" s="10"/>
      <c r="MAJ12" s="11"/>
      <c r="MAK12" s="10"/>
      <c r="MAN12" s="11"/>
      <c r="MAO12" s="10"/>
      <c r="MAR12" s="11"/>
      <c r="MAS12" s="10"/>
      <c r="MAV12" s="11"/>
      <c r="MAW12" s="10"/>
      <c r="MAZ12" s="11"/>
      <c r="MBA12" s="10"/>
      <c r="MBD12" s="11"/>
      <c r="MBE12" s="10"/>
      <c r="MBH12" s="11"/>
      <c r="MBI12" s="10"/>
      <c r="MBL12" s="11"/>
      <c r="MBM12" s="10"/>
      <c r="MBP12" s="11"/>
      <c r="MBQ12" s="10"/>
      <c r="MBT12" s="11"/>
      <c r="MBU12" s="10"/>
      <c r="MBX12" s="11"/>
      <c r="MBY12" s="10"/>
      <c r="MCB12" s="11"/>
      <c r="MCC12" s="10"/>
      <c r="MCF12" s="11"/>
      <c r="MCG12" s="10"/>
      <c r="MCJ12" s="11"/>
      <c r="MCK12" s="10"/>
      <c r="MCN12" s="11"/>
      <c r="MCO12" s="10"/>
      <c r="MCR12" s="11"/>
      <c r="MCS12" s="10"/>
      <c r="MCV12" s="11"/>
      <c r="MCW12" s="10"/>
      <c r="MCZ12" s="11"/>
      <c r="MDA12" s="10"/>
      <c r="MDD12" s="11"/>
      <c r="MDE12" s="10"/>
      <c r="MDH12" s="11"/>
      <c r="MDI12" s="10"/>
      <c r="MDL12" s="11"/>
      <c r="MDM12" s="10"/>
      <c r="MDP12" s="11"/>
      <c r="MDQ12" s="10"/>
      <c r="MDT12" s="11"/>
      <c r="MDU12" s="10"/>
      <c r="MDX12" s="11"/>
      <c r="MDY12" s="10"/>
      <c r="MEB12" s="11"/>
      <c r="MEC12" s="10"/>
      <c r="MEF12" s="11"/>
      <c r="MEG12" s="10"/>
      <c r="MEJ12" s="11"/>
      <c r="MEK12" s="10"/>
      <c r="MEN12" s="11"/>
      <c r="MEO12" s="10"/>
      <c r="MER12" s="11"/>
      <c r="MES12" s="10"/>
      <c r="MEV12" s="11"/>
      <c r="MEW12" s="10"/>
      <c r="MEZ12" s="11"/>
      <c r="MFA12" s="10"/>
      <c r="MFD12" s="11"/>
      <c r="MFE12" s="10"/>
      <c r="MFH12" s="11"/>
      <c r="MFI12" s="10"/>
      <c r="MFL12" s="11"/>
      <c r="MFM12" s="10"/>
      <c r="MFP12" s="11"/>
      <c r="MFQ12" s="10"/>
      <c r="MFT12" s="11"/>
      <c r="MFU12" s="10"/>
      <c r="MFX12" s="11"/>
      <c r="MFY12" s="10"/>
      <c r="MGB12" s="11"/>
      <c r="MGC12" s="10"/>
      <c r="MGF12" s="11"/>
      <c r="MGG12" s="10"/>
      <c r="MGJ12" s="11"/>
      <c r="MGK12" s="10"/>
      <c r="MGN12" s="11"/>
      <c r="MGO12" s="10"/>
      <c r="MGR12" s="11"/>
      <c r="MGS12" s="10"/>
      <c r="MGV12" s="11"/>
      <c r="MGW12" s="10"/>
      <c r="MGZ12" s="11"/>
      <c r="MHA12" s="10"/>
      <c r="MHD12" s="11"/>
      <c r="MHE12" s="10"/>
      <c r="MHH12" s="11"/>
      <c r="MHI12" s="10"/>
      <c r="MHL12" s="11"/>
      <c r="MHM12" s="10"/>
      <c r="MHP12" s="11"/>
      <c r="MHQ12" s="10"/>
      <c r="MHT12" s="11"/>
      <c r="MHU12" s="10"/>
      <c r="MHX12" s="11"/>
      <c r="MHY12" s="10"/>
      <c r="MIB12" s="11"/>
      <c r="MIC12" s="10"/>
      <c r="MIF12" s="11"/>
      <c r="MIG12" s="10"/>
      <c r="MIJ12" s="11"/>
      <c r="MIK12" s="10"/>
      <c r="MIN12" s="11"/>
      <c r="MIO12" s="10"/>
      <c r="MIR12" s="11"/>
      <c r="MIS12" s="10"/>
      <c r="MIV12" s="11"/>
      <c r="MIW12" s="10"/>
      <c r="MIZ12" s="11"/>
      <c r="MJA12" s="10"/>
      <c r="MJD12" s="11"/>
      <c r="MJE12" s="10"/>
      <c r="MJH12" s="11"/>
      <c r="MJI12" s="10"/>
      <c r="MJL12" s="11"/>
      <c r="MJM12" s="10"/>
      <c r="MJP12" s="11"/>
      <c r="MJQ12" s="10"/>
      <c r="MJT12" s="11"/>
      <c r="MJU12" s="10"/>
      <c r="MJX12" s="11"/>
      <c r="MJY12" s="10"/>
      <c r="MKB12" s="11"/>
      <c r="MKC12" s="10"/>
      <c r="MKF12" s="11"/>
      <c r="MKG12" s="10"/>
      <c r="MKJ12" s="11"/>
      <c r="MKK12" s="10"/>
      <c r="MKN12" s="11"/>
      <c r="MKO12" s="10"/>
      <c r="MKR12" s="11"/>
      <c r="MKS12" s="10"/>
      <c r="MKV12" s="11"/>
      <c r="MKW12" s="10"/>
      <c r="MKZ12" s="11"/>
      <c r="MLA12" s="10"/>
      <c r="MLD12" s="11"/>
      <c r="MLE12" s="10"/>
      <c r="MLH12" s="11"/>
      <c r="MLI12" s="10"/>
      <c r="MLL12" s="11"/>
      <c r="MLM12" s="10"/>
      <c r="MLP12" s="11"/>
      <c r="MLQ12" s="10"/>
      <c r="MLT12" s="11"/>
      <c r="MLU12" s="10"/>
      <c r="MLX12" s="11"/>
      <c r="MLY12" s="10"/>
      <c r="MMB12" s="11"/>
      <c r="MMC12" s="10"/>
      <c r="MMF12" s="11"/>
      <c r="MMG12" s="10"/>
      <c r="MMJ12" s="11"/>
      <c r="MMK12" s="10"/>
      <c r="MMN12" s="11"/>
      <c r="MMO12" s="10"/>
      <c r="MMR12" s="11"/>
      <c r="MMS12" s="10"/>
      <c r="MMV12" s="11"/>
      <c r="MMW12" s="10"/>
      <c r="MMZ12" s="11"/>
      <c r="MNA12" s="10"/>
      <c r="MND12" s="11"/>
      <c r="MNE12" s="10"/>
      <c r="MNH12" s="11"/>
      <c r="MNI12" s="10"/>
      <c r="MNL12" s="11"/>
      <c r="MNM12" s="10"/>
      <c r="MNP12" s="11"/>
      <c r="MNQ12" s="10"/>
      <c r="MNT12" s="11"/>
      <c r="MNU12" s="10"/>
      <c r="MNX12" s="11"/>
      <c r="MNY12" s="10"/>
      <c r="MOB12" s="11"/>
      <c r="MOC12" s="10"/>
      <c r="MOF12" s="11"/>
      <c r="MOG12" s="10"/>
      <c r="MOJ12" s="11"/>
      <c r="MOK12" s="10"/>
      <c r="MON12" s="11"/>
      <c r="MOO12" s="10"/>
      <c r="MOR12" s="11"/>
      <c r="MOS12" s="10"/>
      <c r="MOV12" s="11"/>
      <c r="MOW12" s="10"/>
      <c r="MOZ12" s="11"/>
      <c r="MPA12" s="10"/>
      <c r="MPD12" s="11"/>
      <c r="MPE12" s="10"/>
      <c r="MPH12" s="11"/>
      <c r="MPI12" s="10"/>
      <c r="MPL12" s="11"/>
      <c r="MPM12" s="10"/>
      <c r="MPP12" s="11"/>
      <c r="MPQ12" s="10"/>
      <c r="MPT12" s="11"/>
      <c r="MPU12" s="10"/>
      <c r="MPX12" s="11"/>
      <c r="MPY12" s="10"/>
      <c r="MQB12" s="11"/>
      <c r="MQC12" s="10"/>
      <c r="MQF12" s="11"/>
      <c r="MQG12" s="10"/>
      <c r="MQJ12" s="11"/>
      <c r="MQK12" s="10"/>
      <c r="MQN12" s="11"/>
      <c r="MQO12" s="10"/>
      <c r="MQR12" s="11"/>
      <c r="MQS12" s="10"/>
      <c r="MQV12" s="11"/>
      <c r="MQW12" s="10"/>
      <c r="MQZ12" s="11"/>
      <c r="MRA12" s="10"/>
      <c r="MRD12" s="11"/>
      <c r="MRE12" s="10"/>
      <c r="MRH12" s="11"/>
      <c r="MRI12" s="10"/>
      <c r="MRL12" s="11"/>
      <c r="MRM12" s="10"/>
      <c r="MRP12" s="11"/>
      <c r="MRQ12" s="10"/>
      <c r="MRT12" s="11"/>
      <c r="MRU12" s="10"/>
      <c r="MRX12" s="11"/>
      <c r="MRY12" s="10"/>
      <c r="MSB12" s="11"/>
      <c r="MSC12" s="10"/>
      <c r="MSF12" s="11"/>
      <c r="MSG12" s="10"/>
      <c r="MSJ12" s="11"/>
      <c r="MSK12" s="10"/>
      <c r="MSN12" s="11"/>
      <c r="MSO12" s="10"/>
      <c r="MSR12" s="11"/>
      <c r="MSS12" s="10"/>
      <c r="MSV12" s="11"/>
      <c r="MSW12" s="10"/>
      <c r="MSZ12" s="11"/>
      <c r="MTA12" s="10"/>
      <c r="MTD12" s="11"/>
      <c r="MTE12" s="10"/>
      <c r="MTH12" s="11"/>
      <c r="MTI12" s="10"/>
      <c r="MTL12" s="11"/>
      <c r="MTM12" s="10"/>
      <c r="MTP12" s="11"/>
      <c r="MTQ12" s="10"/>
      <c r="MTT12" s="11"/>
      <c r="MTU12" s="10"/>
      <c r="MTX12" s="11"/>
      <c r="MTY12" s="10"/>
      <c r="MUB12" s="11"/>
      <c r="MUC12" s="10"/>
      <c r="MUF12" s="11"/>
      <c r="MUG12" s="10"/>
      <c r="MUJ12" s="11"/>
      <c r="MUK12" s="10"/>
      <c r="MUN12" s="11"/>
      <c r="MUO12" s="10"/>
      <c r="MUR12" s="11"/>
      <c r="MUS12" s="10"/>
      <c r="MUV12" s="11"/>
      <c r="MUW12" s="10"/>
      <c r="MUZ12" s="11"/>
      <c r="MVA12" s="10"/>
      <c r="MVD12" s="11"/>
      <c r="MVE12" s="10"/>
      <c r="MVH12" s="11"/>
      <c r="MVI12" s="10"/>
      <c r="MVL12" s="11"/>
      <c r="MVM12" s="10"/>
      <c r="MVP12" s="11"/>
      <c r="MVQ12" s="10"/>
      <c r="MVT12" s="11"/>
      <c r="MVU12" s="10"/>
      <c r="MVX12" s="11"/>
      <c r="MVY12" s="10"/>
      <c r="MWB12" s="11"/>
      <c r="MWC12" s="10"/>
      <c r="MWF12" s="11"/>
      <c r="MWG12" s="10"/>
      <c r="MWJ12" s="11"/>
      <c r="MWK12" s="10"/>
      <c r="MWN12" s="11"/>
      <c r="MWO12" s="10"/>
      <c r="MWR12" s="11"/>
      <c r="MWS12" s="10"/>
      <c r="MWV12" s="11"/>
      <c r="MWW12" s="10"/>
      <c r="MWZ12" s="11"/>
      <c r="MXA12" s="10"/>
      <c r="MXD12" s="11"/>
      <c r="MXE12" s="10"/>
      <c r="MXH12" s="11"/>
      <c r="MXI12" s="10"/>
      <c r="MXL12" s="11"/>
      <c r="MXM12" s="10"/>
      <c r="MXP12" s="11"/>
      <c r="MXQ12" s="10"/>
      <c r="MXT12" s="11"/>
      <c r="MXU12" s="10"/>
      <c r="MXX12" s="11"/>
      <c r="MXY12" s="10"/>
      <c r="MYB12" s="11"/>
      <c r="MYC12" s="10"/>
      <c r="MYF12" s="11"/>
      <c r="MYG12" s="10"/>
      <c r="MYJ12" s="11"/>
      <c r="MYK12" s="10"/>
      <c r="MYN12" s="11"/>
      <c r="MYO12" s="10"/>
      <c r="MYR12" s="11"/>
      <c r="MYS12" s="10"/>
      <c r="MYV12" s="11"/>
      <c r="MYW12" s="10"/>
      <c r="MYZ12" s="11"/>
      <c r="MZA12" s="10"/>
      <c r="MZD12" s="11"/>
      <c r="MZE12" s="10"/>
      <c r="MZH12" s="11"/>
      <c r="MZI12" s="10"/>
      <c r="MZL12" s="11"/>
      <c r="MZM12" s="10"/>
      <c r="MZP12" s="11"/>
      <c r="MZQ12" s="10"/>
      <c r="MZT12" s="11"/>
      <c r="MZU12" s="10"/>
      <c r="MZX12" s="11"/>
      <c r="MZY12" s="10"/>
      <c r="NAB12" s="11"/>
      <c r="NAC12" s="10"/>
      <c r="NAF12" s="11"/>
      <c r="NAG12" s="10"/>
      <c r="NAJ12" s="11"/>
      <c r="NAK12" s="10"/>
      <c r="NAN12" s="11"/>
      <c r="NAO12" s="10"/>
      <c r="NAR12" s="11"/>
      <c r="NAS12" s="10"/>
      <c r="NAV12" s="11"/>
      <c r="NAW12" s="10"/>
      <c r="NAZ12" s="11"/>
      <c r="NBA12" s="10"/>
      <c r="NBD12" s="11"/>
      <c r="NBE12" s="10"/>
      <c r="NBH12" s="11"/>
      <c r="NBI12" s="10"/>
      <c r="NBL12" s="11"/>
      <c r="NBM12" s="10"/>
      <c r="NBP12" s="11"/>
      <c r="NBQ12" s="10"/>
      <c r="NBT12" s="11"/>
      <c r="NBU12" s="10"/>
      <c r="NBX12" s="11"/>
      <c r="NBY12" s="10"/>
      <c r="NCB12" s="11"/>
      <c r="NCC12" s="10"/>
      <c r="NCF12" s="11"/>
      <c r="NCG12" s="10"/>
      <c r="NCJ12" s="11"/>
      <c r="NCK12" s="10"/>
      <c r="NCN12" s="11"/>
      <c r="NCO12" s="10"/>
      <c r="NCR12" s="11"/>
      <c r="NCS12" s="10"/>
      <c r="NCV12" s="11"/>
      <c r="NCW12" s="10"/>
      <c r="NCZ12" s="11"/>
      <c r="NDA12" s="10"/>
      <c r="NDD12" s="11"/>
      <c r="NDE12" s="10"/>
      <c r="NDH12" s="11"/>
      <c r="NDI12" s="10"/>
      <c r="NDL12" s="11"/>
      <c r="NDM12" s="10"/>
      <c r="NDP12" s="11"/>
      <c r="NDQ12" s="10"/>
      <c r="NDT12" s="11"/>
      <c r="NDU12" s="10"/>
      <c r="NDX12" s="11"/>
      <c r="NDY12" s="10"/>
      <c r="NEB12" s="11"/>
      <c r="NEC12" s="10"/>
      <c r="NEF12" s="11"/>
      <c r="NEG12" s="10"/>
      <c r="NEJ12" s="11"/>
      <c r="NEK12" s="10"/>
      <c r="NEN12" s="11"/>
      <c r="NEO12" s="10"/>
      <c r="NER12" s="11"/>
      <c r="NES12" s="10"/>
      <c r="NEV12" s="11"/>
      <c r="NEW12" s="10"/>
      <c r="NEZ12" s="11"/>
      <c r="NFA12" s="10"/>
      <c r="NFD12" s="11"/>
      <c r="NFE12" s="10"/>
      <c r="NFH12" s="11"/>
      <c r="NFI12" s="10"/>
      <c r="NFL12" s="11"/>
      <c r="NFM12" s="10"/>
      <c r="NFP12" s="11"/>
      <c r="NFQ12" s="10"/>
      <c r="NFT12" s="11"/>
      <c r="NFU12" s="10"/>
      <c r="NFX12" s="11"/>
      <c r="NFY12" s="10"/>
      <c r="NGB12" s="11"/>
      <c r="NGC12" s="10"/>
      <c r="NGF12" s="11"/>
      <c r="NGG12" s="10"/>
      <c r="NGJ12" s="11"/>
      <c r="NGK12" s="10"/>
      <c r="NGN12" s="11"/>
      <c r="NGO12" s="10"/>
      <c r="NGR12" s="11"/>
      <c r="NGS12" s="10"/>
      <c r="NGV12" s="11"/>
      <c r="NGW12" s="10"/>
      <c r="NGZ12" s="11"/>
      <c r="NHA12" s="10"/>
      <c r="NHD12" s="11"/>
      <c r="NHE12" s="10"/>
      <c r="NHH12" s="11"/>
      <c r="NHI12" s="10"/>
      <c r="NHL12" s="11"/>
      <c r="NHM12" s="10"/>
      <c r="NHP12" s="11"/>
      <c r="NHQ12" s="10"/>
      <c r="NHT12" s="11"/>
      <c r="NHU12" s="10"/>
      <c r="NHX12" s="11"/>
      <c r="NHY12" s="10"/>
      <c r="NIB12" s="11"/>
      <c r="NIC12" s="10"/>
      <c r="NIF12" s="11"/>
      <c r="NIG12" s="10"/>
      <c r="NIJ12" s="11"/>
      <c r="NIK12" s="10"/>
      <c r="NIN12" s="11"/>
      <c r="NIO12" s="10"/>
      <c r="NIR12" s="11"/>
      <c r="NIS12" s="10"/>
      <c r="NIV12" s="11"/>
      <c r="NIW12" s="10"/>
      <c r="NIZ12" s="11"/>
      <c r="NJA12" s="10"/>
      <c r="NJD12" s="11"/>
      <c r="NJE12" s="10"/>
      <c r="NJH12" s="11"/>
      <c r="NJI12" s="10"/>
      <c r="NJL12" s="11"/>
      <c r="NJM12" s="10"/>
      <c r="NJP12" s="11"/>
      <c r="NJQ12" s="10"/>
      <c r="NJT12" s="11"/>
      <c r="NJU12" s="10"/>
      <c r="NJX12" s="11"/>
      <c r="NJY12" s="10"/>
      <c r="NKB12" s="11"/>
      <c r="NKC12" s="10"/>
      <c r="NKF12" s="11"/>
      <c r="NKG12" s="10"/>
      <c r="NKJ12" s="11"/>
      <c r="NKK12" s="10"/>
      <c r="NKN12" s="11"/>
      <c r="NKO12" s="10"/>
      <c r="NKR12" s="11"/>
      <c r="NKS12" s="10"/>
      <c r="NKV12" s="11"/>
      <c r="NKW12" s="10"/>
      <c r="NKZ12" s="11"/>
      <c r="NLA12" s="10"/>
      <c r="NLD12" s="11"/>
      <c r="NLE12" s="10"/>
      <c r="NLH12" s="11"/>
      <c r="NLI12" s="10"/>
      <c r="NLL12" s="11"/>
      <c r="NLM12" s="10"/>
      <c r="NLP12" s="11"/>
      <c r="NLQ12" s="10"/>
      <c r="NLT12" s="11"/>
      <c r="NLU12" s="10"/>
      <c r="NLX12" s="11"/>
      <c r="NLY12" s="10"/>
      <c r="NMB12" s="11"/>
      <c r="NMC12" s="10"/>
      <c r="NMF12" s="11"/>
      <c r="NMG12" s="10"/>
      <c r="NMJ12" s="11"/>
      <c r="NMK12" s="10"/>
      <c r="NMN12" s="11"/>
      <c r="NMO12" s="10"/>
      <c r="NMR12" s="11"/>
      <c r="NMS12" s="10"/>
      <c r="NMV12" s="11"/>
      <c r="NMW12" s="10"/>
      <c r="NMZ12" s="11"/>
      <c r="NNA12" s="10"/>
      <c r="NND12" s="11"/>
      <c r="NNE12" s="10"/>
      <c r="NNH12" s="11"/>
      <c r="NNI12" s="10"/>
      <c r="NNL12" s="11"/>
      <c r="NNM12" s="10"/>
      <c r="NNP12" s="11"/>
      <c r="NNQ12" s="10"/>
      <c r="NNT12" s="11"/>
      <c r="NNU12" s="10"/>
      <c r="NNX12" s="11"/>
      <c r="NNY12" s="10"/>
      <c r="NOB12" s="11"/>
      <c r="NOC12" s="10"/>
      <c r="NOF12" s="11"/>
      <c r="NOG12" s="10"/>
      <c r="NOJ12" s="11"/>
      <c r="NOK12" s="10"/>
      <c r="NON12" s="11"/>
      <c r="NOO12" s="10"/>
      <c r="NOR12" s="11"/>
      <c r="NOS12" s="10"/>
      <c r="NOV12" s="11"/>
      <c r="NOW12" s="10"/>
      <c r="NOZ12" s="11"/>
      <c r="NPA12" s="10"/>
      <c r="NPD12" s="11"/>
      <c r="NPE12" s="10"/>
      <c r="NPH12" s="11"/>
      <c r="NPI12" s="10"/>
      <c r="NPL12" s="11"/>
      <c r="NPM12" s="10"/>
      <c r="NPP12" s="11"/>
      <c r="NPQ12" s="10"/>
      <c r="NPT12" s="11"/>
      <c r="NPU12" s="10"/>
      <c r="NPX12" s="11"/>
      <c r="NPY12" s="10"/>
      <c r="NQB12" s="11"/>
      <c r="NQC12" s="10"/>
      <c r="NQF12" s="11"/>
      <c r="NQG12" s="10"/>
      <c r="NQJ12" s="11"/>
      <c r="NQK12" s="10"/>
      <c r="NQN12" s="11"/>
      <c r="NQO12" s="10"/>
      <c r="NQR12" s="11"/>
      <c r="NQS12" s="10"/>
      <c r="NQV12" s="11"/>
      <c r="NQW12" s="10"/>
      <c r="NQZ12" s="11"/>
      <c r="NRA12" s="10"/>
      <c r="NRD12" s="11"/>
      <c r="NRE12" s="10"/>
      <c r="NRH12" s="11"/>
      <c r="NRI12" s="10"/>
      <c r="NRL12" s="11"/>
      <c r="NRM12" s="10"/>
      <c r="NRP12" s="11"/>
      <c r="NRQ12" s="10"/>
      <c r="NRT12" s="11"/>
      <c r="NRU12" s="10"/>
      <c r="NRX12" s="11"/>
      <c r="NRY12" s="10"/>
      <c r="NSB12" s="11"/>
      <c r="NSC12" s="10"/>
      <c r="NSF12" s="11"/>
      <c r="NSG12" s="10"/>
      <c r="NSJ12" s="11"/>
      <c r="NSK12" s="10"/>
      <c r="NSN12" s="11"/>
      <c r="NSO12" s="10"/>
      <c r="NSR12" s="11"/>
      <c r="NSS12" s="10"/>
      <c r="NSV12" s="11"/>
      <c r="NSW12" s="10"/>
      <c r="NSZ12" s="11"/>
      <c r="NTA12" s="10"/>
      <c r="NTD12" s="11"/>
      <c r="NTE12" s="10"/>
      <c r="NTH12" s="11"/>
      <c r="NTI12" s="10"/>
      <c r="NTL12" s="11"/>
      <c r="NTM12" s="10"/>
      <c r="NTP12" s="11"/>
      <c r="NTQ12" s="10"/>
      <c r="NTT12" s="11"/>
      <c r="NTU12" s="10"/>
      <c r="NTX12" s="11"/>
      <c r="NTY12" s="10"/>
      <c r="NUB12" s="11"/>
      <c r="NUC12" s="10"/>
      <c r="NUF12" s="11"/>
      <c r="NUG12" s="10"/>
      <c r="NUJ12" s="11"/>
      <c r="NUK12" s="10"/>
      <c r="NUN12" s="11"/>
      <c r="NUO12" s="10"/>
      <c r="NUR12" s="11"/>
      <c r="NUS12" s="10"/>
      <c r="NUV12" s="11"/>
      <c r="NUW12" s="10"/>
      <c r="NUZ12" s="11"/>
      <c r="NVA12" s="10"/>
      <c r="NVD12" s="11"/>
      <c r="NVE12" s="10"/>
      <c r="NVH12" s="11"/>
      <c r="NVI12" s="10"/>
      <c r="NVL12" s="11"/>
      <c r="NVM12" s="10"/>
      <c r="NVP12" s="11"/>
      <c r="NVQ12" s="10"/>
      <c r="NVT12" s="11"/>
      <c r="NVU12" s="10"/>
      <c r="NVX12" s="11"/>
      <c r="NVY12" s="10"/>
      <c r="NWB12" s="11"/>
      <c r="NWC12" s="10"/>
      <c r="NWF12" s="11"/>
      <c r="NWG12" s="10"/>
      <c r="NWJ12" s="11"/>
      <c r="NWK12" s="10"/>
      <c r="NWN12" s="11"/>
      <c r="NWO12" s="10"/>
      <c r="NWR12" s="11"/>
      <c r="NWS12" s="10"/>
      <c r="NWV12" s="11"/>
      <c r="NWW12" s="10"/>
      <c r="NWZ12" s="11"/>
      <c r="NXA12" s="10"/>
      <c r="NXD12" s="11"/>
      <c r="NXE12" s="10"/>
      <c r="NXH12" s="11"/>
      <c r="NXI12" s="10"/>
      <c r="NXL12" s="11"/>
      <c r="NXM12" s="10"/>
      <c r="NXP12" s="11"/>
      <c r="NXQ12" s="10"/>
      <c r="NXT12" s="11"/>
      <c r="NXU12" s="10"/>
      <c r="NXX12" s="11"/>
      <c r="NXY12" s="10"/>
      <c r="NYB12" s="11"/>
      <c r="NYC12" s="10"/>
      <c r="NYF12" s="11"/>
      <c r="NYG12" s="10"/>
      <c r="NYJ12" s="11"/>
      <c r="NYK12" s="10"/>
      <c r="NYN12" s="11"/>
      <c r="NYO12" s="10"/>
      <c r="NYR12" s="11"/>
      <c r="NYS12" s="10"/>
      <c r="NYV12" s="11"/>
      <c r="NYW12" s="10"/>
      <c r="NYZ12" s="11"/>
      <c r="NZA12" s="10"/>
      <c r="NZD12" s="11"/>
      <c r="NZE12" s="10"/>
      <c r="NZH12" s="11"/>
      <c r="NZI12" s="10"/>
      <c r="NZL12" s="11"/>
      <c r="NZM12" s="10"/>
      <c r="NZP12" s="11"/>
      <c r="NZQ12" s="10"/>
      <c r="NZT12" s="11"/>
      <c r="NZU12" s="10"/>
      <c r="NZX12" s="11"/>
      <c r="NZY12" s="10"/>
      <c r="OAB12" s="11"/>
      <c r="OAC12" s="10"/>
      <c r="OAF12" s="11"/>
      <c r="OAG12" s="10"/>
      <c r="OAJ12" s="11"/>
      <c r="OAK12" s="10"/>
      <c r="OAN12" s="11"/>
      <c r="OAO12" s="10"/>
      <c r="OAR12" s="11"/>
      <c r="OAS12" s="10"/>
      <c r="OAV12" s="11"/>
      <c r="OAW12" s="10"/>
      <c r="OAZ12" s="11"/>
      <c r="OBA12" s="10"/>
      <c r="OBD12" s="11"/>
      <c r="OBE12" s="10"/>
      <c r="OBH12" s="11"/>
      <c r="OBI12" s="10"/>
      <c r="OBL12" s="11"/>
      <c r="OBM12" s="10"/>
      <c r="OBP12" s="11"/>
      <c r="OBQ12" s="10"/>
      <c r="OBT12" s="11"/>
      <c r="OBU12" s="10"/>
      <c r="OBX12" s="11"/>
      <c r="OBY12" s="10"/>
      <c r="OCB12" s="11"/>
      <c r="OCC12" s="10"/>
      <c r="OCF12" s="11"/>
      <c r="OCG12" s="10"/>
      <c r="OCJ12" s="11"/>
      <c r="OCK12" s="10"/>
      <c r="OCN12" s="11"/>
      <c r="OCO12" s="10"/>
      <c r="OCR12" s="11"/>
      <c r="OCS12" s="10"/>
      <c r="OCV12" s="11"/>
      <c r="OCW12" s="10"/>
      <c r="OCZ12" s="11"/>
      <c r="ODA12" s="10"/>
      <c r="ODD12" s="11"/>
      <c r="ODE12" s="10"/>
      <c r="ODH12" s="11"/>
      <c r="ODI12" s="10"/>
      <c r="ODL12" s="11"/>
      <c r="ODM12" s="10"/>
      <c r="ODP12" s="11"/>
      <c r="ODQ12" s="10"/>
      <c r="ODT12" s="11"/>
      <c r="ODU12" s="10"/>
      <c r="ODX12" s="11"/>
      <c r="ODY12" s="10"/>
      <c r="OEB12" s="11"/>
      <c r="OEC12" s="10"/>
      <c r="OEF12" s="11"/>
      <c r="OEG12" s="10"/>
      <c r="OEJ12" s="11"/>
      <c r="OEK12" s="10"/>
      <c r="OEN12" s="11"/>
      <c r="OEO12" s="10"/>
      <c r="OER12" s="11"/>
      <c r="OES12" s="10"/>
      <c r="OEV12" s="11"/>
      <c r="OEW12" s="10"/>
      <c r="OEZ12" s="11"/>
      <c r="OFA12" s="10"/>
      <c r="OFD12" s="11"/>
      <c r="OFE12" s="10"/>
      <c r="OFH12" s="11"/>
      <c r="OFI12" s="10"/>
      <c r="OFL12" s="11"/>
      <c r="OFM12" s="10"/>
      <c r="OFP12" s="11"/>
      <c r="OFQ12" s="10"/>
      <c r="OFT12" s="11"/>
      <c r="OFU12" s="10"/>
      <c r="OFX12" s="11"/>
      <c r="OFY12" s="10"/>
      <c r="OGB12" s="11"/>
      <c r="OGC12" s="10"/>
      <c r="OGF12" s="11"/>
      <c r="OGG12" s="10"/>
      <c r="OGJ12" s="11"/>
      <c r="OGK12" s="10"/>
      <c r="OGN12" s="11"/>
      <c r="OGO12" s="10"/>
      <c r="OGR12" s="11"/>
      <c r="OGS12" s="10"/>
      <c r="OGV12" s="11"/>
      <c r="OGW12" s="10"/>
      <c r="OGZ12" s="11"/>
      <c r="OHA12" s="10"/>
      <c r="OHD12" s="11"/>
      <c r="OHE12" s="10"/>
      <c r="OHH12" s="11"/>
      <c r="OHI12" s="10"/>
      <c r="OHL12" s="11"/>
      <c r="OHM12" s="10"/>
      <c r="OHP12" s="11"/>
      <c r="OHQ12" s="10"/>
      <c r="OHT12" s="11"/>
      <c r="OHU12" s="10"/>
      <c r="OHX12" s="11"/>
      <c r="OHY12" s="10"/>
      <c r="OIB12" s="11"/>
      <c r="OIC12" s="10"/>
      <c r="OIF12" s="11"/>
      <c r="OIG12" s="10"/>
      <c r="OIJ12" s="11"/>
      <c r="OIK12" s="10"/>
      <c r="OIN12" s="11"/>
      <c r="OIO12" s="10"/>
      <c r="OIR12" s="11"/>
      <c r="OIS12" s="10"/>
      <c r="OIV12" s="11"/>
      <c r="OIW12" s="10"/>
      <c r="OIZ12" s="11"/>
      <c r="OJA12" s="10"/>
      <c r="OJD12" s="11"/>
      <c r="OJE12" s="10"/>
      <c r="OJH12" s="11"/>
      <c r="OJI12" s="10"/>
      <c r="OJL12" s="11"/>
      <c r="OJM12" s="10"/>
      <c r="OJP12" s="11"/>
      <c r="OJQ12" s="10"/>
      <c r="OJT12" s="11"/>
      <c r="OJU12" s="10"/>
      <c r="OJX12" s="11"/>
      <c r="OJY12" s="10"/>
      <c r="OKB12" s="11"/>
      <c r="OKC12" s="10"/>
      <c r="OKF12" s="11"/>
      <c r="OKG12" s="10"/>
      <c r="OKJ12" s="11"/>
      <c r="OKK12" s="10"/>
      <c r="OKN12" s="11"/>
      <c r="OKO12" s="10"/>
      <c r="OKR12" s="11"/>
      <c r="OKS12" s="10"/>
      <c r="OKV12" s="11"/>
      <c r="OKW12" s="10"/>
      <c r="OKZ12" s="11"/>
      <c r="OLA12" s="10"/>
      <c r="OLD12" s="11"/>
      <c r="OLE12" s="10"/>
      <c r="OLH12" s="11"/>
      <c r="OLI12" s="10"/>
      <c r="OLL12" s="11"/>
      <c r="OLM12" s="10"/>
      <c r="OLP12" s="11"/>
      <c r="OLQ12" s="10"/>
      <c r="OLT12" s="11"/>
      <c r="OLU12" s="10"/>
      <c r="OLX12" s="11"/>
      <c r="OLY12" s="10"/>
      <c r="OMB12" s="11"/>
      <c r="OMC12" s="10"/>
      <c r="OMF12" s="11"/>
      <c r="OMG12" s="10"/>
      <c r="OMJ12" s="11"/>
      <c r="OMK12" s="10"/>
      <c r="OMN12" s="11"/>
      <c r="OMO12" s="10"/>
      <c r="OMR12" s="11"/>
      <c r="OMS12" s="10"/>
      <c r="OMV12" s="11"/>
      <c r="OMW12" s="10"/>
      <c r="OMZ12" s="11"/>
      <c r="ONA12" s="10"/>
      <c r="OND12" s="11"/>
      <c r="ONE12" s="10"/>
      <c r="ONH12" s="11"/>
      <c r="ONI12" s="10"/>
      <c r="ONL12" s="11"/>
      <c r="ONM12" s="10"/>
      <c r="ONP12" s="11"/>
      <c r="ONQ12" s="10"/>
      <c r="ONT12" s="11"/>
      <c r="ONU12" s="10"/>
      <c r="ONX12" s="11"/>
      <c r="ONY12" s="10"/>
      <c r="OOB12" s="11"/>
      <c r="OOC12" s="10"/>
      <c r="OOF12" s="11"/>
      <c r="OOG12" s="10"/>
      <c r="OOJ12" s="11"/>
      <c r="OOK12" s="10"/>
      <c r="OON12" s="11"/>
      <c r="OOO12" s="10"/>
      <c r="OOR12" s="11"/>
      <c r="OOS12" s="10"/>
      <c r="OOV12" s="11"/>
      <c r="OOW12" s="10"/>
      <c r="OOZ12" s="11"/>
      <c r="OPA12" s="10"/>
      <c r="OPD12" s="11"/>
      <c r="OPE12" s="10"/>
      <c r="OPH12" s="11"/>
      <c r="OPI12" s="10"/>
      <c r="OPL12" s="11"/>
      <c r="OPM12" s="10"/>
      <c r="OPP12" s="11"/>
      <c r="OPQ12" s="10"/>
      <c r="OPT12" s="11"/>
      <c r="OPU12" s="10"/>
      <c r="OPX12" s="11"/>
      <c r="OPY12" s="10"/>
      <c r="OQB12" s="11"/>
      <c r="OQC12" s="10"/>
      <c r="OQF12" s="11"/>
      <c r="OQG12" s="10"/>
      <c r="OQJ12" s="11"/>
      <c r="OQK12" s="10"/>
      <c r="OQN12" s="11"/>
      <c r="OQO12" s="10"/>
      <c r="OQR12" s="11"/>
      <c r="OQS12" s="10"/>
      <c r="OQV12" s="11"/>
      <c r="OQW12" s="10"/>
      <c r="OQZ12" s="11"/>
      <c r="ORA12" s="10"/>
      <c r="ORD12" s="11"/>
      <c r="ORE12" s="10"/>
      <c r="ORH12" s="11"/>
      <c r="ORI12" s="10"/>
      <c r="ORL12" s="11"/>
      <c r="ORM12" s="10"/>
      <c r="ORP12" s="11"/>
      <c r="ORQ12" s="10"/>
      <c r="ORT12" s="11"/>
      <c r="ORU12" s="10"/>
      <c r="ORX12" s="11"/>
      <c r="ORY12" s="10"/>
      <c r="OSB12" s="11"/>
      <c r="OSC12" s="10"/>
      <c r="OSF12" s="11"/>
      <c r="OSG12" s="10"/>
      <c r="OSJ12" s="11"/>
      <c r="OSK12" s="10"/>
      <c r="OSN12" s="11"/>
      <c r="OSO12" s="10"/>
      <c r="OSR12" s="11"/>
      <c r="OSS12" s="10"/>
      <c r="OSV12" s="11"/>
      <c r="OSW12" s="10"/>
      <c r="OSZ12" s="11"/>
      <c r="OTA12" s="10"/>
      <c r="OTD12" s="11"/>
      <c r="OTE12" s="10"/>
      <c r="OTH12" s="11"/>
      <c r="OTI12" s="10"/>
      <c r="OTL12" s="11"/>
      <c r="OTM12" s="10"/>
      <c r="OTP12" s="11"/>
      <c r="OTQ12" s="10"/>
      <c r="OTT12" s="11"/>
      <c r="OTU12" s="10"/>
      <c r="OTX12" s="11"/>
      <c r="OTY12" s="10"/>
      <c r="OUB12" s="11"/>
      <c r="OUC12" s="10"/>
      <c r="OUF12" s="11"/>
      <c r="OUG12" s="10"/>
      <c r="OUJ12" s="11"/>
      <c r="OUK12" s="10"/>
      <c r="OUN12" s="11"/>
      <c r="OUO12" s="10"/>
      <c r="OUR12" s="11"/>
      <c r="OUS12" s="10"/>
      <c r="OUV12" s="11"/>
      <c r="OUW12" s="10"/>
      <c r="OUZ12" s="11"/>
      <c r="OVA12" s="10"/>
      <c r="OVD12" s="11"/>
      <c r="OVE12" s="10"/>
      <c r="OVH12" s="11"/>
      <c r="OVI12" s="10"/>
      <c r="OVL12" s="11"/>
      <c r="OVM12" s="10"/>
      <c r="OVP12" s="11"/>
      <c r="OVQ12" s="10"/>
      <c r="OVT12" s="11"/>
      <c r="OVU12" s="10"/>
      <c r="OVX12" s="11"/>
      <c r="OVY12" s="10"/>
      <c r="OWB12" s="11"/>
      <c r="OWC12" s="10"/>
      <c r="OWF12" s="11"/>
      <c r="OWG12" s="10"/>
      <c r="OWJ12" s="11"/>
      <c r="OWK12" s="10"/>
      <c r="OWN12" s="11"/>
      <c r="OWO12" s="10"/>
      <c r="OWR12" s="11"/>
      <c r="OWS12" s="10"/>
      <c r="OWV12" s="11"/>
      <c r="OWW12" s="10"/>
      <c r="OWZ12" s="11"/>
      <c r="OXA12" s="10"/>
      <c r="OXD12" s="11"/>
      <c r="OXE12" s="10"/>
      <c r="OXH12" s="11"/>
      <c r="OXI12" s="10"/>
      <c r="OXL12" s="11"/>
      <c r="OXM12" s="10"/>
      <c r="OXP12" s="11"/>
      <c r="OXQ12" s="10"/>
      <c r="OXT12" s="11"/>
      <c r="OXU12" s="10"/>
      <c r="OXX12" s="11"/>
      <c r="OXY12" s="10"/>
      <c r="OYB12" s="11"/>
      <c r="OYC12" s="10"/>
      <c r="OYF12" s="11"/>
      <c r="OYG12" s="10"/>
      <c r="OYJ12" s="11"/>
      <c r="OYK12" s="10"/>
      <c r="OYN12" s="11"/>
      <c r="OYO12" s="10"/>
      <c r="OYR12" s="11"/>
      <c r="OYS12" s="10"/>
      <c r="OYV12" s="11"/>
      <c r="OYW12" s="10"/>
      <c r="OYZ12" s="11"/>
      <c r="OZA12" s="10"/>
      <c r="OZD12" s="11"/>
      <c r="OZE12" s="10"/>
      <c r="OZH12" s="11"/>
      <c r="OZI12" s="10"/>
      <c r="OZL12" s="11"/>
      <c r="OZM12" s="10"/>
      <c r="OZP12" s="11"/>
      <c r="OZQ12" s="10"/>
      <c r="OZT12" s="11"/>
      <c r="OZU12" s="10"/>
      <c r="OZX12" s="11"/>
      <c r="OZY12" s="10"/>
      <c r="PAB12" s="11"/>
      <c r="PAC12" s="10"/>
      <c r="PAF12" s="11"/>
      <c r="PAG12" s="10"/>
      <c r="PAJ12" s="11"/>
      <c r="PAK12" s="10"/>
      <c r="PAN12" s="11"/>
      <c r="PAO12" s="10"/>
      <c r="PAR12" s="11"/>
      <c r="PAS12" s="10"/>
      <c r="PAV12" s="11"/>
      <c r="PAW12" s="10"/>
      <c r="PAZ12" s="11"/>
      <c r="PBA12" s="10"/>
      <c r="PBD12" s="11"/>
      <c r="PBE12" s="10"/>
      <c r="PBH12" s="11"/>
      <c r="PBI12" s="10"/>
      <c r="PBL12" s="11"/>
      <c r="PBM12" s="10"/>
      <c r="PBP12" s="11"/>
      <c r="PBQ12" s="10"/>
      <c r="PBT12" s="11"/>
      <c r="PBU12" s="10"/>
      <c r="PBX12" s="11"/>
      <c r="PBY12" s="10"/>
      <c r="PCB12" s="11"/>
      <c r="PCC12" s="10"/>
      <c r="PCF12" s="11"/>
      <c r="PCG12" s="10"/>
      <c r="PCJ12" s="11"/>
      <c r="PCK12" s="10"/>
      <c r="PCN12" s="11"/>
      <c r="PCO12" s="10"/>
      <c r="PCR12" s="11"/>
      <c r="PCS12" s="10"/>
      <c r="PCV12" s="11"/>
      <c r="PCW12" s="10"/>
      <c r="PCZ12" s="11"/>
      <c r="PDA12" s="10"/>
      <c r="PDD12" s="11"/>
      <c r="PDE12" s="10"/>
      <c r="PDH12" s="11"/>
      <c r="PDI12" s="10"/>
      <c r="PDL12" s="11"/>
      <c r="PDM12" s="10"/>
      <c r="PDP12" s="11"/>
      <c r="PDQ12" s="10"/>
      <c r="PDT12" s="11"/>
      <c r="PDU12" s="10"/>
      <c r="PDX12" s="11"/>
      <c r="PDY12" s="10"/>
      <c r="PEB12" s="11"/>
      <c r="PEC12" s="10"/>
      <c r="PEF12" s="11"/>
      <c r="PEG12" s="10"/>
      <c r="PEJ12" s="11"/>
      <c r="PEK12" s="10"/>
      <c r="PEN12" s="11"/>
      <c r="PEO12" s="10"/>
      <c r="PER12" s="11"/>
      <c r="PES12" s="10"/>
      <c r="PEV12" s="11"/>
      <c r="PEW12" s="10"/>
      <c r="PEZ12" s="11"/>
      <c r="PFA12" s="10"/>
      <c r="PFD12" s="11"/>
      <c r="PFE12" s="10"/>
      <c r="PFH12" s="11"/>
      <c r="PFI12" s="10"/>
      <c r="PFL12" s="11"/>
      <c r="PFM12" s="10"/>
      <c r="PFP12" s="11"/>
      <c r="PFQ12" s="10"/>
      <c r="PFT12" s="11"/>
      <c r="PFU12" s="10"/>
      <c r="PFX12" s="11"/>
      <c r="PFY12" s="10"/>
      <c r="PGB12" s="11"/>
      <c r="PGC12" s="10"/>
      <c r="PGF12" s="11"/>
      <c r="PGG12" s="10"/>
      <c r="PGJ12" s="11"/>
      <c r="PGK12" s="10"/>
      <c r="PGN12" s="11"/>
      <c r="PGO12" s="10"/>
      <c r="PGR12" s="11"/>
      <c r="PGS12" s="10"/>
      <c r="PGV12" s="11"/>
      <c r="PGW12" s="10"/>
      <c r="PGZ12" s="11"/>
      <c r="PHA12" s="10"/>
      <c r="PHD12" s="11"/>
      <c r="PHE12" s="10"/>
      <c r="PHH12" s="11"/>
      <c r="PHI12" s="10"/>
      <c r="PHL12" s="11"/>
      <c r="PHM12" s="10"/>
      <c r="PHP12" s="11"/>
      <c r="PHQ12" s="10"/>
      <c r="PHT12" s="11"/>
      <c r="PHU12" s="10"/>
      <c r="PHX12" s="11"/>
      <c r="PHY12" s="10"/>
      <c r="PIB12" s="11"/>
      <c r="PIC12" s="10"/>
      <c r="PIF12" s="11"/>
      <c r="PIG12" s="10"/>
      <c r="PIJ12" s="11"/>
      <c r="PIK12" s="10"/>
      <c r="PIN12" s="11"/>
      <c r="PIO12" s="10"/>
      <c r="PIR12" s="11"/>
      <c r="PIS12" s="10"/>
      <c r="PIV12" s="11"/>
      <c r="PIW12" s="10"/>
      <c r="PIZ12" s="11"/>
      <c r="PJA12" s="10"/>
      <c r="PJD12" s="11"/>
      <c r="PJE12" s="10"/>
      <c r="PJH12" s="11"/>
      <c r="PJI12" s="10"/>
      <c r="PJL12" s="11"/>
      <c r="PJM12" s="10"/>
      <c r="PJP12" s="11"/>
      <c r="PJQ12" s="10"/>
      <c r="PJT12" s="11"/>
      <c r="PJU12" s="10"/>
      <c r="PJX12" s="11"/>
      <c r="PJY12" s="10"/>
      <c r="PKB12" s="11"/>
      <c r="PKC12" s="10"/>
      <c r="PKF12" s="11"/>
      <c r="PKG12" s="10"/>
      <c r="PKJ12" s="11"/>
      <c r="PKK12" s="10"/>
      <c r="PKN12" s="11"/>
      <c r="PKO12" s="10"/>
      <c r="PKR12" s="11"/>
      <c r="PKS12" s="10"/>
      <c r="PKV12" s="11"/>
      <c r="PKW12" s="10"/>
      <c r="PKZ12" s="11"/>
      <c r="PLA12" s="10"/>
      <c r="PLD12" s="11"/>
      <c r="PLE12" s="10"/>
      <c r="PLH12" s="11"/>
      <c r="PLI12" s="10"/>
      <c r="PLL12" s="11"/>
      <c r="PLM12" s="10"/>
      <c r="PLP12" s="11"/>
      <c r="PLQ12" s="10"/>
      <c r="PLT12" s="11"/>
      <c r="PLU12" s="10"/>
      <c r="PLX12" s="11"/>
      <c r="PLY12" s="10"/>
      <c r="PMB12" s="11"/>
      <c r="PMC12" s="10"/>
      <c r="PMF12" s="11"/>
      <c r="PMG12" s="10"/>
      <c r="PMJ12" s="11"/>
      <c r="PMK12" s="10"/>
      <c r="PMN12" s="11"/>
      <c r="PMO12" s="10"/>
      <c r="PMR12" s="11"/>
      <c r="PMS12" s="10"/>
      <c r="PMV12" s="11"/>
      <c r="PMW12" s="10"/>
      <c r="PMZ12" s="11"/>
      <c r="PNA12" s="10"/>
      <c r="PND12" s="11"/>
      <c r="PNE12" s="10"/>
      <c r="PNH12" s="11"/>
      <c r="PNI12" s="10"/>
      <c r="PNL12" s="11"/>
      <c r="PNM12" s="10"/>
      <c r="PNP12" s="11"/>
      <c r="PNQ12" s="10"/>
      <c r="PNT12" s="11"/>
      <c r="PNU12" s="10"/>
      <c r="PNX12" s="11"/>
      <c r="PNY12" s="10"/>
      <c r="POB12" s="11"/>
      <c r="POC12" s="10"/>
      <c r="POF12" s="11"/>
      <c r="POG12" s="10"/>
      <c r="POJ12" s="11"/>
      <c r="POK12" s="10"/>
      <c r="PON12" s="11"/>
      <c r="POO12" s="10"/>
      <c r="POR12" s="11"/>
      <c r="POS12" s="10"/>
      <c r="POV12" s="11"/>
      <c r="POW12" s="10"/>
      <c r="POZ12" s="11"/>
      <c r="PPA12" s="10"/>
      <c r="PPD12" s="11"/>
      <c r="PPE12" s="10"/>
      <c r="PPH12" s="11"/>
      <c r="PPI12" s="10"/>
      <c r="PPL12" s="11"/>
      <c r="PPM12" s="10"/>
      <c r="PPP12" s="11"/>
      <c r="PPQ12" s="10"/>
      <c r="PPT12" s="11"/>
      <c r="PPU12" s="10"/>
      <c r="PPX12" s="11"/>
      <c r="PPY12" s="10"/>
      <c r="PQB12" s="11"/>
      <c r="PQC12" s="10"/>
      <c r="PQF12" s="11"/>
      <c r="PQG12" s="10"/>
      <c r="PQJ12" s="11"/>
      <c r="PQK12" s="10"/>
      <c r="PQN12" s="11"/>
      <c r="PQO12" s="10"/>
      <c r="PQR12" s="11"/>
      <c r="PQS12" s="10"/>
      <c r="PQV12" s="11"/>
      <c r="PQW12" s="10"/>
      <c r="PQZ12" s="11"/>
      <c r="PRA12" s="10"/>
      <c r="PRD12" s="11"/>
      <c r="PRE12" s="10"/>
      <c r="PRH12" s="11"/>
      <c r="PRI12" s="10"/>
      <c r="PRL12" s="11"/>
      <c r="PRM12" s="10"/>
      <c r="PRP12" s="11"/>
      <c r="PRQ12" s="10"/>
      <c r="PRT12" s="11"/>
      <c r="PRU12" s="10"/>
      <c r="PRX12" s="11"/>
      <c r="PRY12" s="10"/>
      <c r="PSB12" s="11"/>
      <c r="PSC12" s="10"/>
      <c r="PSF12" s="11"/>
      <c r="PSG12" s="10"/>
      <c r="PSJ12" s="11"/>
      <c r="PSK12" s="10"/>
      <c r="PSN12" s="11"/>
      <c r="PSO12" s="10"/>
      <c r="PSR12" s="11"/>
      <c r="PSS12" s="10"/>
      <c r="PSV12" s="11"/>
      <c r="PSW12" s="10"/>
      <c r="PSZ12" s="11"/>
      <c r="PTA12" s="10"/>
      <c r="PTD12" s="11"/>
      <c r="PTE12" s="10"/>
      <c r="PTH12" s="11"/>
      <c r="PTI12" s="10"/>
      <c r="PTL12" s="11"/>
      <c r="PTM12" s="10"/>
      <c r="PTP12" s="11"/>
      <c r="PTQ12" s="10"/>
      <c r="PTT12" s="11"/>
      <c r="PTU12" s="10"/>
      <c r="PTX12" s="11"/>
      <c r="PTY12" s="10"/>
      <c r="PUB12" s="11"/>
      <c r="PUC12" s="10"/>
      <c r="PUF12" s="11"/>
      <c r="PUG12" s="10"/>
      <c r="PUJ12" s="11"/>
      <c r="PUK12" s="10"/>
      <c r="PUN12" s="11"/>
      <c r="PUO12" s="10"/>
      <c r="PUR12" s="11"/>
      <c r="PUS12" s="10"/>
      <c r="PUV12" s="11"/>
      <c r="PUW12" s="10"/>
      <c r="PUZ12" s="11"/>
      <c r="PVA12" s="10"/>
      <c r="PVD12" s="11"/>
      <c r="PVE12" s="10"/>
      <c r="PVH12" s="11"/>
      <c r="PVI12" s="10"/>
      <c r="PVL12" s="11"/>
      <c r="PVM12" s="10"/>
      <c r="PVP12" s="11"/>
      <c r="PVQ12" s="10"/>
      <c r="PVT12" s="11"/>
      <c r="PVU12" s="10"/>
      <c r="PVX12" s="11"/>
      <c r="PVY12" s="10"/>
      <c r="PWB12" s="11"/>
      <c r="PWC12" s="10"/>
      <c r="PWF12" s="11"/>
      <c r="PWG12" s="10"/>
      <c r="PWJ12" s="11"/>
      <c r="PWK12" s="10"/>
      <c r="PWN12" s="11"/>
      <c r="PWO12" s="10"/>
      <c r="PWR12" s="11"/>
      <c r="PWS12" s="10"/>
      <c r="PWV12" s="11"/>
      <c r="PWW12" s="10"/>
      <c r="PWZ12" s="11"/>
      <c r="PXA12" s="10"/>
      <c r="PXD12" s="11"/>
      <c r="PXE12" s="10"/>
      <c r="PXH12" s="11"/>
      <c r="PXI12" s="10"/>
      <c r="PXL12" s="11"/>
      <c r="PXM12" s="10"/>
      <c r="PXP12" s="11"/>
      <c r="PXQ12" s="10"/>
      <c r="PXT12" s="11"/>
      <c r="PXU12" s="10"/>
      <c r="PXX12" s="11"/>
      <c r="PXY12" s="10"/>
      <c r="PYB12" s="11"/>
      <c r="PYC12" s="10"/>
      <c r="PYF12" s="11"/>
      <c r="PYG12" s="10"/>
      <c r="PYJ12" s="11"/>
      <c r="PYK12" s="10"/>
      <c r="PYN12" s="11"/>
      <c r="PYO12" s="10"/>
      <c r="PYR12" s="11"/>
      <c r="PYS12" s="10"/>
      <c r="PYV12" s="11"/>
      <c r="PYW12" s="10"/>
      <c r="PYZ12" s="11"/>
      <c r="PZA12" s="10"/>
      <c r="PZD12" s="11"/>
      <c r="PZE12" s="10"/>
      <c r="PZH12" s="11"/>
      <c r="PZI12" s="10"/>
      <c r="PZL12" s="11"/>
      <c r="PZM12" s="10"/>
      <c r="PZP12" s="11"/>
      <c r="PZQ12" s="10"/>
      <c r="PZT12" s="11"/>
      <c r="PZU12" s="10"/>
      <c r="PZX12" s="11"/>
      <c r="PZY12" s="10"/>
      <c r="QAB12" s="11"/>
      <c r="QAC12" s="10"/>
      <c r="QAF12" s="11"/>
      <c r="QAG12" s="10"/>
      <c r="QAJ12" s="11"/>
      <c r="QAK12" s="10"/>
      <c r="QAN12" s="11"/>
      <c r="QAO12" s="10"/>
      <c r="QAR12" s="11"/>
      <c r="QAS12" s="10"/>
      <c r="QAV12" s="11"/>
      <c r="QAW12" s="10"/>
      <c r="QAZ12" s="11"/>
      <c r="QBA12" s="10"/>
      <c r="QBD12" s="11"/>
      <c r="QBE12" s="10"/>
      <c r="QBH12" s="11"/>
      <c r="QBI12" s="10"/>
      <c r="QBL12" s="11"/>
      <c r="QBM12" s="10"/>
      <c r="QBP12" s="11"/>
      <c r="QBQ12" s="10"/>
      <c r="QBT12" s="11"/>
      <c r="QBU12" s="10"/>
      <c r="QBX12" s="11"/>
      <c r="QBY12" s="10"/>
      <c r="QCB12" s="11"/>
      <c r="QCC12" s="10"/>
      <c r="QCF12" s="11"/>
      <c r="QCG12" s="10"/>
      <c r="QCJ12" s="11"/>
      <c r="QCK12" s="10"/>
      <c r="QCN12" s="11"/>
      <c r="QCO12" s="10"/>
      <c r="QCR12" s="11"/>
      <c r="QCS12" s="10"/>
      <c r="QCV12" s="11"/>
      <c r="QCW12" s="10"/>
      <c r="QCZ12" s="11"/>
      <c r="QDA12" s="10"/>
      <c r="QDD12" s="11"/>
      <c r="QDE12" s="10"/>
      <c r="QDH12" s="11"/>
      <c r="QDI12" s="10"/>
      <c r="QDL12" s="11"/>
      <c r="QDM12" s="10"/>
      <c r="QDP12" s="11"/>
      <c r="QDQ12" s="10"/>
      <c r="QDT12" s="11"/>
      <c r="QDU12" s="10"/>
      <c r="QDX12" s="11"/>
      <c r="QDY12" s="10"/>
      <c r="QEB12" s="11"/>
      <c r="QEC12" s="10"/>
      <c r="QEF12" s="11"/>
      <c r="QEG12" s="10"/>
      <c r="QEJ12" s="11"/>
      <c r="QEK12" s="10"/>
      <c r="QEN12" s="11"/>
      <c r="QEO12" s="10"/>
      <c r="QER12" s="11"/>
      <c r="QES12" s="10"/>
      <c r="QEV12" s="11"/>
      <c r="QEW12" s="10"/>
      <c r="QEZ12" s="11"/>
      <c r="QFA12" s="10"/>
      <c r="QFD12" s="11"/>
      <c r="QFE12" s="10"/>
      <c r="QFH12" s="11"/>
      <c r="QFI12" s="10"/>
      <c r="QFL12" s="11"/>
      <c r="QFM12" s="10"/>
      <c r="QFP12" s="11"/>
      <c r="QFQ12" s="10"/>
      <c r="QFT12" s="11"/>
      <c r="QFU12" s="10"/>
      <c r="QFX12" s="11"/>
      <c r="QFY12" s="10"/>
      <c r="QGB12" s="11"/>
      <c r="QGC12" s="10"/>
      <c r="QGF12" s="11"/>
      <c r="QGG12" s="10"/>
      <c r="QGJ12" s="11"/>
      <c r="QGK12" s="10"/>
      <c r="QGN12" s="11"/>
      <c r="QGO12" s="10"/>
      <c r="QGR12" s="11"/>
      <c r="QGS12" s="10"/>
      <c r="QGV12" s="11"/>
      <c r="QGW12" s="10"/>
      <c r="QGZ12" s="11"/>
      <c r="QHA12" s="10"/>
      <c r="QHD12" s="11"/>
      <c r="QHE12" s="10"/>
      <c r="QHH12" s="11"/>
      <c r="QHI12" s="10"/>
      <c r="QHL12" s="11"/>
      <c r="QHM12" s="10"/>
      <c r="QHP12" s="11"/>
      <c r="QHQ12" s="10"/>
      <c r="QHT12" s="11"/>
      <c r="QHU12" s="10"/>
      <c r="QHX12" s="11"/>
      <c r="QHY12" s="10"/>
      <c r="QIB12" s="11"/>
      <c r="QIC12" s="10"/>
      <c r="QIF12" s="11"/>
      <c r="QIG12" s="10"/>
      <c r="QIJ12" s="11"/>
      <c r="QIK12" s="10"/>
      <c r="QIN12" s="11"/>
      <c r="QIO12" s="10"/>
      <c r="QIR12" s="11"/>
      <c r="QIS12" s="10"/>
      <c r="QIV12" s="11"/>
      <c r="QIW12" s="10"/>
      <c r="QIZ12" s="11"/>
      <c r="QJA12" s="10"/>
      <c r="QJD12" s="11"/>
      <c r="QJE12" s="10"/>
      <c r="QJH12" s="11"/>
      <c r="QJI12" s="10"/>
      <c r="QJL12" s="11"/>
      <c r="QJM12" s="10"/>
      <c r="QJP12" s="11"/>
      <c r="QJQ12" s="10"/>
      <c r="QJT12" s="11"/>
      <c r="QJU12" s="10"/>
      <c r="QJX12" s="11"/>
      <c r="QJY12" s="10"/>
      <c r="QKB12" s="11"/>
      <c r="QKC12" s="10"/>
      <c r="QKF12" s="11"/>
      <c r="QKG12" s="10"/>
      <c r="QKJ12" s="11"/>
      <c r="QKK12" s="10"/>
      <c r="QKN12" s="11"/>
      <c r="QKO12" s="10"/>
      <c r="QKR12" s="11"/>
      <c r="QKS12" s="10"/>
      <c r="QKV12" s="11"/>
      <c r="QKW12" s="10"/>
      <c r="QKZ12" s="11"/>
      <c r="QLA12" s="10"/>
      <c r="QLD12" s="11"/>
      <c r="QLE12" s="10"/>
      <c r="QLH12" s="11"/>
      <c r="QLI12" s="10"/>
      <c r="QLL12" s="11"/>
      <c r="QLM12" s="10"/>
      <c r="QLP12" s="11"/>
      <c r="QLQ12" s="10"/>
      <c r="QLT12" s="11"/>
      <c r="QLU12" s="10"/>
      <c r="QLX12" s="11"/>
      <c r="QLY12" s="10"/>
      <c r="QMB12" s="11"/>
      <c r="QMC12" s="10"/>
      <c r="QMF12" s="11"/>
      <c r="QMG12" s="10"/>
      <c r="QMJ12" s="11"/>
      <c r="QMK12" s="10"/>
      <c r="QMN12" s="11"/>
      <c r="QMO12" s="10"/>
      <c r="QMR12" s="11"/>
      <c r="QMS12" s="10"/>
      <c r="QMV12" s="11"/>
      <c r="QMW12" s="10"/>
      <c r="QMZ12" s="11"/>
      <c r="QNA12" s="10"/>
      <c r="QND12" s="11"/>
      <c r="QNE12" s="10"/>
      <c r="QNH12" s="11"/>
      <c r="QNI12" s="10"/>
      <c r="QNL12" s="11"/>
      <c r="QNM12" s="10"/>
      <c r="QNP12" s="11"/>
      <c r="QNQ12" s="10"/>
      <c r="QNT12" s="11"/>
      <c r="QNU12" s="10"/>
      <c r="QNX12" s="11"/>
      <c r="QNY12" s="10"/>
      <c r="QOB12" s="11"/>
      <c r="QOC12" s="10"/>
      <c r="QOF12" s="11"/>
      <c r="QOG12" s="10"/>
      <c r="QOJ12" s="11"/>
      <c r="QOK12" s="10"/>
      <c r="QON12" s="11"/>
      <c r="QOO12" s="10"/>
      <c r="QOR12" s="11"/>
      <c r="QOS12" s="10"/>
      <c r="QOV12" s="11"/>
      <c r="QOW12" s="10"/>
      <c r="QOZ12" s="11"/>
      <c r="QPA12" s="10"/>
      <c r="QPD12" s="11"/>
      <c r="QPE12" s="10"/>
      <c r="QPH12" s="11"/>
      <c r="QPI12" s="10"/>
      <c r="QPL12" s="11"/>
      <c r="QPM12" s="10"/>
      <c r="QPP12" s="11"/>
      <c r="QPQ12" s="10"/>
      <c r="QPT12" s="11"/>
      <c r="QPU12" s="10"/>
      <c r="QPX12" s="11"/>
      <c r="QPY12" s="10"/>
      <c r="QQB12" s="11"/>
      <c r="QQC12" s="10"/>
      <c r="QQF12" s="11"/>
      <c r="QQG12" s="10"/>
      <c r="QQJ12" s="11"/>
      <c r="QQK12" s="10"/>
      <c r="QQN12" s="11"/>
      <c r="QQO12" s="10"/>
      <c r="QQR12" s="11"/>
      <c r="QQS12" s="10"/>
      <c r="QQV12" s="11"/>
      <c r="QQW12" s="10"/>
      <c r="QQZ12" s="11"/>
      <c r="QRA12" s="10"/>
      <c r="QRD12" s="11"/>
      <c r="QRE12" s="10"/>
      <c r="QRH12" s="11"/>
      <c r="QRI12" s="10"/>
      <c r="QRL12" s="11"/>
      <c r="QRM12" s="10"/>
      <c r="QRP12" s="11"/>
      <c r="QRQ12" s="10"/>
      <c r="QRT12" s="11"/>
      <c r="QRU12" s="10"/>
      <c r="QRX12" s="11"/>
      <c r="QRY12" s="10"/>
      <c r="QSB12" s="11"/>
      <c r="QSC12" s="10"/>
      <c r="QSF12" s="11"/>
      <c r="QSG12" s="10"/>
      <c r="QSJ12" s="11"/>
      <c r="QSK12" s="10"/>
      <c r="QSN12" s="11"/>
      <c r="QSO12" s="10"/>
      <c r="QSR12" s="11"/>
      <c r="QSS12" s="10"/>
      <c r="QSV12" s="11"/>
      <c r="QSW12" s="10"/>
      <c r="QSZ12" s="11"/>
      <c r="QTA12" s="10"/>
      <c r="QTD12" s="11"/>
      <c r="QTE12" s="10"/>
      <c r="QTH12" s="11"/>
      <c r="QTI12" s="10"/>
      <c r="QTL12" s="11"/>
      <c r="QTM12" s="10"/>
      <c r="QTP12" s="11"/>
      <c r="QTQ12" s="10"/>
      <c r="QTT12" s="11"/>
      <c r="QTU12" s="10"/>
      <c r="QTX12" s="11"/>
      <c r="QTY12" s="10"/>
      <c r="QUB12" s="11"/>
      <c r="QUC12" s="10"/>
      <c r="QUF12" s="11"/>
      <c r="QUG12" s="10"/>
      <c r="QUJ12" s="11"/>
      <c r="QUK12" s="10"/>
      <c r="QUN12" s="11"/>
      <c r="QUO12" s="10"/>
      <c r="QUR12" s="11"/>
      <c r="QUS12" s="10"/>
      <c r="QUV12" s="11"/>
      <c r="QUW12" s="10"/>
      <c r="QUZ12" s="11"/>
      <c r="QVA12" s="10"/>
      <c r="QVD12" s="11"/>
      <c r="QVE12" s="10"/>
      <c r="QVH12" s="11"/>
      <c r="QVI12" s="10"/>
      <c r="QVL12" s="11"/>
      <c r="QVM12" s="10"/>
      <c r="QVP12" s="11"/>
      <c r="QVQ12" s="10"/>
      <c r="QVT12" s="11"/>
      <c r="QVU12" s="10"/>
      <c r="QVX12" s="11"/>
      <c r="QVY12" s="10"/>
      <c r="QWB12" s="11"/>
      <c r="QWC12" s="10"/>
      <c r="QWF12" s="11"/>
      <c r="QWG12" s="10"/>
      <c r="QWJ12" s="11"/>
      <c r="QWK12" s="10"/>
      <c r="QWN12" s="11"/>
      <c r="QWO12" s="10"/>
      <c r="QWR12" s="11"/>
      <c r="QWS12" s="10"/>
      <c r="QWV12" s="11"/>
      <c r="QWW12" s="10"/>
      <c r="QWZ12" s="11"/>
      <c r="QXA12" s="10"/>
      <c r="QXD12" s="11"/>
      <c r="QXE12" s="10"/>
      <c r="QXH12" s="11"/>
      <c r="QXI12" s="10"/>
      <c r="QXL12" s="11"/>
      <c r="QXM12" s="10"/>
      <c r="QXP12" s="11"/>
      <c r="QXQ12" s="10"/>
      <c r="QXT12" s="11"/>
      <c r="QXU12" s="10"/>
      <c r="QXX12" s="11"/>
      <c r="QXY12" s="10"/>
      <c r="QYB12" s="11"/>
      <c r="QYC12" s="10"/>
      <c r="QYF12" s="11"/>
      <c r="QYG12" s="10"/>
      <c r="QYJ12" s="11"/>
      <c r="QYK12" s="10"/>
      <c r="QYN12" s="11"/>
      <c r="QYO12" s="10"/>
      <c r="QYR12" s="11"/>
      <c r="QYS12" s="10"/>
      <c r="QYV12" s="11"/>
      <c r="QYW12" s="10"/>
      <c r="QYZ12" s="11"/>
      <c r="QZA12" s="10"/>
      <c r="QZD12" s="11"/>
      <c r="QZE12" s="10"/>
      <c r="QZH12" s="11"/>
      <c r="QZI12" s="10"/>
      <c r="QZL12" s="11"/>
      <c r="QZM12" s="10"/>
      <c r="QZP12" s="11"/>
      <c r="QZQ12" s="10"/>
      <c r="QZT12" s="11"/>
      <c r="QZU12" s="10"/>
      <c r="QZX12" s="11"/>
      <c r="QZY12" s="10"/>
      <c r="RAB12" s="11"/>
      <c r="RAC12" s="10"/>
      <c r="RAF12" s="11"/>
      <c r="RAG12" s="10"/>
      <c r="RAJ12" s="11"/>
      <c r="RAK12" s="10"/>
      <c r="RAN12" s="11"/>
      <c r="RAO12" s="10"/>
      <c r="RAR12" s="11"/>
      <c r="RAS12" s="10"/>
      <c r="RAV12" s="11"/>
      <c r="RAW12" s="10"/>
      <c r="RAZ12" s="11"/>
      <c r="RBA12" s="10"/>
      <c r="RBD12" s="11"/>
      <c r="RBE12" s="10"/>
      <c r="RBH12" s="11"/>
      <c r="RBI12" s="10"/>
      <c r="RBL12" s="11"/>
      <c r="RBM12" s="10"/>
      <c r="RBP12" s="11"/>
      <c r="RBQ12" s="10"/>
      <c r="RBT12" s="11"/>
      <c r="RBU12" s="10"/>
      <c r="RBX12" s="11"/>
      <c r="RBY12" s="10"/>
      <c r="RCB12" s="11"/>
      <c r="RCC12" s="10"/>
      <c r="RCF12" s="11"/>
      <c r="RCG12" s="10"/>
      <c r="RCJ12" s="11"/>
      <c r="RCK12" s="10"/>
      <c r="RCN12" s="11"/>
      <c r="RCO12" s="10"/>
      <c r="RCR12" s="11"/>
      <c r="RCS12" s="10"/>
      <c r="RCV12" s="11"/>
      <c r="RCW12" s="10"/>
      <c r="RCZ12" s="11"/>
      <c r="RDA12" s="10"/>
      <c r="RDD12" s="11"/>
      <c r="RDE12" s="10"/>
      <c r="RDH12" s="11"/>
      <c r="RDI12" s="10"/>
      <c r="RDL12" s="11"/>
      <c r="RDM12" s="10"/>
      <c r="RDP12" s="11"/>
      <c r="RDQ12" s="10"/>
      <c r="RDT12" s="11"/>
      <c r="RDU12" s="10"/>
      <c r="RDX12" s="11"/>
      <c r="RDY12" s="10"/>
      <c r="REB12" s="11"/>
      <c r="REC12" s="10"/>
      <c r="REF12" s="11"/>
      <c r="REG12" s="10"/>
      <c r="REJ12" s="11"/>
      <c r="REK12" s="10"/>
      <c r="REN12" s="11"/>
      <c r="REO12" s="10"/>
      <c r="RER12" s="11"/>
      <c r="RES12" s="10"/>
      <c r="REV12" s="11"/>
      <c r="REW12" s="10"/>
      <c r="REZ12" s="11"/>
      <c r="RFA12" s="10"/>
      <c r="RFD12" s="11"/>
      <c r="RFE12" s="10"/>
      <c r="RFH12" s="11"/>
      <c r="RFI12" s="10"/>
      <c r="RFL12" s="11"/>
      <c r="RFM12" s="10"/>
      <c r="RFP12" s="11"/>
      <c r="RFQ12" s="10"/>
      <c r="RFT12" s="11"/>
      <c r="RFU12" s="10"/>
      <c r="RFX12" s="11"/>
      <c r="RFY12" s="10"/>
      <c r="RGB12" s="11"/>
      <c r="RGC12" s="10"/>
      <c r="RGF12" s="11"/>
      <c r="RGG12" s="10"/>
      <c r="RGJ12" s="11"/>
      <c r="RGK12" s="10"/>
      <c r="RGN12" s="11"/>
      <c r="RGO12" s="10"/>
      <c r="RGR12" s="11"/>
      <c r="RGS12" s="10"/>
      <c r="RGV12" s="11"/>
      <c r="RGW12" s="10"/>
      <c r="RGZ12" s="11"/>
      <c r="RHA12" s="10"/>
      <c r="RHD12" s="11"/>
      <c r="RHE12" s="10"/>
      <c r="RHH12" s="11"/>
      <c r="RHI12" s="10"/>
      <c r="RHL12" s="11"/>
      <c r="RHM12" s="10"/>
      <c r="RHP12" s="11"/>
      <c r="RHQ12" s="10"/>
      <c r="RHT12" s="11"/>
      <c r="RHU12" s="10"/>
      <c r="RHX12" s="11"/>
      <c r="RHY12" s="10"/>
      <c r="RIB12" s="11"/>
      <c r="RIC12" s="10"/>
      <c r="RIF12" s="11"/>
      <c r="RIG12" s="10"/>
      <c r="RIJ12" s="11"/>
      <c r="RIK12" s="10"/>
      <c r="RIN12" s="11"/>
      <c r="RIO12" s="10"/>
      <c r="RIR12" s="11"/>
      <c r="RIS12" s="10"/>
      <c r="RIV12" s="11"/>
      <c r="RIW12" s="10"/>
      <c r="RIZ12" s="11"/>
      <c r="RJA12" s="10"/>
      <c r="RJD12" s="11"/>
      <c r="RJE12" s="10"/>
      <c r="RJH12" s="11"/>
      <c r="RJI12" s="10"/>
      <c r="RJL12" s="11"/>
      <c r="RJM12" s="10"/>
      <c r="RJP12" s="11"/>
      <c r="RJQ12" s="10"/>
      <c r="RJT12" s="11"/>
      <c r="RJU12" s="10"/>
      <c r="RJX12" s="11"/>
      <c r="RJY12" s="10"/>
      <c r="RKB12" s="11"/>
      <c r="RKC12" s="10"/>
      <c r="RKF12" s="11"/>
      <c r="RKG12" s="10"/>
      <c r="RKJ12" s="11"/>
      <c r="RKK12" s="10"/>
      <c r="RKN12" s="11"/>
      <c r="RKO12" s="10"/>
      <c r="RKR12" s="11"/>
      <c r="RKS12" s="10"/>
      <c r="RKV12" s="11"/>
      <c r="RKW12" s="10"/>
      <c r="RKZ12" s="11"/>
      <c r="RLA12" s="10"/>
      <c r="RLD12" s="11"/>
      <c r="RLE12" s="10"/>
      <c r="RLH12" s="11"/>
      <c r="RLI12" s="10"/>
      <c r="RLL12" s="11"/>
      <c r="RLM12" s="10"/>
      <c r="RLP12" s="11"/>
      <c r="RLQ12" s="10"/>
      <c r="RLT12" s="11"/>
      <c r="RLU12" s="10"/>
      <c r="RLX12" s="11"/>
      <c r="RLY12" s="10"/>
      <c r="RMB12" s="11"/>
      <c r="RMC12" s="10"/>
      <c r="RMF12" s="11"/>
      <c r="RMG12" s="10"/>
      <c r="RMJ12" s="11"/>
      <c r="RMK12" s="10"/>
      <c r="RMN12" s="11"/>
      <c r="RMO12" s="10"/>
      <c r="RMR12" s="11"/>
      <c r="RMS12" s="10"/>
      <c r="RMV12" s="11"/>
      <c r="RMW12" s="10"/>
      <c r="RMZ12" s="11"/>
      <c r="RNA12" s="10"/>
      <c r="RND12" s="11"/>
      <c r="RNE12" s="10"/>
      <c r="RNH12" s="11"/>
      <c r="RNI12" s="10"/>
      <c r="RNL12" s="11"/>
      <c r="RNM12" s="10"/>
      <c r="RNP12" s="11"/>
      <c r="RNQ12" s="10"/>
      <c r="RNT12" s="11"/>
      <c r="RNU12" s="10"/>
      <c r="RNX12" s="11"/>
      <c r="RNY12" s="10"/>
      <c r="ROB12" s="11"/>
      <c r="ROC12" s="10"/>
      <c r="ROF12" s="11"/>
      <c r="ROG12" s="10"/>
      <c r="ROJ12" s="11"/>
      <c r="ROK12" s="10"/>
      <c r="RON12" s="11"/>
      <c r="ROO12" s="10"/>
      <c r="ROR12" s="11"/>
      <c r="ROS12" s="10"/>
      <c r="ROV12" s="11"/>
      <c r="ROW12" s="10"/>
      <c r="ROZ12" s="11"/>
      <c r="RPA12" s="10"/>
      <c r="RPD12" s="11"/>
      <c r="RPE12" s="10"/>
      <c r="RPH12" s="11"/>
      <c r="RPI12" s="10"/>
      <c r="RPL12" s="11"/>
      <c r="RPM12" s="10"/>
      <c r="RPP12" s="11"/>
      <c r="RPQ12" s="10"/>
      <c r="RPT12" s="11"/>
      <c r="RPU12" s="10"/>
      <c r="RPX12" s="11"/>
      <c r="RPY12" s="10"/>
      <c r="RQB12" s="11"/>
      <c r="RQC12" s="10"/>
      <c r="RQF12" s="11"/>
      <c r="RQG12" s="10"/>
      <c r="RQJ12" s="11"/>
      <c r="RQK12" s="10"/>
      <c r="RQN12" s="11"/>
      <c r="RQO12" s="10"/>
      <c r="RQR12" s="11"/>
      <c r="RQS12" s="10"/>
      <c r="RQV12" s="11"/>
      <c r="RQW12" s="10"/>
      <c r="RQZ12" s="11"/>
      <c r="RRA12" s="10"/>
      <c r="RRD12" s="11"/>
      <c r="RRE12" s="10"/>
      <c r="RRH12" s="11"/>
      <c r="RRI12" s="10"/>
      <c r="RRL12" s="11"/>
      <c r="RRM12" s="10"/>
      <c r="RRP12" s="11"/>
      <c r="RRQ12" s="10"/>
      <c r="RRT12" s="11"/>
      <c r="RRU12" s="10"/>
      <c r="RRX12" s="11"/>
      <c r="RRY12" s="10"/>
      <c r="RSB12" s="11"/>
      <c r="RSC12" s="10"/>
      <c r="RSF12" s="11"/>
      <c r="RSG12" s="10"/>
      <c r="RSJ12" s="11"/>
      <c r="RSK12" s="10"/>
      <c r="RSN12" s="11"/>
      <c r="RSO12" s="10"/>
      <c r="RSR12" s="11"/>
      <c r="RSS12" s="10"/>
      <c r="RSV12" s="11"/>
      <c r="RSW12" s="10"/>
      <c r="RSZ12" s="11"/>
      <c r="RTA12" s="10"/>
      <c r="RTD12" s="11"/>
      <c r="RTE12" s="10"/>
      <c r="RTH12" s="11"/>
      <c r="RTI12" s="10"/>
      <c r="RTL12" s="11"/>
      <c r="RTM12" s="10"/>
      <c r="RTP12" s="11"/>
      <c r="RTQ12" s="10"/>
      <c r="RTT12" s="11"/>
      <c r="RTU12" s="10"/>
      <c r="RTX12" s="11"/>
      <c r="RTY12" s="10"/>
      <c r="RUB12" s="11"/>
      <c r="RUC12" s="10"/>
      <c r="RUF12" s="11"/>
      <c r="RUG12" s="10"/>
      <c r="RUJ12" s="11"/>
      <c r="RUK12" s="10"/>
      <c r="RUN12" s="11"/>
      <c r="RUO12" s="10"/>
      <c r="RUR12" s="11"/>
      <c r="RUS12" s="10"/>
      <c r="RUV12" s="11"/>
      <c r="RUW12" s="10"/>
      <c r="RUZ12" s="11"/>
      <c r="RVA12" s="10"/>
      <c r="RVD12" s="11"/>
      <c r="RVE12" s="10"/>
      <c r="RVH12" s="11"/>
      <c r="RVI12" s="10"/>
      <c r="RVL12" s="11"/>
      <c r="RVM12" s="10"/>
      <c r="RVP12" s="11"/>
      <c r="RVQ12" s="10"/>
      <c r="RVT12" s="11"/>
      <c r="RVU12" s="10"/>
      <c r="RVX12" s="11"/>
      <c r="RVY12" s="10"/>
      <c r="RWB12" s="11"/>
      <c r="RWC12" s="10"/>
      <c r="RWF12" s="11"/>
      <c r="RWG12" s="10"/>
      <c r="RWJ12" s="11"/>
      <c r="RWK12" s="10"/>
      <c r="RWN12" s="11"/>
      <c r="RWO12" s="10"/>
      <c r="RWR12" s="11"/>
      <c r="RWS12" s="10"/>
      <c r="RWV12" s="11"/>
      <c r="RWW12" s="10"/>
      <c r="RWZ12" s="11"/>
      <c r="RXA12" s="10"/>
      <c r="RXD12" s="11"/>
      <c r="RXE12" s="10"/>
      <c r="RXH12" s="11"/>
      <c r="RXI12" s="10"/>
      <c r="RXL12" s="11"/>
      <c r="RXM12" s="10"/>
      <c r="RXP12" s="11"/>
      <c r="RXQ12" s="10"/>
      <c r="RXT12" s="11"/>
      <c r="RXU12" s="10"/>
      <c r="RXX12" s="11"/>
      <c r="RXY12" s="10"/>
      <c r="RYB12" s="11"/>
      <c r="RYC12" s="10"/>
      <c r="RYF12" s="11"/>
      <c r="RYG12" s="10"/>
      <c r="RYJ12" s="11"/>
      <c r="RYK12" s="10"/>
      <c r="RYN12" s="11"/>
      <c r="RYO12" s="10"/>
      <c r="RYR12" s="11"/>
      <c r="RYS12" s="10"/>
      <c r="RYV12" s="11"/>
      <c r="RYW12" s="10"/>
      <c r="RYZ12" s="11"/>
      <c r="RZA12" s="10"/>
      <c r="RZD12" s="11"/>
      <c r="RZE12" s="10"/>
      <c r="RZH12" s="11"/>
      <c r="RZI12" s="10"/>
      <c r="RZL12" s="11"/>
      <c r="RZM12" s="10"/>
      <c r="RZP12" s="11"/>
      <c r="RZQ12" s="10"/>
      <c r="RZT12" s="11"/>
      <c r="RZU12" s="10"/>
      <c r="RZX12" s="11"/>
      <c r="RZY12" s="10"/>
      <c r="SAB12" s="11"/>
      <c r="SAC12" s="10"/>
      <c r="SAF12" s="11"/>
      <c r="SAG12" s="10"/>
      <c r="SAJ12" s="11"/>
      <c r="SAK12" s="10"/>
      <c r="SAN12" s="11"/>
      <c r="SAO12" s="10"/>
      <c r="SAR12" s="11"/>
      <c r="SAS12" s="10"/>
      <c r="SAV12" s="11"/>
      <c r="SAW12" s="10"/>
      <c r="SAZ12" s="11"/>
      <c r="SBA12" s="10"/>
      <c r="SBD12" s="11"/>
      <c r="SBE12" s="10"/>
      <c r="SBH12" s="11"/>
      <c r="SBI12" s="10"/>
      <c r="SBL12" s="11"/>
      <c r="SBM12" s="10"/>
      <c r="SBP12" s="11"/>
      <c r="SBQ12" s="10"/>
      <c r="SBT12" s="11"/>
      <c r="SBU12" s="10"/>
      <c r="SBX12" s="11"/>
      <c r="SBY12" s="10"/>
      <c r="SCB12" s="11"/>
      <c r="SCC12" s="10"/>
      <c r="SCF12" s="11"/>
      <c r="SCG12" s="10"/>
      <c r="SCJ12" s="11"/>
      <c r="SCK12" s="10"/>
      <c r="SCN12" s="11"/>
      <c r="SCO12" s="10"/>
      <c r="SCR12" s="11"/>
      <c r="SCS12" s="10"/>
      <c r="SCV12" s="11"/>
      <c r="SCW12" s="10"/>
      <c r="SCZ12" s="11"/>
      <c r="SDA12" s="10"/>
      <c r="SDD12" s="11"/>
      <c r="SDE12" s="10"/>
      <c r="SDH12" s="11"/>
      <c r="SDI12" s="10"/>
      <c r="SDL12" s="11"/>
      <c r="SDM12" s="10"/>
      <c r="SDP12" s="11"/>
      <c r="SDQ12" s="10"/>
      <c r="SDT12" s="11"/>
      <c r="SDU12" s="10"/>
      <c r="SDX12" s="11"/>
      <c r="SDY12" s="10"/>
      <c r="SEB12" s="11"/>
      <c r="SEC12" s="10"/>
      <c r="SEF12" s="11"/>
      <c r="SEG12" s="10"/>
      <c r="SEJ12" s="11"/>
      <c r="SEK12" s="10"/>
      <c r="SEN12" s="11"/>
      <c r="SEO12" s="10"/>
      <c r="SER12" s="11"/>
      <c r="SES12" s="10"/>
      <c r="SEV12" s="11"/>
      <c r="SEW12" s="10"/>
      <c r="SEZ12" s="11"/>
      <c r="SFA12" s="10"/>
      <c r="SFD12" s="11"/>
      <c r="SFE12" s="10"/>
      <c r="SFH12" s="11"/>
      <c r="SFI12" s="10"/>
      <c r="SFL12" s="11"/>
      <c r="SFM12" s="10"/>
      <c r="SFP12" s="11"/>
      <c r="SFQ12" s="10"/>
      <c r="SFT12" s="11"/>
      <c r="SFU12" s="10"/>
      <c r="SFX12" s="11"/>
      <c r="SFY12" s="10"/>
      <c r="SGB12" s="11"/>
      <c r="SGC12" s="10"/>
      <c r="SGF12" s="11"/>
      <c r="SGG12" s="10"/>
      <c r="SGJ12" s="11"/>
      <c r="SGK12" s="10"/>
      <c r="SGN12" s="11"/>
      <c r="SGO12" s="10"/>
      <c r="SGR12" s="11"/>
      <c r="SGS12" s="10"/>
      <c r="SGV12" s="11"/>
      <c r="SGW12" s="10"/>
      <c r="SGZ12" s="11"/>
      <c r="SHA12" s="10"/>
      <c r="SHD12" s="11"/>
      <c r="SHE12" s="10"/>
      <c r="SHH12" s="11"/>
      <c r="SHI12" s="10"/>
      <c r="SHL12" s="11"/>
      <c r="SHM12" s="10"/>
      <c r="SHP12" s="11"/>
      <c r="SHQ12" s="10"/>
      <c r="SHT12" s="11"/>
      <c r="SHU12" s="10"/>
      <c r="SHX12" s="11"/>
      <c r="SHY12" s="10"/>
      <c r="SIB12" s="11"/>
      <c r="SIC12" s="10"/>
      <c r="SIF12" s="11"/>
      <c r="SIG12" s="10"/>
      <c r="SIJ12" s="11"/>
      <c r="SIK12" s="10"/>
      <c r="SIN12" s="11"/>
      <c r="SIO12" s="10"/>
      <c r="SIR12" s="11"/>
      <c r="SIS12" s="10"/>
      <c r="SIV12" s="11"/>
      <c r="SIW12" s="10"/>
      <c r="SIZ12" s="11"/>
      <c r="SJA12" s="10"/>
      <c r="SJD12" s="11"/>
      <c r="SJE12" s="10"/>
      <c r="SJH12" s="11"/>
      <c r="SJI12" s="10"/>
      <c r="SJL12" s="11"/>
      <c r="SJM12" s="10"/>
      <c r="SJP12" s="11"/>
      <c r="SJQ12" s="10"/>
      <c r="SJT12" s="11"/>
      <c r="SJU12" s="10"/>
      <c r="SJX12" s="11"/>
      <c r="SJY12" s="10"/>
      <c r="SKB12" s="11"/>
      <c r="SKC12" s="10"/>
      <c r="SKF12" s="11"/>
      <c r="SKG12" s="10"/>
      <c r="SKJ12" s="11"/>
      <c r="SKK12" s="10"/>
      <c r="SKN12" s="11"/>
      <c r="SKO12" s="10"/>
      <c r="SKR12" s="11"/>
      <c r="SKS12" s="10"/>
      <c r="SKV12" s="11"/>
      <c r="SKW12" s="10"/>
      <c r="SKZ12" s="11"/>
      <c r="SLA12" s="10"/>
      <c r="SLD12" s="11"/>
      <c r="SLE12" s="10"/>
      <c r="SLH12" s="11"/>
      <c r="SLI12" s="10"/>
      <c r="SLL12" s="11"/>
      <c r="SLM12" s="10"/>
      <c r="SLP12" s="11"/>
      <c r="SLQ12" s="10"/>
      <c r="SLT12" s="11"/>
      <c r="SLU12" s="10"/>
      <c r="SLX12" s="11"/>
      <c r="SLY12" s="10"/>
      <c r="SMB12" s="11"/>
      <c r="SMC12" s="10"/>
      <c r="SMF12" s="11"/>
      <c r="SMG12" s="10"/>
      <c r="SMJ12" s="11"/>
      <c r="SMK12" s="10"/>
      <c r="SMN12" s="11"/>
      <c r="SMO12" s="10"/>
      <c r="SMR12" s="11"/>
      <c r="SMS12" s="10"/>
      <c r="SMV12" s="11"/>
      <c r="SMW12" s="10"/>
      <c r="SMZ12" s="11"/>
      <c r="SNA12" s="10"/>
      <c r="SND12" s="11"/>
      <c r="SNE12" s="10"/>
      <c r="SNH12" s="11"/>
      <c r="SNI12" s="10"/>
      <c r="SNL12" s="11"/>
      <c r="SNM12" s="10"/>
      <c r="SNP12" s="11"/>
      <c r="SNQ12" s="10"/>
      <c r="SNT12" s="11"/>
      <c r="SNU12" s="10"/>
      <c r="SNX12" s="11"/>
      <c r="SNY12" s="10"/>
      <c r="SOB12" s="11"/>
      <c r="SOC12" s="10"/>
      <c r="SOF12" s="11"/>
      <c r="SOG12" s="10"/>
      <c r="SOJ12" s="11"/>
      <c r="SOK12" s="10"/>
      <c r="SON12" s="11"/>
      <c r="SOO12" s="10"/>
      <c r="SOR12" s="11"/>
      <c r="SOS12" s="10"/>
      <c r="SOV12" s="11"/>
      <c r="SOW12" s="10"/>
      <c r="SOZ12" s="11"/>
      <c r="SPA12" s="10"/>
      <c r="SPD12" s="11"/>
      <c r="SPE12" s="10"/>
      <c r="SPH12" s="11"/>
      <c r="SPI12" s="10"/>
      <c r="SPL12" s="11"/>
      <c r="SPM12" s="10"/>
      <c r="SPP12" s="11"/>
      <c r="SPQ12" s="10"/>
      <c r="SPT12" s="11"/>
      <c r="SPU12" s="10"/>
      <c r="SPX12" s="11"/>
      <c r="SPY12" s="10"/>
      <c r="SQB12" s="11"/>
      <c r="SQC12" s="10"/>
      <c r="SQF12" s="11"/>
      <c r="SQG12" s="10"/>
      <c r="SQJ12" s="11"/>
      <c r="SQK12" s="10"/>
      <c r="SQN12" s="11"/>
      <c r="SQO12" s="10"/>
      <c r="SQR12" s="11"/>
      <c r="SQS12" s="10"/>
      <c r="SQV12" s="11"/>
      <c r="SQW12" s="10"/>
      <c r="SQZ12" s="11"/>
      <c r="SRA12" s="10"/>
      <c r="SRD12" s="11"/>
      <c r="SRE12" s="10"/>
      <c r="SRH12" s="11"/>
      <c r="SRI12" s="10"/>
      <c r="SRL12" s="11"/>
      <c r="SRM12" s="10"/>
      <c r="SRP12" s="11"/>
      <c r="SRQ12" s="10"/>
      <c r="SRT12" s="11"/>
      <c r="SRU12" s="10"/>
      <c r="SRX12" s="11"/>
      <c r="SRY12" s="10"/>
      <c r="SSB12" s="11"/>
      <c r="SSC12" s="10"/>
      <c r="SSF12" s="11"/>
      <c r="SSG12" s="10"/>
      <c r="SSJ12" s="11"/>
      <c r="SSK12" s="10"/>
      <c r="SSN12" s="11"/>
      <c r="SSO12" s="10"/>
      <c r="SSR12" s="11"/>
      <c r="SSS12" s="10"/>
      <c r="SSV12" s="11"/>
      <c r="SSW12" s="10"/>
      <c r="SSZ12" s="11"/>
      <c r="STA12" s="10"/>
      <c r="STD12" s="11"/>
      <c r="STE12" s="10"/>
      <c r="STH12" s="11"/>
      <c r="STI12" s="10"/>
      <c r="STL12" s="11"/>
      <c r="STM12" s="10"/>
      <c r="STP12" s="11"/>
      <c r="STQ12" s="10"/>
      <c r="STT12" s="11"/>
      <c r="STU12" s="10"/>
      <c r="STX12" s="11"/>
      <c r="STY12" s="10"/>
      <c r="SUB12" s="11"/>
      <c r="SUC12" s="10"/>
      <c r="SUF12" s="11"/>
      <c r="SUG12" s="10"/>
      <c r="SUJ12" s="11"/>
      <c r="SUK12" s="10"/>
      <c r="SUN12" s="11"/>
      <c r="SUO12" s="10"/>
      <c r="SUR12" s="11"/>
      <c r="SUS12" s="10"/>
      <c r="SUV12" s="11"/>
      <c r="SUW12" s="10"/>
      <c r="SUZ12" s="11"/>
      <c r="SVA12" s="10"/>
      <c r="SVD12" s="11"/>
      <c r="SVE12" s="10"/>
      <c r="SVH12" s="11"/>
      <c r="SVI12" s="10"/>
      <c r="SVL12" s="11"/>
      <c r="SVM12" s="10"/>
      <c r="SVP12" s="11"/>
      <c r="SVQ12" s="10"/>
      <c r="SVT12" s="11"/>
      <c r="SVU12" s="10"/>
      <c r="SVX12" s="11"/>
      <c r="SVY12" s="10"/>
      <c r="SWB12" s="11"/>
      <c r="SWC12" s="10"/>
      <c r="SWF12" s="11"/>
      <c r="SWG12" s="10"/>
      <c r="SWJ12" s="11"/>
      <c r="SWK12" s="10"/>
      <c r="SWN12" s="11"/>
      <c r="SWO12" s="10"/>
      <c r="SWR12" s="11"/>
      <c r="SWS12" s="10"/>
      <c r="SWV12" s="11"/>
      <c r="SWW12" s="10"/>
      <c r="SWZ12" s="11"/>
      <c r="SXA12" s="10"/>
      <c r="SXD12" s="11"/>
      <c r="SXE12" s="10"/>
      <c r="SXH12" s="11"/>
      <c r="SXI12" s="10"/>
      <c r="SXL12" s="11"/>
      <c r="SXM12" s="10"/>
      <c r="SXP12" s="11"/>
      <c r="SXQ12" s="10"/>
      <c r="SXT12" s="11"/>
      <c r="SXU12" s="10"/>
      <c r="SXX12" s="11"/>
      <c r="SXY12" s="10"/>
      <c r="SYB12" s="11"/>
      <c r="SYC12" s="10"/>
      <c r="SYF12" s="11"/>
      <c r="SYG12" s="10"/>
      <c r="SYJ12" s="11"/>
      <c r="SYK12" s="10"/>
      <c r="SYN12" s="11"/>
      <c r="SYO12" s="10"/>
      <c r="SYR12" s="11"/>
      <c r="SYS12" s="10"/>
      <c r="SYV12" s="11"/>
      <c r="SYW12" s="10"/>
      <c r="SYZ12" s="11"/>
      <c r="SZA12" s="10"/>
      <c r="SZD12" s="11"/>
      <c r="SZE12" s="10"/>
      <c r="SZH12" s="11"/>
      <c r="SZI12" s="10"/>
      <c r="SZL12" s="11"/>
      <c r="SZM12" s="10"/>
      <c r="SZP12" s="11"/>
      <c r="SZQ12" s="10"/>
      <c r="SZT12" s="11"/>
      <c r="SZU12" s="10"/>
      <c r="SZX12" s="11"/>
      <c r="SZY12" s="10"/>
      <c r="TAB12" s="11"/>
      <c r="TAC12" s="10"/>
      <c r="TAF12" s="11"/>
      <c r="TAG12" s="10"/>
      <c r="TAJ12" s="11"/>
      <c r="TAK12" s="10"/>
      <c r="TAN12" s="11"/>
      <c r="TAO12" s="10"/>
      <c r="TAR12" s="11"/>
      <c r="TAS12" s="10"/>
      <c r="TAV12" s="11"/>
      <c r="TAW12" s="10"/>
      <c r="TAZ12" s="11"/>
      <c r="TBA12" s="10"/>
      <c r="TBD12" s="11"/>
      <c r="TBE12" s="10"/>
      <c r="TBH12" s="11"/>
      <c r="TBI12" s="10"/>
      <c r="TBL12" s="11"/>
      <c r="TBM12" s="10"/>
      <c r="TBP12" s="11"/>
      <c r="TBQ12" s="10"/>
      <c r="TBT12" s="11"/>
      <c r="TBU12" s="10"/>
      <c r="TBX12" s="11"/>
      <c r="TBY12" s="10"/>
      <c r="TCB12" s="11"/>
      <c r="TCC12" s="10"/>
      <c r="TCF12" s="11"/>
      <c r="TCG12" s="10"/>
      <c r="TCJ12" s="11"/>
      <c r="TCK12" s="10"/>
      <c r="TCN12" s="11"/>
      <c r="TCO12" s="10"/>
      <c r="TCR12" s="11"/>
      <c r="TCS12" s="10"/>
      <c r="TCV12" s="11"/>
      <c r="TCW12" s="10"/>
      <c r="TCZ12" s="11"/>
      <c r="TDA12" s="10"/>
      <c r="TDD12" s="11"/>
      <c r="TDE12" s="10"/>
      <c r="TDH12" s="11"/>
      <c r="TDI12" s="10"/>
      <c r="TDL12" s="11"/>
      <c r="TDM12" s="10"/>
      <c r="TDP12" s="11"/>
      <c r="TDQ12" s="10"/>
      <c r="TDT12" s="11"/>
      <c r="TDU12" s="10"/>
      <c r="TDX12" s="11"/>
      <c r="TDY12" s="10"/>
      <c r="TEB12" s="11"/>
      <c r="TEC12" s="10"/>
      <c r="TEF12" s="11"/>
      <c r="TEG12" s="10"/>
      <c r="TEJ12" s="11"/>
      <c r="TEK12" s="10"/>
      <c r="TEN12" s="11"/>
      <c r="TEO12" s="10"/>
      <c r="TER12" s="11"/>
      <c r="TES12" s="10"/>
      <c r="TEV12" s="11"/>
      <c r="TEW12" s="10"/>
      <c r="TEZ12" s="11"/>
      <c r="TFA12" s="10"/>
      <c r="TFD12" s="11"/>
      <c r="TFE12" s="10"/>
      <c r="TFH12" s="11"/>
      <c r="TFI12" s="10"/>
      <c r="TFL12" s="11"/>
      <c r="TFM12" s="10"/>
      <c r="TFP12" s="11"/>
      <c r="TFQ12" s="10"/>
      <c r="TFT12" s="11"/>
      <c r="TFU12" s="10"/>
      <c r="TFX12" s="11"/>
      <c r="TFY12" s="10"/>
      <c r="TGB12" s="11"/>
      <c r="TGC12" s="10"/>
      <c r="TGF12" s="11"/>
      <c r="TGG12" s="10"/>
      <c r="TGJ12" s="11"/>
      <c r="TGK12" s="10"/>
      <c r="TGN12" s="11"/>
      <c r="TGO12" s="10"/>
      <c r="TGR12" s="11"/>
      <c r="TGS12" s="10"/>
      <c r="TGV12" s="11"/>
      <c r="TGW12" s="10"/>
      <c r="TGZ12" s="11"/>
      <c r="THA12" s="10"/>
      <c r="THD12" s="11"/>
      <c r="THE12" s="10"/>
      <c r="THH12" s="11"/>
      <c r="THI12" s="10"/>
      <c r="THL12" s="11"/>
      <c r="THM12" s="10"/>
      <c r="THP12" s="11"/>
      <c r="THQ12" s="10"/>
      <c r="THT12" s="11"/>
      <c r="THU12" s="10"/>
      <c r="THX12" s="11"/>
      <c r="THY12" s="10"/>
      <c r="TIB12" s="11"/>
      <c r="TIC12" s="10"/>
      <c r="TIF12" s="11"/>
      <c r="TIG12" s="10"/>
      <c r="TIJ12" s="11"/>
      <c r="TIK12" s="10"/>
      <c r="TIN12" s="11"/>
      <c r="TIO12" s="10"/>
      <c r="TIR12" s="11"/>
      <c r="TIS12" s="10"/>
      <c r="TIV12" s="11"/>
      <c r="TIW12" s="10"/>
      <c r="TIZ12" s="11"/>
      <c r="TJA12" s="10"/>
      <c r="TJD12" s="11"/>
      <c r="TJE12" s="10"/>
      <c r="TJH12" s="11"/>
      <c r="TJI12" s="10"/>
      <c r="TJL12" s="11"/>
      <c r="TJM12" s="10"/>
      <c r="TJP12" s="11"/>
      <c r="TJQ12" s="10"/>
      <c r="TJT12" s="11"/>
      <c r="TJU12" s="10"/>
      <c r="TJX12" s="11"/>
      <c r="TJY12" s="10"/>
      <c r="TKB12" s="11"/>
      <c r="TKC12" s="10"/>
      <c r="TKF12" s="11"/>
      <c r="TKG12" s="10"/>
      <c r="TKJ12" s="11"/>
      <c r="TKK12" s="10"/>
      <c r="TKN12" s="11"/>
      <c r="TKO12" s="10"/>
      <c r="TKR12" s="11"/>
      <c r="TKS12" s="10"/>
      <c r="TKV12" s="11"/>
      <c r="TKW12" s="10"/>
      <c r="TKZ12" s="11"/>
      <c r="TLA12" s="10"/>
      <c r="TLD12" s="11"/>
      <c r="TLE12" s="10"/>
      <c r="TLH12" s="11"/>
      <c r="TLI12" s="10"/>
      <c r="TLL12" s="11"/>
      <c r="TLM12" s="10"/>
      <c r="TLP12" s="11"/>
      <c r="TLQ12" s="10"/>
      <c r="TLT12" s="11"/>
      <c r="TLU12" s="10"/>
      <c r="TLX12" s="11"/>
      <c r="TLY12" s="10"/>
      <c r="TMB12" s="11"/>
      <c r="TMC12" s="10"/>
      <c r="TMF12" s="11"/>
      <c r="TMG12" s="10"/>
      <c r="TMJ12" s="11"/>
      <c r="TMK12" s="10"/>
      <c r="TMN12" s="11"/>
      <c r="TMO12" s="10"/>
      <c r="TMR12" s="11"/>
      <c r="TMS12" s="10"/>
      <c r="TMV12" s="11"/>
      <c r="TMW12" s="10"/>
      <c r="TMZ12" s="11"/>
      <c r="TNA12" s="10"/>
      <c r="TND12" s="11"/>
      <c r="TNE12" s="10"/>
      <c r="TNH12" s="11"/>
      <c r="TNI12" s="10"/>
      <c r="TNL12" s="11"/>
      <c r="TNM12" s="10"/>
      <c r="TNP12" s="11"/>
      <c r="TNQ12" s="10"/>
      <c r="TNT12" s="11"/>
      <c r="TNU12" s="10"/>
      <c r="TNX12" s="11"/>
      <c r="TNY12" s="10"/>
      <c r="TOB12" s="11"/>
      <c r="TOC12" s="10"/>
      <c r="TOF12" s="11"/>
      <c r="TOG12" s="10"/>
      <c r="TOJ12" s="11"/>
      <c r="TOK12" s="10"/>
      <c r="TON12" s="11"/>
      <c r="TOO12" s="10"/>
      <c r="TOR12" s="11"/>
      <c r="TOS12" s="10"/>
      <c r="TOV12" s="11"/>
      <c r="TOW12" s="10"/>
      <c r="TOZ12" s="11"/>
      <c r="TPA12" s="10"/>
      <c r="TPD12" s="11"/>
      <c r="TPE12" s="10"/>
      <c r="TPH12" s="11"/>
      <c r="TPI12" s="10"/>
      <c r="TPL12" s="11"/>
      <c r="TPM12" s="10"/>
      <c r="TPP12" s="11"/>
      <c r="TPQ12" s="10"/>
      <c r="TPT12" s="11"/>
      <c r="TPU12" s="10"/>
      <c r="TPX12" s="11"/>
      <c r="TPY12" s="10"/>
      <c r="TQB12" s="11"/>
      <c r="TQC12" s="10"/>
      <c r="TQF12" s="11"/>
      <c r="TQG12" s="10"/>
      <c r="TQJ12" s="11"/>
      <c r="TQK12" s="10"/>
      <c r="TQN12" s="11"/>
      <c r="TQO12" s="10"/>
      <c r="TQR12" s="11"/>
      <c r="TQS12" s="10"/>
      <c r="TQV12" s="11"/>
      <c r="TQW12" s="10"/>
      <c r="TQZ12" s="11"/>
      <c r="TRA12" s="10"/>
      <c r="TRD12" s="11"/>
      <c r="TRE12" s="10"/>
      <c r="TRH12" s="11"/>
      <c r="TRI12" s="10"/>
      <c r="TRL12" s="11"/>
      <c r="TRM12" s="10"/>
      <c r="TRP12" s="11"/>
      <c r="TRQ12" s="10"/>
      <c r="TRT12" s="11"/>
      <c r="TRU12" s="10"/>
      <c r="TRX12" s="11"/>
      <c r="TRY12" s="10"/>
      <c r="TSB12" s="11"/>
      <c r="TSC12" s="10"/>
      <c r="TSF12" s="11"/>
      <c r="TSG12" s="10"/>
      <c r="TSJ12" s="11"/>
      <c r="TSK12" s="10"/>
      <c r="TSN12" s="11"/>
      <c r="TSO12" s="10"/>
      <c r="TSR12" s="11"/>
      <c r="TSS12" s="10"/>
      <c r="TSV12" s="11"/>
      <c r="TSW12" s="10"/>
      <c r="TSZ12" s="11"/>
      <c r="TTA12" s="10"/>
      <c r="TTD12" s="11"/>
      <c r="TTE12" s="10"/>
      <c r="TTH12" s="11"/>
      <c r="TTI12" s="10"/>
      <c r="TTL12" s="11"/>
      <c r="TTM12" s="10"/>
      <c r="TTP12" s="11"/>
      <c r="TTQ12" s="10"/>
      <c r="TTT12" s="11"/>
      <c r="TTU12" s="10"/>
      <c r="TTX12" s="11"/>
      <c r="TTY12" s="10"/>
      <c r="TUB12" s="11"/>
      <c r="TUC12" s="10"/>
      <c r="TUF12" s="11"/>
      <c r="TUG12" s="10"/>
      <c r="TUJ12" s="11"/>
      <c r="TUK12" s="10"/>
      <c r="TUN12" s="11"/>
      <c r="TUO12" s="10"/>
      <c r="TUR12" s="11"/>
      <c r="TUS12" s="10"/>
      <c r="TUV12" s="11"/>
      <c r="TUW12" s="10"/>
      <c r="TUZ12" s="11"/>
      <c r="TVA12" s="10"/>
      <c r="TVD12" s="11"/>
      <c r="TVE12" s="10"/>
      <c r="TVH12" s="11"/>
      <c r="TVI12" s="10"/>
      <c r="TVL12" s="11"/>
      <c r="TVM12" s="10"/>
      <c r="TVP12" s="11"/>
      <c r="TVQ12" s="10"/>
      <c r="TVT12" s="11"/>
      <c r="TVU12" s="10"/>
      <c r="TVX12" s="11"/>
      <c r="TVY12" s="10"/>
      <c r="TWB12" s="11"/>
      <c r="TWC12" s="10"/>
      <c r="TWF12" s="11"/>
      <c r="TWG12" s="10"/>
      <c r="TWJ12" s="11"/>
      <c r="TWK12" s="10"/>
      <c r="TWN12" s="11"/>
      <c r="TWO12" s="10"/>
      <c r="TWR12" s="11"/>
      <c r="TWS12" s="10"/>
      <c r="TWV12" s="11"/>
      <c r="TWW12" s="10"/>
      <c r="TWZ12" s="11"/>
      <c r="TXA12" s="10"/>
      <c r="TXD12" s="11"/>
      <c r="TXE12" s="10"/>
      <c r="TXH12" s="11"/>
      <c r="TXI12" s="10"/>
      <c r="TXL12" s="11"/>
      <c r="TXM12" s="10"/>
      <c r="TXP12" s="11"/>
      <c r="TXQ12" s="10"/>
      <c r="TXT12" s="11"/>
      <c r="TXU12" s="10"/>
      <c r="TXX12" s="11"/>
      <c r="TXY12" s="10"/>
      <c r="TYB12" s="11"/>
      <c r="TYC12" s="10"/>
      <c r="TYF12" s="11"/>
      <c r="TYG12" s="10"/>
      <c r="TYJ12" s="11"/>
      <c r="TYK12" s="10"/>
      <c r="TYN12" s="11"/>
      <c r="TYO12" s="10"/>
      <c r="TYR12" s="11"/>
      <c r="TYS12" s="10"/>
      <c r="TYV12" s="11"/>
      <c r="TYW12" s="10"/>
      <c r="TYZ12" s="11"/>
      <c r="TZA12" s="10"/>
      <c r="TZD12" s="11"/>
      <c r="TZE12" s="10"/>
      <c r="TZH12" s="11"/>
      <c r="TZI12" s="10"/>
      <c r="TZL12" s="11"/>
      <c r="TZM12" s="10"/>
      <c r="TZP12" s="11"/>
      <c r="TZQ12" s="10"/>
      <c r="TZT12" s="11"/>
      <c r="TZU12" s="10"/>
      <c r="TZX12" s="11"/>
      <c r="TZY12" s="10"/>
      <c r="UAB12" s="11"/>
      <c r="UAC12" s="10"/>
      <c r="UAF12" s="11"/>
      <c r="UAG12" s="10"/>
      <c r="UAJ12" s="11"/>
      <c r="UAK12" s="10"/>
      <c r="UAN12" s="11"/>
      <c r="UAO12" s="10"/>
      <c r="UAR12" s="11"/>
      <c r="UAS12" s="10"/>
      <c r="UAV12" s="11"/>
      <c r="UAW12" s="10"/>
      <c r="UAZ12" s="11"/>
      <c r="UBA12" s="10"/>
      <c r="UBD12" s="11"/>
      <c r="UBE12" s="10"/>
      <c r="UBH12" s="11"/>
      <c r="UBI12" s="10"/>
      <c r="UBL12" s="11"/>
      <c r="UBM12" s="10"/>
      <c r="UBP12" s="11"/>
      <c r="UBQ12" s="10"/>
      <c r="UBT12" s="11"/>
      <c r="UBU12" s="10"/>
      <c r="UBX12" s="11"/>
      <c r="UBY12" s="10"/>
      <c r="UCB12" s="11"/>
      <c r="UCC12" s="10"/>
      <c r="UCF12" s="11"/>
      <c r="UCG12" s="10"/>
      <c r="UCJ12" s="11"/>
      <c r="UCK12" s="10"/>
      <c r="UCN12" s="11"/>
      <c r="UCO12" s="10"/>
      <c r="UCR12" s="11"/>
      <c r="UCS12" s="10"/>
      <c r="UCV12" s="11"/>
      <c r="UCW12" s="10"/>
      <c r="UCZ12" s="11"/>
      <c r="UDA12" s="10"/>
      <c r="UDD12" s="11"/>
      <c r="UDE12" s="10"/>
      <c r="UDH12" s="11"/>
      <c r="UDI12" s="10"/>
      <c r="UDL12" s="11"/>
      <c r="UDM12" s="10"/>
      <c r="UDP12" s="11"/>
      <c r="UDQ12" s="10"/>
      <c r="UDT12" s="11"/>
      <c r="UDU12" s="10"/>
      <c r="UDX12" s="11"/>
      <c r="UDY12" s="10"/>
      <c r="UEB12" s="11"/>
      <c r="UEC12" s="10"/>
      <c r="UEF12" s="11"/>
      <c r="UEG12" s="10"/>
      <c r="UEJ12" s="11"/>
      <c r="UEK12" s="10"/>
      <c r="UEN12" s="11"/>
      <c r="UEO12" s="10"/>
      <c r="UER12" s="11"/>
      <c r="UES12" s="10"/>
      <c r="UEV12" s="11"/>
      <c r="UEW12" s="10"/>
      <c r="UEZ12" s="11"/>
      <c r="UFA12" s="10"/>
      <c r="UFD12" s="11"/>
      <c r="UFE12" s="10"/>
      <c r="UFH12" s="11"/>
      <c r="UFI12" s="10"/>
      <c r="UFL12" s="11"/>
      <c r="UFM12" s="10"/>
      <c r="UFP12" s="11"/>
      <c r="UFQ12" s="10"/>
      <c r="UFT12" s="11"/>
      <c r="UFU12" s="10"/>
      <c r="UFX12" s="11"/>
      <c r="UFY12" s="10"/>
      <c r="UGB12" s="11"/>
      <c r="UGC12" s="10"/>
      <c r="UGF12" s="11"/>
      <c r="UGG12" s="10"/>
      <c r="UGJ12" s="11"/>
      <c r="UGK12" s="10"/>
      <c r="UGN12" s="11"/>
      <c r="UGO12" s="10"/>
      <c r="UGR12" s="11"/>
      <c r="UGS12" s="10"/>
      <c r="UGV12" s="11"/>
      <c r="UGW12" s="10"/>
      <c r="UGZ12" s="11"/>
      <c r="UHA12" s="10"/>
      <c r="UHD12" s="11"/>
      <c r="UHE12" s="10"/>
      <c r="UHH12" s="11"/>
      <c r="UHI12" s="10"/>
      <c r="UHL12" s="11"/>
      <c r="UHM12" s="10"/>
      <c r="UHP12" s="11"/>
      <c r="UHQ12" s="10"/>
      <c r="UHT12" s="11"/>
      <c r="UHU12" s="10"/>
      <c r="UHX12" s="11"/>
      <c r="UHY12" s="10"/>
      <c r="UIB12" s="11"/>
      <c r="UIC12" s="10"/>
      <c r="UIF12" s="11"/>
      <c r="UIG12" s="10"/>
      <c r="UIJ12" s="11"/>
      <c r="UIK12" s="10"/>
      <c r="UIN12" s="11"/>
      <c r="UIO12" s="10"/>
      <c r="UIR12" s="11"/>
      <c r="UIS12" s="10"/>
      <c r="UIV12" s="11"/>
      <c r="UIW12" s="10"/>
      <c r="UIZ12" s="11"/>
      <c r="UJA12" s="10"/>
      <c r="UJD12" s="11"/>
      <c r="UJE12" s="10"/>
      <c r="UJH12" s="11"/>
      <c r="UJI12" s="10"/>
      <c r="UJL12" s="11"/>
      <c r="UJM12" s="10"/>
      <c r="UJP12" s="11"/>
      <c r="UJQ12" s="10"/>
      <c r="UJT12" s="11"/>
      <c r="UJU12" s="10"/>
      <c r="UJX12" s="11"/>
      <c r="UJY12" s="10"/>
      <c r="UKB12" s="11"/>
      <c r="UKC12" s="10"/>
      <c r="UKF12" s="11"/>
      <c r="UKG12" s="10"/>
      <c r="UKJ12" s="11"/>
      <c r="UKK12" s="10"/>
      <c r="UKN12" s="11"/>
      <c r="UKO12" s="10"/>
      <c r="UKR12" s="11"/>
      <c r="UKS12" s="10"/>
      <c r="UKV12" s="11"/>
      <c r="UKW12" s="10"/>
      <c r="UKZ12" s="11"/>
      <c r="ULA12" s="10"/>
      <c r="ULD12" s="11"/>
      <c r="ULE12" s="10"/>
      <c r="ULH12" s="11"/>
      <c r="ULI12" s="10"/>
      <c r="ULL12" s="11"/>
      <c r="ULM12" s="10"/>
      <c r="ULP12" s="11"/>
      <c r="ULQ12" s="10"/>
      <c r="ULT12" s="11"/>
      <c r="ULU12" s="10"/>
      <c r="ULX12" s="11"/>
      <c r="ULY12" s="10"/>
      <c r="UMB12" s="11"/>
      <c r="UMC12" s="10"/>
      <c r="UMF12" s="11"/>
      <c r="UMG12" s="10"/>
      <c r="UMJ12" s="11"/>
      <c r="UMK12" s="10"/>
      <c r="UMN12" s="11"/>
      <c r="UMO12" s="10"/>
      <c r="UMR12" s="11"/>
      <c r="UMS12" s="10"/>
      <c r="UMV12" s="11"/>
      <c r="UMW12" s="10"/>
      <c r="UMZ12" s="11"/>
      <c r="UNA12" s="10"/>
      <c r="UND12" s="11"/>
      <c r="UNE12" s="10"/>
      <c r="UNH12" s="11"/>
      <c r="UNI12" s="10"/>
      <c r="UNL12" s="11"/>
      <c r="UNM12" s="10"/>
      <c r="UNP12" s="11"/>
      <c r="UNQ12" s="10"/>
      <c r="UNT12" s="11"/>
      <c r="UNU12" s="10"/>
      <c r="UNX12" s="11"/>
      <c r="UNY12" s="10"/>
      <c r="UOB12" s="11"/>
      <c r="UOC12" s="10"/>
      <c r="UOF12" s="11"/>
      <c r="UOG12" s="10"/>
      <c r="UOJ12" s="11"/>
      <c r="UOK12" s="10"/>
      <c r="UON12" s="11"/>
      <c r="UOO12" s="10"/>
      <c r="UOR12" s="11"/>
      <c r="UOS12" s="10"/>
      <c r="UOV12" s="11"/>
      <c r="UOW12" s="10"/>
      <c r="UOZ12" s="11"/>
      <c r="UPA12" s="10"/>
      <c r="UPD12" s="11"/>
      <c r="UPE12" s="10"/>
      <c r="UPH12" s="11"/>
      <c r="UPI12" s="10"/>
      <c r="UPL12" s="11"/>
      <c r="UPM12" s="10"/>
      <c r="UPP12" s="11"/>
      <c r="UPQ12" s="10"/>
      <c r="UPT12" s="11"/>
      <c r="UPU12" s="10"/>
      <c r="UPX12" s="11"/>
      <c r="UPY12" s="10"/>
      <c r="UQB12" s="11"/>
      <c r="UQC12" s="10"/>
      <c r="UQF12" s="11"/>
      <c r="UQG12" s="10"/>
      <c r="UQJ12" s="11"/>
      <c r="UQK12" s="10"/>
      <c r="UQN12" s="11"/>
      <c r="UQO12" s="10"/>
      <c r="UQR12" s="11"/>
      <c r="UQS12" s="10"/>
      <c r="UQV12" s="11"/>
      <c r="UQW12" s="10"/>
      <c r="UQZ12" s="11"/>
      <c r="URA12" s="10"/>
      <c r="URD12" s="11"/>
      <c r="URE12" s="10"/>
      <c r="URH12" s="11"/>
      <c r="URI12" s="10"/>
      <c r="URL12" s="11"/>
      <c r="URM12" s="10"/>
      <c r="URP12" s="11"/>
      <c r="URQ12" s="10"/>
      <c r="URT12" s="11"/>
      <c r="URU12" s="10"/>
      <c r="URX12" s="11"/>
      <c r="URY12" s="10"/>
      <c r="USB12" s="11"/>
      <c r="USC12" s="10"/>
      <c r="USF12" s="11"/>
      <c r="USG12" s="10"/>
      <c r="USJ12" s="11"/>
      <c r="USK12" s="10"/>
      <c r="USN12" s="11"/>
      <c r="USO12" s="10"/>
      <c r="USR12" s="11"/>
      <c r="USS12" s="10"/>
      <c r="USV12" s="11"/>
      <c r="USW12" s="10"/>
      <c r="USZ12" s="11"/>
      <c r="UTA12" s="10"/>
      <c r="UTD12" s="11"/>
      <c r="UTE12" s="10"/>
      <c r="UTH12" s="11"/>
      <c r="UTI12" s="10"/>
      <c r="UTL12" s="11"/>
      <c r="UTM12" s="10"/>
      <c r="UTP12" s="11"/>
      <c r="UTQ12" s="10"/>
      <c r="UTT12" s="11"/>
      <c r="UTU12" s="10"/>
      <c r="UTX12" s="11"/>
      <c r="UTY12" s="10"/>
      <c r="UUB12" s="11"/>
      <c r="UUC12" s="10"/>
      <c r="UUF12" s="11"/>
      <c r="UUG12" s="10"/>
      <c r="UUJ12" s="11"/>
      <c r="UUK12" s="10"/>
      <c r="UUN12" s="11"/>
      <c r="UUO12" s="10"/>
      <c r="UUR12" s="11"/>
      <c r="UUS12" s="10"/>
      <c r="UUV12" s="11"/>
      <c r="UUW12" s="10"/>
      <c r="UUZ12" s="11"/>
      <c r="UVA12" s="10"/>
      <c r="UVD12" s="11"/>
      <c r="UVE12" s="10"/>
      <c r="UVH12" s="11"/>
      <c r="UVI12" s="10"/>
      <c r="UVL12" s="11"/>
      <c r="UVM12" s="10"/>
      <c r="UVP12" s="11"/>
      <c r="UVQ12" s="10"/>
      <c r="UVT12" s="11"/>
      <c r="UVU12" s="10"/>
      <c r="UVX12" s="11"/>
      <c r="UVY12" s="10"/>
      <c r="UWB12" s="11"/>
      <c r="UWC12" s="10"/>
      <c r="UWF12" s="11"/>
      <c r="UWG12" s="10"/>
      <c r="UWJ12" s="11"/>
      <c r="UWK12" s="10"/>
      <c r="UWN12" s="11"/>
      <c r="UWO12" s="10"/>
      <c r="UWR12" s="11"/>
      <c r="UWS12" s="10"/>
      <c r="UWV12" s="11"/>
      <c r="UWW12" s="10"/>
      <c r="UWZ12" s="11"/>
      <c r="UXA12" s="10"/>
      <c r="UXD12" s="11"/>
      <c r="UXE12" s="10"/>
      <c r="UXH12" s="11"/>
      <c r="UXI12" s="10"/>
      <c r="UXL12" s="11"/>
      <c r="UXM12" s="10"/>
      <c r="UXP12" s="11"/>
      <c r="UXQ12" s="10"/>
      <c r="UXT12" s="11"/>
      <c r="UXU12" s="10"/>
      <c r="UXX12" s="11"/>
      <c r="UXY12" s="10"/>
      <c r="UYB12" s="11"/>
      <c r="UYC12" s="10"/>
      <c r="UYF12" s="11"/>
      <c r="UYG12" s="10"/>
      <c r="UYJ12" s="11"/>
      <c r="UYK12" s="10"/>
      <c r="UYN12" s="11"/>
      <c r="UYO12" s="10"/>
      <c r="UYR12" s="11"/>
      <c r="UYS12" s="10"/>
      <c r="UYV12" s="11"/>
      <c r="UYW12" s="10"/>
      <c r="UYZ12" s="11"/>
      <c r="UZA12" s="10"/>
      <c r="UZD12" s="11"/>
      <c r="UZE12" s="10"/>
      <c r="UZH12" s="11"/>
      <c r="UZI12" s="10"/>
      <c r="UZL12" s="11"/>
      <c r="UZM12" s="10"/>
      <c r="UZP12" s="11"/>
      <c r="UZQ12" s="10"/>
      <c r="UZT12" s="11"/>
      <c r="UZU12" s="10"/>
      <c r="UZX12" s="11"/>
      <c r="UZY12" s="10"/>
      <c r="VAB12" s="11"/>
      <c r="VAC12" s="10"/>
      <c r="VAF12" s="11"/>
      <c r="VAG12" s="10"/>
      <c r="VAJ12" s="11"/>
      <c r="VAK12" s="10"/>
      <c r="VAN12" s="11"/>
      <c r="VAO12" s="10"/>
      <c r="VAR12" s="11"/>
      <c r="VAS12" s="10"/>
      <c r="VAV12" s="11"/>
      <c r="VAW12" s="10"/>
      <c r="VAZ12" s="11"/>
      <c r="VBA12" s="10"/>
      <c r="VBD12" s="11"/>
      <c r="VBE12" s="10"/>
      <c r="VBH12" s="11"/>
      <c r="VBI12" s="10"/>
      <c r="VBL12" s="11"/>
      <c r="VBM12" s="10"/>
      <c r="VBP12" s="11"/>
      <c r="VBQ12" s="10"/>
      <c r="VBT12" s="11"/>
      <c r="VBU12" s="10"/>
      <c r="VBX12" s="11"/>
      <c r="VBY12" s="10"/>
      <c r="VCB12" s="11"/>
      <c r="VCC12" s="10"/>
      <c r="VCF12" s="11"/>
      <c r="VCG12" s="10"/>
      <c r="VCJ12" s="11"/>
      <c r="VCK12" s="10"/>
      <c r="VCN12" s="11"/>
      <c r="VCO12" s="10"/>
      <c r="VCR12" s="11"/>
      <c r="VCS12" s="10"/>
      <c r="VCV12" s="11"/>
      <c r="VCW12" s="10"/>
      <c r="VCZ12" s="11"/>
      <c r="VDA12" s="10"/>
      <c r="VDD12" s="11"/>
      <c r="VDE12" s="10"/>
      <c r="VDH12" s="11"/>
      <c r="VDI12" s="10"/>
      <c r="VDL12" s="11"/>
      <c r="VDM12" s="10"/>
      <c r="VDP12" s="11"/>
      <c r="VDQ12" s="10"/>
      <c r="VDT12" s="11"/>
      <c r="VDU12" s="10"/>
      <c r="VDX12" s="11"/>
      <c r="VDY12" s="10"/>
      <c r="VEB12" s="11"/>
      <c r="VEC12" s="10"/>
      <c r="VEF12" s="11"/>
      <c r="VEG12" s="10"/>
      <c r="VEJ12" s="11"/>
      <c r="VEK12" s="10"/>
      <c r="VEN12" s="11"/>
      <c r="VEO12" s="10"/>
      <c r="VER12" s="11"/>
      <c r="VES12" s="10"/>
      <c r="VEV12" s="11"/>
      <c r="VEW12" s="10"/>
      <c r="VEZ12" s="11"/>
      <c r="VFA12" s="10"/>
      <c r="VFD12" s="11"/>
      <c r="VFE12" s="10"/>
      <c r="VFH12" s="11"/>
      <c r="VFI12" s="10"/>
      <c r="VFL12" s="11"/>
      <c r="VFM12" s="10"/>
      <c r="VFP12" s="11"/>
      <c r="VFQ12" s="10"/>
      <c r="VFT12" s="11"/>
      <c r="VFU12" s="10"/>
      <c r="VFX12" s="11"/>
      <c r="VFY12" s="10"/>
      <c r="VGB12" s="11"/>
      <c r="VGC12" s="10"/>
      <c r="VGF12" s="11"/>
      <c r="VGG12" s="10"/>
      <c r="VGJ12" s="11"/>
      <c r="VGK12" s="10"/>
      <c r="VGN12" s="11"/>
      <c r="VGO12" s="10"/>
      <c r="VGR12" s="11"/>
      <c r="VGS12" s="10"/>
      <c r="VGV12" s="11"/>
      <c r="VGW12" s="10"/>
      <c r="VGZ12" s="11"/>
      <c r="VHA12" s="10"/>
      <c r="VHD12" s="11"/>
      <c r="VHE12" s="10"/>
      <c r="VHH12" s="11"/>
      <c r="VHI12" s="10"/>
      <c r="VHL12" s="11"/>
      <c r="VHM12" s="10"/>
      <c r="VHP12" s="11"/>
      <c r="VHQ12" s="10"/>
      <c r="VHT12" s="11"/>
      <c r="VHU12" s="10"/>
      <c r="VHX12" s="11"/>
      <c r="VHY12" s="10"/>
      <c r="VIB12" s="11"/>
      <c r="VIC12" s="10"/>
      <c r="VIF12" s="11"/>
      <c r="VIG12" s="10"/>
      <c r="VIJ12" s="11"/>
      <c r="VIK12" s="10"/>
      <c r="VIN12" s="11"/>
      <c r="VIO12" s="10"/>
      <c r="VIR12" s="11"/>
      <c r="VIS12" s="10"/>
      <c r="VIV12" s="11"/>
      <c r="VIW12" s="10"/>
      <c r="VIZ12" s="11"/>
      <c r="VJA12" s="10"/>
      <c r="VJD12" s="11"/>
      <c r="VJE12" s="10"/>
      <c r="VJH12" s="11"/>
      <c r="VJI12" s="10"/>
      <c r="VJL12" s="11"/>
      <c r="VJM12" s="10"/>
      <c r="VJP12" s="11"/>
      <c r="VJQ12" s="10"/>
      <c r="VJT12" s="11"/>
      <c r="VJU12" s="10"/>
      <c r="VJX12" s="11"/>
      <c r="VJY12" s="10"/>
      <c r="VKB12" s="11"/>
      <c r="VKC12" s="10"/>
      <c r="VKF12" s="11"/>
      <c r="VKG12" s="10"/>
      <c r="VKJ12" s="11"/>
      <c r="VKK12" s="10"/>
      <c r="VKN12" s="11"/>
      <c r="VKO12" s="10"/>
      <c r="VKR12" s="11"/>
      <c r="VKS12" s="10"/>
      <c r="VKV12" s="11"/>
      <c r="VKW12" s="10"/>
      <c r="VKZ12" s="11"/>
      <c r="VLA12" s="10"/>
      <c r="VLD12" s="11"/>
      <c r="VLE12" s="10"/>
      <c r="VLH12" s="11"/>
      <c r="VLI12" s="10"/>
      <c r="VLL12" s="11"/>
      <c r="VLM12" s="10"/>
      <c r="VLP12" s="11"/>
      <c r="VLQ12" s="10"/>
      <c r="VLT12" s="11"/>
      <c r="VLU12" s="10"/>
      <c r="VLX12" s="11"/>
      <c r="VLY12" s="10"/>
      <c r="VMB12" s="11"/>
      <c r="VMC12" s="10"/>
      <c r="VMF12" s="11"/>
      <c r="VMG12" s="10"/>
      <c r="VMJ12" s="11"/>
      <c r="VMK12" s="10"/>
      <c r="VMN12" s="11"/>
      <c r="VMO12" s="10"/>
      <c r="VMR12" s="11"/>
      <c r="VMS12" s="10"/>
      <c r="VMV12" s="11"/>
      <c r="VMW12" s="10"/>
      <c r="VMZ12" s="11"/>
      <c r="VNA12" s="10"/>
      <c r="VND12" s="11"/>
      <c r="VNE12" s="10"/>
      <c r="VNH12" s="11"/>
      <c r="VNI12" s="10"/>
      <c r="VNL12" s="11"/>
      <c r="VNM12" s="10"/>
      <c r="VNP12" s="11"/>
      <c r="VNQ12" s="10"/>
      <c r="VNT12" s="11"/>
      <c r="VNU12" s="10"/>
      <c r="VNX12" s="11"/>
      <c r="VNY12" s="10"/>
      <c r="VOB12" s="11"/>
      <c r="VOC12" s="10"/>
      <c r="VOF12" s="11"/>
      <c r="VOG12" s="10"/>
      <c r="VOJ12" s="11"/>
      <c r="VOK12" s="10"/>
      <c r="VON12" s="11"/>
      <c r="VOO12" s="10"/>
      <c r="VOR12" s="11"/>
      <c r="VOS12" s="10"/>
      <c r="VOV12" s="11"/>
      <c r="VOW12" s="10"/>
      <c r="VOZ12" s="11"/>
      <c r="VPA12" s="10"/>
      <c r="VPD12" s="11"/>
      <c r="VPE12" s="10"/>
      <c r="VPH12" s="11"/>
      <c r="VPI12" s="10"/>
      <c r="VPL12" s="11"/>
      <c r="VPM12" s="10"/>
      <c r="VPP12" s="11"/>
      <c r="VPQ12" s="10"/>
      <c r="VPT12" s="11"/>
      <c r="VPU12" s="10"/>
      <c r="VPX12" s="11"/>
      <c r="VPY12" s="10"/>
      <c r="VQB12" s="11"/>
      <c r="VQC12" s="10"/>
      <c r="VQF12" s="11"/>
      <c r="VQG12" s="10"/>
      <c r="VQJ12" s="11"/>
      <c r="VQK12" s="10"/>
      <c r="VQN12" s="11"/>
      <c r="VQO12" s="10"/>
      <c r="VQR12" s="11"/>
      <c r="VQS12" s="10"/>
      <c r="VQV12" s="11"/>
      <c r="VQW12" s="10"/>
      <c r="VQZ12" s="11"/>
      <c r="VRA12" s="10"/>
      <c r="VRD12" s="11"/>
      <c r="VRE12" s="10"/>
      <c r="VRH12" s="11"/>
      <c r="VRI12" s="10"/>
      <c r="VRL12" s="11"/>
      <c r="VRM12" s="10"/>
      <c r="VRP12" s="11"/>
      <c r="VRQ12" s="10"/>
      <c r="VRT12" s="11"/>
      <c r="VRU12" s="10"/>
      <c r="VRX12" s="11"/>
      <c r="VRY12" s="10"/>
      <c r="VSB12" s="11"/>
      <c r="VSC12" s="10"/>
      <c r="VSF12" s="11"/>
      <c r="VSG12" s="10"/>
      <c r="VSJ12" s="11"/>
      <c r="VSK12" s="10"/>
      <c r="VSN12" s="11"/>
      <c r="VSO12" s="10"/>
      <c r="VSR12" s="11"/>
      <c r="VSS12" s="10"/>
      <c r="VSV12" s="11"/>
      <c r="VSW12" s="10"/>
      <c r="VSZ12" s="11"/>
      <c r="VTA12" s="10"/>
      <c r="VTD12" s="11"/>
      <c r="VTE12" s="10"/>
      <c r="VTH12" s="11"/>
      <c r="VTI12" s="10"/>
      <c r="VTL12" s="11"/>
      <c r="VTM12" s="10"/>
      <c r="VTP12" s="11"/>
      <c r="VTQ12" s="10"/>
      <c r="VTT12" s="11"/>
      <c r="VTU12" s="10"/>
      <c r="VTX12" s="11"/>
      <c r="VTY12" s="10"/>
      <c r="VUB12" s="11"/>
      <c r="VUC12" s="10"/>
      <c r="VUF12" s="11"/>
      <c r="VUG12" s="10"/>
      <c r="VUJ12" s="11"/>
      <c r="VUK12" s="10"/>
      <c r="VUN12" s="11"/>
      <c r="VUO12" s="10"/>
      <c r="VUR12" s="11"/>
      <c r="VUS12" s="10"/>
      <c r="VUV12" s="11"/>
      <c r="VUW12" s="10"/>
      <c r="VUZ12" s="11"/>
      <c r="VVA12" s="10"/>
      <c r="VVD12" s="11"/>
      <c r="VVE12" s="10"/>
      <c r="VVH12" s="11"/>
      <c r="VVI12" s="10"/>
      <c r="VVL12" s="11"/>
      <c r="VVM12" s="10"/>
      <c r="VVP12" s="11"/>
      <c r="VVQ12" s="10"/>
      <c r="VVT12" s="11"/>
      <c r="VVU12" s="10"/>
      <c r="VVX12" s="11"/>
      <c r="VVY12" s="10"/>
      <c r="VWB12" s="11"/>
      <c r="VWC12" s="10"/>
      <c r="VWF12" s="11"/>
      <c r="VWG12" s="10"/>
      <c r="VWJ12" s="11"/>
      <c r="VWK12" s="10"/>
      <c r="VWN12" s="11"/>
      <c r="VWO12" s="10"/>
      <c r="VWR12" s="11"/>
      <c r="VWS12" s="10"/>
      <c r="VWV12" s="11"/>
      <c r="VWW12" s="10"/>
      <c r="VWZ12" s="11"/>
      <c r="VXA12" s="10"/>
      <c r="VXD12" s="11"/>
      <c r="VXE12" s="10"/>
      <c r="VXH12" s="11"/>
      <c r="VXI12" s="10"/>
      <c r="VXL12" s="11"/>
      <c r="VXM12" s="10"/>
      <c r="VXP12" s="11"/>
      <c r="VXQ12" s="10"/>
      <c r="VXT12" s="11"/>
      <c r="VXU12" s="10"/>
      <c r="VXX12" s="11"/>
      <c r="VXY12" s="10"/>
      <c r="VYB12" s="11"/>
      <c r="VYC12" s="10"/>
      <c r="VYF12" s="11"/>
      <c r="VYG12" s="10"/>
      <c r="VYJ12" s="11"/>
      <c r="VYK12" s="10"/>
      <c r="VYN12" s="11"/>
      <c r="VYO12" s="10"/>
      <c r="VYR12" s="11"/>
      <c r="VYS12" s="10"/>
      <c r="VYV12" s="11"/>
      <c r="VYW12" s="10"/>
      <c r="VYZ12" s="11"/>
      <c r="VZA12" s="10"/>
      <c r="VZD12" s="11"/>
      <c r="VZE12" s="10"/>
      <c r="VZH12" s="11"/>
      <c r="VZI12" s="10"/>
      <c r="VZL12" s="11"/>
      <c r="VZM12" s="10"/>
      <c r="VZP12" s="11"/>
      <c r="VZQ12" s="10"/>
      <c r="VZT12" s="11"/>
      <c r="VZU12" s="10"/>
      <c r="VZX12" s="11"/>
      <c r="VZY12" s="10"/>
      <c r="WAB12" s="11"/>
      <c r="WAC12" s="10"/>
      <c r="WAF12" s="11"/>
      <c r="WAG12" s="10"/>
      <c r="WAJ12" s="11"/>
      <c r="WAK12" s="10"/>
      <c r="WAN12" s="11"/>
      <c r="WAO12" s="10"/>
      <c r="WAR12" s="11"/>
      <c r="WAS12" s="10"/>
      <c r="WAV12" s="11"/>
      <c r="WAW12" s="10"/>
      <c r="WAZ12" s="11"/>
      <c r="WBA12" s="10"/>
      <c r="WBD12" s="11"/>
      <c r="WBE12" s="10"/>
      <c r="WBH12" s="11"/>
      <c r="WBI12" s="10"/>
      <c r="WBL12" s="11"/>
      <c r="WBM12" s="10"/>
      <c r="WBP12" s="11"/>
      <c r="WBQ12" s="10"/>
      <c r="WBT12" s="11"/>
      <c r="WBU12" s="10"/>
      <c r="WBX12" s="11"/>
      <c r="WBY12" s="10"/>
      <c r="WCB12" s="11"/>
      <c r="WCC12" s="10"/>
      <c r="WCF12" s="11"/>
      <c r="WCG12" s="10"/>
      <c r="WCJ12" s="11"/>
      <c r="WCK12" s="10"/>
      <c r="WCN12" s="11"/>
      <c r="WCO12" s="10"/>
      <c r="WCR12" s="11"/>
      <c r="WCS12" s="10"/>
      <c r="WCV12" s="11"/>
      <c r="WCW12" s="10"/>
      <c r="WCZ12" s="11"/>
      <c r="WDA12" s="10"/>
      <c r="WDD12" s="11"/>
      <c r="WDE12" s="10"/>
      <c r="WDH12" s="11"/>
      <c r="WDI12" s="10"/>
      <c r="WDL12" s="11"/>
      <c r="WDM12" s="10"/>
      <c r="WDP12" s="11"/>
      <c r="WDQ12" s="10"/>
      <c r="WDT12" s="11"/>
      <c r="WDU12" s="10"/>
      <c r="WDX12" s="11"/>
      <c r="WDY12" s="10"/>
      <c r="WEB12" s="11"/>
      <c r="WEC12" s="10"/>
      <c r="WEF12" s="11"/>
      <c r="WEG12" s="10"/>
      <c r="WEJ12" s="11"/>
      <c r="WEK12" s="10"/>
      <c r="WEN12" s="11"/>
      <c r="WEO12" s="10"/>
      <c r="WER12" s="11"/>
      <c r="WES12" s="10"/>
      <c r="WEV12" s="11"/>
      <c r="WEW12" s="10"/>
      <c r="WEZ12" s="11"/>
      <c r="WFA12" s="10"/>
      <c r="WFD12" s="11"/>
      <c r="WFE12" s="10"/>
      <c r="WFH12" s="11"/>
      <c r="WFI12" s="10"/>
      <c r="WFL12" s="11"/>
      <c r="WFM12" s="10"/>
      <c r="WFP12" s="11"/>
      <c r="WFQ12" s="10"/>
      <c r="WFT12" s="11"/>
      <c r="WFU12" s="10"/>
      <c r="WFX12" s="11"/>
      <c r="WFY12" s="10"/>
      <c r="WGB12" s="11"/>
      <c r="WGC12" s="10"/>
      <c r="WGF12" s="11"/>
      <c r="WGG12" s="10"/>
      <c r="WGJ12" s="11"/>
      <c r="WGK12" s="10"/>
      <c r="WGN12" s="11"/>
      <c r="WGO12" s="10"/>
      <c r="WGR12" s="11"/>
      <c r="WGS12" s="10"/>
      <c r="WGV12" s="11"/>
      <c r="WGW12" s="10"/>
      <c r="WGZ12" s="11"/>
      <c r="WHA12" s="10"/>
      <c r="WHD12" s="11"/>
      <c r="WHE12" s="10"/>
      <c r="WHH12" s="11"/>
      <c r="WHI12" s="10"/>
      <c r="WHL12" s="11"/>
      <c r="WHM12" s="10"/>
      <c r="WHP12" s="11"/>
      <c r="WHQ12" s="10"/>
      <c r="WHT12" s="11"/>
      <c r="WHU12" s="10"/>
      <c r="WHX12" s="11"/>
      <c r="WHY12" s="10"/>
      <c r="WIB12" s="11"/>
      <c r="WIC12" s="10"/>
      <c r="WIF12" s="11"/>
      <c r="WIG12" s="10"/>
      <c r="WIJ12" s="11"/>
      <c r="WIK12" s="10"/>
      <c r="WIN12" s="11"/>
      <c r="WIO12" s="10"/>
      <c r="WIR12" s="11"/>
      <c r="WIS12" s="10"/>
      <c r="WIV12" s="11"/>
      <c r="WIW12" s="10"/>
      <c r="WIZ12" s="11"/>
      <c r="WJA12" s="10"/>
      <c r="WJD12" s="11"/>
      <c r="WJE12" s="10"/>
      <c r="WJH12" s="11"/>
      <c r="WJI12" s="10"/>
      <c r="WJL12" s="11"/>
      <c r="WJM12" s="10"/>
      <c r="WJP12" s="11"/>
      <c r="WJQ12" s="10"/>
      <c r="WJT12" s="11"/>
      <c r="WJU12" s="10"/>
      <c r="WJX12" s="11"/>
      <c r="WJY12" s="10"/>
      <c r="WKB12" s="11"/>
      <c r="WKC12" s="10"/>
      <c r="WKF12" s="11"/>
      <c r="WKG12" s="10"/>
      <c r="WKJ12" s="11"/>
      <c r="WKK12" s="10"/>
      <c r="WKN12" s="11"/>
      <c r="WKO12" s="10"/>
      <c r="WKR12" s="11"/>
      <c r="WKS12" s="10"/>
      <c r="WKV12" s="11"/>
      <c r="WKW12" s="10"/>
      <c r="WKZ12" s="11"/>
      <c r="WLA12" s="10"/>
      <c r="WLD12" s="11"/>
      <c r="WLE12" s="10"/>
      <c r="WLH12" s="11"/>
      <c r="WLI12" s="10"/>
      <c r="WLL12" s="11"/>
      <c r="WLM12" s="10"/>
      <c r="WLP12" s="11"/>
      <c r="WLQ12" s="10"/>
      <c r="WLT12" s="11"/>
      <c r="WLU12" s="10"/>
      <c r="WLX12" s="11"/>
      <c r="WLY12" s="10"/>
      <c r="WMB12" s="11"/>
      <c r="WMC12" s="10"/>
      <c r="WMF12" s="11"/>
      <c r="WMG12" s="10"/>
      <c r="WMJ12" s="11"/>
      <c r="WMK12" s="10"/>
      <c r="WMN12" s="11"/>
      <c r="WMO12" s="10"/>
      <c r="WMR12" s="11"/>
      <c r="WMS12" s="10"/>
      <c r="WMV12" s="11"/>
      <c r="WMW12" s="10"/>
      <c r="WMZ12" s="11"/>
      <c r="WNA12" s="10"/>
      <c r="WND12" s="11"/>
      <c r="WNE12" s="10"/>
      <c r="WNH12" s="11"/>
      <c r="WNI12" s="10"/>
      <c r="WNL12" s="11"/>
      <c r="WNM12" s="10"/>
      <c r="WNP12" s="11"/>
      <c r="WNQ12" s="10"/>
      <c r="WNT12" s="11"/>
      <c r="WNU12" s="10"/>
      <c r="WNX12" s="11"/>
      <c r="WNY12" s="10"/>
      <c r="WOB12" s="11"/>
      <c r="WOC12" s="10"/>
      <c r="WOF12" s="11"/>
      <c r="WOG12" s="10"/>
      <c r="WOJ12" s="11"/>
      <c r="WOK12" s="10"/>
      <c r="WON12" s="11"/>
      <c r="WOO12" s="10"/>
      <c r="WOR12" s="11"/>
      <c r="WOS12" s="10"/>
      <c r="WOV12" s="11"/>
      <c r="WOW12" s="10"/>
      <c r="WOZ12" s="11"/>
      <c r="WPA12" s="10"/>
      <c r="WPD12" s="11"/>
      <c r="WPE12" s="10"/>
      <c r="WPH12" s="11"/>
      <c r="WPI12" s="10"/>
      <c r="WPL12" s="11"/>
      <c r="WPM12" s="10"/>
      <c r="WPP12" s="11"/>
      <c r="WPQ12" s="10"/>
      <c r="WPT12" s="11"/>
      <c r="WPU12" s="10"/>
      <c r="WPX12" s="11"/>
      <c r="WPY12" s="10"/>
      <c r="WQB12" s="11"/>
      <c r="WQC12" s="10"/>
      <c r="WQF12" s="11"/>
      <c r="WQG12" s="10"/>
      <c r="WQJ12" s="11"/>
      <c r="WQK12" s="10"/>
      <c r="WQN12" s="11"/>
      <c r="WQO12" s="10"/>
      <c r="WQR12" s="11"/>
      <c r="WQS12" s="10"/>
      <c r="WQV12" s="11"/>
      <c r="WQW12" s="10"/>
      <c r="WQZ12" s="11"/>
      <c r="WRA12" s="10"/>
      <c r="WRD12" s="11"/>
      <c r="WRE12" s="10"/>
      <c r="WRH12" s="11"/>
      <c r="WRI12" s="10"/>
      <c r="WRL12" s="11"/>
      <c r="WRM12" s="10"/>
      <c r="WRP12" s="11"/>
      <c r="WRQ12" s="10"/>
      <c r="WRT12" s="11"/>
      <c r="WRU12" s="10"/>
      <c r="WRX12" s="11"/>
      <c r="WRY12" s="10"/>
      <c r="WSB12" s="11"/>
      <c r="WSC12" s="10"/>
      <c r="WSF12" s="11"/>
      <c r="WSG12" s="10"/>
      <c r="WSJ12" s="11"/>
      <c r="WSK12" s="10"/>
      <c r="WSN12" s="11"/>
      <c r="WSO12" s="10"/>
      <c r="WSR12" s="11"/>
      <c r="WSS12" s="10"/>
      <c r="WSV12" s="11"/>
      <c r="WSW12" s="10"/>
      <c r="WSZ12" s="11"/>
      <c r="WTA12" s="10"/>
      <c r="WTD12" s="11"/>
      <c r="WTE12" s="10"/>
      <c r="WTH12" s="11"/>
      <c r="WTI12" s="10"/>
      <c r="WTL12" s="11"/>
      <c r="WTM12" s="10"/>
      <c r="WTP12" s="11"/>
      <c r="WTQ12" s="10"/>
      <c r="WTT12" s="11"/>
      <c r="WTU12" s="10"/>
      <c r="WTX12" s="11"/>
      <c r="WTY12" s="10"/>
      <c r="WUB12" s="11"/>
      <c r="WUC12" s="10"/>
      <c r="WUF12" s="11"/>
      <c r="WUG12" s="10"/>
      <c r="WUJ12" s="11"/>
      <c r="WUK12" s="10"/>
      <c r="WUN12" s="11"/>
      <c r="WUO12" s="10"/>
      <c r="WUR12" s="11"/>
      <c r="WUS12" s="10"/>
      <c r="WUV12" s="11"/>
      <c r="WUW12" s="10"/>
      <c r="WUZ12" s="11"/>
      <c r="WVA12" s="10"/>
      <c r="WVD12" s="11"/>
      <c r="WVE12" s="10"/>
      <c r="WVH12" s="11"/>
      <c r="WVI12" s="10"/>
      <c r="WVL12" s="11"/>
      <c r="WVM12" s="10"/>
      <c r="WVP12" s="11"/>
      <c r="WVQ12" s="10"/>
      <c r="WVT12" s="11"/>
      <c r="WVU12" s="10"/>
      <c r="WVX12" s="11"/>
      <c r="WVY12" s="10"/>
      <c r="WWB12" s="11"/>
      <c r="WWC12" s="10"/>
      <c r="WWF12" s="11"/>
      <c r="WWG12" s="10"/>
      <c r="WWJ12" s="11"/>
      <c r="WWK12" s="10"/>
      <c r="WWN12" s="11"/>
      <c r="WWO12" s="10"/>
      <c r="WWR12" s="11"/>
      <c r="WWS12" s="10"/>
      <c r="WWV12" s="11"/>
      <c r="WWW12" s="10"/>
      <c r="WWZ12" s="11"/>
      <c r="WXA12" s="10"/>
      <c r="WXD12" s="11"/>
      <c r="WXE12" s="10"/>
      <c r="WXH12" s="11"/>
      <c r="WXI12" s="10"/>
      <c r="WXL12" s="11"/>
      <c r="WXM12" s="10"/>
      <c r="WXP12" s="11"/>
      <c r="WXQ12" s="10"/>
      <c r="WXT12" s="11"/>
      <c r="WXU12" s="10"/>
      <c r="WXX12" s="11"/>
      <c r="WXY12" s="10"/>
      <c r="WYB12" s="11"/>
      <c r="WYC12" s="10"/>
      <c r="WYF12" s="11"/>
      <c r="WYG12" s="10"/>
      <c r="WYJ12" s="11"/>
      <c r="WYK12" s="10"/>
      <c r="WYN12" s="11"/>
      <c r="WYO12" s="10"/>
      <c r="WYR12" s="11"/>
      <c r="WYS12" s="10"/>
      <c r="WYV12" s="11"/>
      <c r="WYW12" s="10"/>
      <c r="WYZ12" s="11"/>
      <c r="WZA12" s="10"/>
      <c r="WZD12" s="11"/>
      <c r="WZE12" s="10"/>
      <c r="WZH12" s="11"/>
      <c r="WZI12" s="10"/>
      <c r="WZL12" s="11"/>
      <c r="WZM12" s="10"/>
      <c r="WZP12" s="11"/>
      <c r="WZQ12" s="10"/>
      <c r="WZT12" s="11"/>
      <c r="WZU12" s="10"/>
      <c r="WZX12" s="11"/>
      <c r="WZY12" s="10"/>
      <c r="XAB12" s="11"/>
      <c r="XAC12" s="10"/>
      <c r="XAF12" s="11"/>
      <c r="XAG12" s="10"/>
      <c r="XAJ12" s="11"/>
      <c r="XAK12" s="10"/>
      <c r="XAN12" s="11"/>
      <c r="XAO12" s="10"/>
      <c r="XAR12" s="11"/>
      <c r="XAS12" s="10"/>
      <c r="XAV12" s="11"/>
      <c r="XAW12" s="10"/>
      <c r="XAZ12" s="11"/>
      <c r="XBA12" s="10"/>
      <c r="XBD12" s="11"/>
      <c r="XBE12" s="10"/>
      <c r="XBH12" s="11"/>
      <c r="XBI12" s="10"/>
      <c r="XBL12" s="11"/>
      <c r="XBM12" s="10"/>
      <c r="XBP12" s="11"/>
      <c r="XBQ12" s="10"/>
      <c r="XBT12" s="11"/>
      <c r="XBU12" s="10"/>
      <c r="XBX12" s="11"/>
      <c r="XBY12" s="10"/>
      <c r="XCB12" s="11"/>
      <c r="XCC12" s="10"/>
      <c r="XCF12" s="11"/>
      <c r="XCG12" s="10"/>
      <c r="XCJ12" s="11"/>
      <c r="XCK12" s="10"/>
      <c r="XCN12" s="11"/>
      <c r="XCO12" s="10"/>
      <c r="XCR12" s="11"/>
      <c r="XCS12" s="10"/>
      <c r="XCV12" s="11"/>
      <c r="XCW12" s="10"/>
      <c r="XCZ12" s="11"/>
      <c r="XDA12" s="10"/>
      <c r="XDD12" s="11"/>
      <c r="XDE12" s="10"/>
      <c r="XDH12" s="11"/>
      <c r="XDI12" s="10"/>
      <c r="XDL12" s="11"/>
      <c r="XDM12" s="10"/>
      <c r="XDP12" s="11"/>
      <c r="XDQ12" s="10"/>
      <c r="XDT12" s="11"/>
      <c r="XDU12" s="10"/>
      <c r="XDX12" s="11"/>
      <c r="XDY12" s="10"/>
      <c r="XEB12" s="11"/>
      <c r="XEC12" s="10"/>
      <c r="XEF12" s="11"/>
      <c r="XEG12" s="10"/>
      <c r="XEJ12" s="11"/>
      <c r="XEK12" s="10"/>
      <c r="XEN12" s="11"/>
      <c r="XEO12" s="10"/>
      <c r="XER12" s="11"/>
      <c r="XES12" s="10"/>
      <c r="XEV12" s="11"/>
      <c r="XEW12" s="10"/>
      <c r="XEZ12" s="11"/>
      <c r="XFA12" s="10"/>
    </row>
    <row r="13" spans="1:16381" x14ac:dyDescent="0.25">
      <c r="A13" s="9" t="s">
        <v>1862</v>
      </c>
      <c r="B13" s="5" t="s">
        <v>1907</v>
      </c>
      <c r="C13" s="5" t="s">
        <v>1948</v>
      </c>
      <c r="D13" s="5" t="s">
        <v>1993</v>
      </c>
      <c r="E13" s="5" t="s">
        <v>2038</v>
      </c>
      <c r="F13" s="5" t="s">
        <v>2083</v>
      </c>
      <c r="G13" s="5" t="s">
        <v>2127</v>
      </c>
      <c r="H13" s="5" t="s">
        <v>2172</v>
      </c>
      <c r="I13" s="5" t="s">
        <v>2730</v>
      </c>
      <c r="J13" s="5" t="s">
        <v>2627</v>
      </c>
      <c r="K13" s="5" t="s">
        <v>2522</v>
      </c>
      <c r="L13" s="5" t="s">
        <v>2417</v>
      </c>
      <c r="M13" s="5" t="s">
        <v>3572</v>
      </c>
      <c r="N13" s="5" t="s">
        <v>3474</v>
      </c>
    </row>
    <row r="14" spans="1:16381" x14ac:dyDescent="0.25">
      <c r="A14" s="9" t="s">
        <v>1880</v>
      </c>
      <c r="B14" s="5" t="s">
        <v>1923</v>
      </c>
      <c r="C14" s="5" t="s">
        <v>1966</v>
      </c>
      <c r="D14" s="5" t="s">
        <v>2011</v>
      </c>
      <c r="E14" s="5" t="s">
        <v>2056</v>
      </c>
      <c r="F14" s="5" t="s">
        <v>2101</v>
      </c>
      <c r="G14" s="5" t="s">
        <v>2145</v>
      </c>
      <c r="H14" s="5" t="s">
        <v>2190</v>
      </c>
      <c r="I14" s="5" t="s">
        <v>2731</v>
      </c>
      <c r="J14" s="5" t="s">
        <v>2628</v>
      </c>
      <c r="K14" s="5" t="s">
        <v>2523</v>
      </c>
      <c r="L14" s="5" t="s">
        <v>2418</v>
      </c>
      <c r="M14" s="5" t="s">
        <v>3573</v>
      </c>
      <c r="N14" s="5" t="s">
        <v>3475</v>
      </c>
    </row>
    <row r="15" spans="1:16381" x14ac:dyDescent="0.25">
      <c r="A15" s="9" t="s">
        <v>1874</v>
      </c>
      <c r="B15" s="5" t="s">
        <v>1918</v>
      </c>
      <c r="C15" s="5" t="s">
        <v>1960</v>
      </c>
      <c r="D15" s="5" t="s">
        <v>2005</v>
      </c>
      <c r="E15" s="5" t="s">
        <v>2050</v>
      </c>
      <c r="F15" s="5" t="s">
        <v>2095</v>
      </c>
      <c r="G15" s="5" t="s">
        <v>2139</v>
      </c>
      <c r="H15" s="5" t="s">
        <v>2184</v>
      </c>
      <c r="I15" s="5" t="s">
        <v>2732</v>
      </c>
      <c r="J15" s="5" t="s">
        <v>2629</v>
      </c>
      <c r="K15" s="5" t="s">
        <v>2524</v>
      </c>
      <c r="L15" s="5" t="s">
        <v>2419</v>
      </c>
      <c r="M15" s="5" t="s">
        <v>3574</v>
      </c>
      <c r="N15" s="5" t="s">
        <v>3476</v>
      </c>
    </row>
    <row r="16" spans="1:16381" x14ac:dyDescent="0.25">
      <c r="A16" s="9" t="s">
        <v>1860</v>
      </c>
      <c r="B16" s="5" t="s">
        <v>1905</v>
      </c>
      <c r="C16" s="5" t="s">
        <v>1946</v>
      </c>
      <c r="D16" s="5" t="s">
        <v>1991</v>
      </c>
      <c r="E16" s="5" t="s">
        <v>2036</v>
      </c>
      <c r="F16" s="5" t="s">
        <v>2081</v>
      </c>
      <c r="G16" s="5" t="s">
        <v>2125</v>
      </c>
      <c r="H16" s="5" t="s">
        <v>2170</v>
      </c>
      <c r="I16" s="5" t="s">
        <v>2733</v>
      </c>
      <c r="J16" s="5" t="s">
        <v>2630</v>
      </c>
      <c r="K16" s="5" t="s">
        <v>2525</v>
      </c>
      <c r="L16" s="5" t="s">
        <v>2420</v>
      </c>
      <c r="M16" s="5" t="s">
        <v>3575</v>
      </c>
      <c r="N16" s="5" t="s">
        <v>3477</v>
      </c>
    </row>
    <row r="17" spans="1:14" x14ac:dyDescent="0.25">
      <c r="A17" s="9" t="s">
        <v>1857</v>
      </c>
      <c r="B17" s="5" t="s">
        <v>1902</v>
      </c>
      <c r="C17" s="5" t="s">
        <v>1943</v>
      </c>
      <c r="D17" s="5" t="s">
        <v>1988</v>
      </c>
      <c r="E17" s="5" t="s">
        <v>2033</v>
      </c>
      <c r="F17" s="5" t="s">
        <v>2078</v>
      </c>
      <c r="G17" s="5" t="s">
        <v>2122</v>
      </c>
      <c r="H17" s="5" t="s">
        <v>2167</v>
      </c>
      <c r="I17" s="5" t="s">
        <v>2734</v>
      </c>
      <c r="J17" s="5" t="s">
        <v>2631</v>
      </c>
      <c r="K17" s="5" t="s">
        <v>2526</v>
      </c>
      <c r="L17" s="5" t="s">
        <v>2421</v>
      </c>
      <c r="M17" s="5" t="s">
        <v>3576</v>
      </c>
      <c r="N17" s="5" t="s">
        <v>3478</v>
      </c>
    </row>
    <row r="18" spans="1:14" x14ac:dyDescent="0.25">
      <c r="A18" s="9" t="s">
        <v>1878</v>
      </c>
      <c r="B18" s="5" t="s">
        <v>1921</v>
      </c>
      <c r="C18" s="5" t="s">
        <v>1964</v>
      </c>
      <c r="D18" s="5" t="s">
        <v>2009</v>
      </c>
      <c r="E18" s="5" t="s">
        <v>2054</v>
      </c>
      <c r="F18" s="5" t="s">
        <v>2099</v>
      </c>
      <c r="G18" s="5" t="s">
        <v>2143</v>
      </c>
      <c r="H18" s="5" t="s">
        <v>2188</v>
      </c>
      <c r="I18" s="5" t="s">
        <v>2735</v>
      </c>
      <c r="J18" s="5" t="s">
        <v>2632</v>
      </c>
      <c r="K18" s="5" t="s">
        <v>2527</v>
      </c>
      <c r="L18" s="5" t="s">
        <v>2422</v>
      </c>
      <c r="M18" s="5" t="s">
        <v>3577</v>
      </c>
      <c r="N18" s="5" t="s">
        <v>3479</v>
      </c>
    </row>
    <row r="19" spans="1:14" x14ac:dyDescent="0.25">
      <c r="A19" s="9" t="s">
        <v>288</v>
      </c>
      <c r="B19" s="5" t="s">
        <v>635</v>
      </c>
      <c r="C19" s="5" t="s">
        <v>289</v>
      </c>
      <c r="D19" s="5" t="s">
        <v>290</v>
      </c>
      <c r="E19" s="5" t="s">
        <v>291</v>
      </c>
      <c r="F19" s="5" t="s">
        <v>292</v>
      </c>
      <c r="G19" s="5" t="s">
        <v>293</v>
      </c>
      <c r="H19" s="5" t="s">
        <v>294</v>
      </c>
      <c r="I19" s="5" t="s">
        <v>2736</v>
      </c>
      <c r="J19" s="5" t="s">
        <v>2633</v>
      </c>
      <c r="K19" s="5" t="s">
        <v>2528</v>
      </c>
      <c r="L19" s="5" t="s">
        <v>2423</v>
      </c>
      <c r="M19" s="5" t="s">
        <v>3578</v>
      </c>
      <c r="N19" s="5" t="s">
        <v>3480</v>
      </c>
    </row>
    <row r="20" spans="1:14" x14ac:dyDescent="0.25">
      <c r="A20" s="9" t="s">
        <v>2265</v>
      </c>
      <c r="B20" s="5" t="s">
        <v>2279</v>
      </c>
      <c r="C20" s="5" t="s">
        <v>2277</v>
      </c>
      <c r="D20" s="5" t="s">
        <v>2275</v>
      </c>
      <c r="E20" s="5" t="s">
        <v>2273</v>
      </c>
      <c r="F20" s="5" t="s">
        <v>2271</v>
      </c>
      <c r="G20" s="5" t="s">
        <v>2269</v>
      </c>
      <c r="H20" s="5" t="s">
        <v>2267</v>
      </c>
      <c r="I20" s="5" t="s">
        <v>2737</v>
      </c>
      <c r="J20" s="5" t="s">
        <v>2634</v>
      </c>
      <c r="K20" s="5" t="s">
        <v>2529</v>
      </c>
      <c r="L20" s="5" t="s">
        <v>2424</v>
      </c>
      <c r="M20" s="5" t="s">
        <v>3579</v>
      </c>
      <c r="N20" s="5" t="s">
        <v>3481</v>
      </c>
    </row>
    <row r="21" spans="1:14" x14ac:dyDescent="0.25">
      <c r="A21" s="9" t="s">
        <v>1867</v>
      </c>
      <c r="B21" s="5" t="s">
        <v>1911</v>
      </c>
      <c r="C21" s="5" t="s">
        <v>1953</v>
      </c>
      <c r="D21" s="5" t="s">
        <v>1998</v>
      </c>
      <c r="E21" s="5" t="s">
        <v>2043</v>
      </c>
      <c r="F21" s="5" t="s">
        <v>2088</v>
      </c>
      <c r="G21" s="5" t="s">
        <v>2132</v>
      </c>
      <c r="H21" s="5" t="s">
        <v>2177</v>
      </c>
      <c r="I21" s="5" t="s">
        <v>2738</v>
      </c>
      <c r="J21" s="5" t="s">
        <v>2635</v>
      </c>
      <c r="K21" s="5" t="s">
        <v>2530</v>
      </c>
      <c r="L21" s="5" t="s">
        <v>2425</v>
      </c>
      <c r="M21" s="5" t="s">
        <v>3580</v>
      </c>
      <c r="N21" s="5" t="s">
        <v>3482</v>
      </c>
    </row>
    <row r="22" spans="1:14" x14ac:dyDescent="0.25">
      <c r="A22" s="9" t="s">
        <v>1868</v>
      </c>
      <c r="B22" s="5" t="s">
        <v>1912</v>
      </c>
      <c r="C22" s="5" t="s">
        <v>1954</v>
      </c>
      <c r="D22" s="5" t="s">
        <v>1999</v>
      </c>
      <c r="E22" s="5" t="s">
        <v>2044</v>
      </c>
      <c r="F22" s="5" t="s">
        <v>2089</v>
      </c>
      <c r="G22" s="5" t="s">
        <v>2133</v>
      </c>
      <c r="H22" s="5" t="s">
        <v>2178</v>
      </c>
      <c r="I22" s="5" t="s">
        <v>2739</v>
      </c>
      <c r="J22" s="5" t="s">
        <v>2636</v>
      </c>
      <c r="K22" s="5" t="s">
        <v>2531</v>
      </c>
      <c r="L22" s="5" t="s">
        <v>2426</v>
      </c>
      <c r="M22" s="5" t="s">
        <v>3581</v>
      </c>
      <c r="N22" s="5" t="s">
        <v>3483</v>
      </c>
    </row>
    <row r="23" spans="1:14" x14ac:dyDescent="0.25">
      <c r="A23" s="9" t="s">
        <v>2215</v>
      </c>
      <c r="B23" s="5" t="s">
        <v>2221</v>
      </c>
      <c r="C23" s="5" t="s">
        <v>2228</v>
      </c>
      <c r="D23" s="5" t="s">
        <v>2235</v>
      </c>
      <c r="E23" s="5" t="s">
        <v>2242</v>
      </c>
      <c r="F23" s="5" t="s">
        <v>2249</v>
      </c>
      <c r="G23" s="5" t="s">
        <v>2256</v>
      </c>
      <c r="H23" s="5" t="s">
        <v>2263</v>
      </c>
      <c r="I23" s="5" t="s">
        <v>2740</v>
      </c>
      <c r="J23" s="5" t="s">
        <v>2637</v>
      </c>
      <c r="K23" s="5" t="s">
        <v>2532</v>
      </c>
      <c r="L23" s="5" t="s">
        <v>2427</v>
      </c>
      <c r="M23" s="5" t="s">
        <v>3582</v>
      </c>
      <c r="N23" s="5" t="s">
        <v>3484</v>
      </c>
    </row>
    <row r="24" spans="1:14" x14ac:dyDescent="0.25">
      <c r="A24" s="9" t="s">
        <v>1872</v>
      </c>
      <c r="B24" s="5" t="s">
        <v>1916</v>
      </c>
      <c r="C24" s="5" t="s">
        <v>1958</v>
      </c>
      <c r="D24" s="5" t="s">
        <v>2003</v>
      </c>
      <c r="E24" s="5" t="s">
        <v>2048</v>
      </c>
      <c r="F24" s="5" t="s">
        <v>2093</v>
      </c>
      <c r="G24" s="5" t="s">
        <v>2137</v>
      </c>
      <c r="H24" s="5" t="s">
        <v>2182</v>
      </c>
      <c r="I24" s="5" t="s">
        <v>2741</v>
      </c>
      <c r="J24" s="5" t="s">
        <v>2638</v>
      </c>
      <c r="K24" s="5" t="s">
        <v>2533</v>
      </c>
      <c r="L24" s="5" t="s">
        <v>2428</v>
      </c>
      <c r="M24" s="5" t="s">
        <v>3583</v>
      </c>
      <c r="N24" s="5" t="s">
        <v>3485</v>
      </c>
    </row>
    <row r="25" spans="1:14" x14ac:dyDescent="0.25">
      <c r="A25" s="9" t="s">
        <v>2285</v>
      </c>
      <c r="B25" s="5" t="s">
        <v>2287</v>
      </c>
      <c r="C25" s="5" t="s">
        <v>2289</v>
      </c>
      <c r="D25" s="5" t="s">
        <v>2291</v>
      </c>
      <c r="E25" s="5" t="s">
        <v>2293</v>
      </c>
      <c r="F25" s="5" t="s">
        <v>2295</v>
      </c>
      <c r="G25" s="5" t="s">
        <v>2291</v>
      </c>
      <c r="H25" s="5" t="s">
        <v>2298</v>
      </c>
      <c r="I25" s="5" t="s">
        <v>2742</v>
      </c>
      <c r="J25" s="5" t="s">
        <v>2639</v>
      </c>
      <c r="K25" s="5" t="s">
        <v>2534</v>
      </c>
      <c r="L25" s="5" t="s">
        <v>2429</v>
      </c>
      <c r="M25" s="5" t="s">
        <v>3584</v>
      </c>
      <c r="N25" s="5" t="s">
        <v>3486</v>
      </c>
    </row>
    <row r="26" spans="1:14" x14ac:dyDescent="0.25">
      <c r="A26" s="9" t="s">
        <v>489</v>
      </c>
      <c r="B26" s="5" t="s">
        <v>636</v>
      </c>
      <c r="C26" s="5" t="s">
        <v>713</v>
      </c>
      <c r="D26" s="5" t="s">
        <v>804</v>
      </c>
      <c r="E26" s="5" t="s">
        <v>895</v>
      </c>
      <c r="F26" s="5" t="s">
        <v>983</v>
      </c>
      <c r="G26" s="5" t="s">
        <v>1073</v>
      </c>
      <c r="H26" s="5" t="s">
        <v>1153</v>
      </c>
      <c r="I26" s="5" t="s">
        <v>2743</v>
      </c>
      <c r="J26" s="5" t="s">
        <v>2640</v>
      </c>
      <c r="K26" s="5" t="s">
        <v>2535</v>
      </c>
      <c r="L26" s="5" t="s">
        <v>2430</v>
      </c>
      <c r="M26" s="5" t="s">
        <v>3585</v>
      </c>
      <c r="N26" s="5" t="s">
        <v>3487</v>
      </c>
    </row>
    <row r="27" spans="1:14" x14ac:dyDescent="0.25">
      <c r="A27" s="9" t="s">
        <v>233</v>
      </c>
      <c r="B27" s="5" t="s">
        <v>637</v>
      </c>
      <c r="C27" s="5" t="s">
        <v>714</v>
      </c>
      <c r="D27" s="5" t="s">
        <v>234</v>
      </c>
      <c r="E27" s="5" t="s">
        <v>235</v>
      </c>
      <c r="F27" s="5" t="s">
        <v>236</v>
      </c>
      <c r="G27" s="5" t="s">
        <v>237</v>
      </c>
      <c r="H27" s="5" t="s">
        <v>238</v>
      </c>
      <c r="I27" s="5" t="s">
        <v>2744</v>
      </c>
      <c r="J27" s="5" t="s">
        <v>2641</v>
      </c>
      <c r="K27" s="5" t="s">
        <v>2536</v>
      </c>
      <c r="L27" s="5" t="s">
        <v>2431</v>
      </c>
      <c r="M27" s="5" t="s">
        <v>3586</v>
      </c>
      <c r="N27" s="5" t="s">
        <v>3488</v>
      </c>
    </row>
    <row r="28" spans="1:14" x14ac:dyDescent="0.25">
      <c r="A28" s="9" t="s">
        <v>227</v>
      </c>
      <c r="B28" s="5" t="s">
        <v>638</v>
      </c>
      <c r="C28" s="5" t="s">
        <v>715</v>
      </c>
      <c r="D28" s="5" t="s">
        <v>228</v>
      </c>
      <c r="E28" s="5" t="s">
        <v>229</v>
      </c>
      <c r="F28" s="5" t="s">
        <v>230</v>
      </c>
      <c r="G28" s="5" t="s">
        <v>231</v>
      </c>
      <c r="H28" s="5" t="s">
        <v>232</v>
      </c>
      <c r="I28" s="5" t="s">
        <v>2745</v>
      </c>
      <c r="J28" s="5" t="s">
        <v>2642</v>
      </c>
      <c r="K28" s="5" t="s">
        <v>2537</v>
      </c>
      <c r="L28" s="5" t="s">
        <v>2432</v>
      </c>
      <c r="M28" s="5" t="s">
        <v>3587</v>
      </c>
      <c r="N28" s="5" t="s">
        <v>3489</v>
      </c>
    </row>
    <row r="29" spans="1:14" x14ac:dyDescent="0.25">
      <c r="A29" s="9" t="s">
        <v>490</v>
      </c>
      <c r="B29" s="5" t="s">
        <v>639</v>
      </c>
      <c r="C29" s="5" t="s">
        <v>716</v>
      </c>
      <c r="D29" s="5" t="s">
        <v>805</v>
      </c>
      <c r="E29" s="5" t="s">
        <v>896</v>
      </c>
      <c r="F29" s="5" t="s">
        <v>984</v>
      </c>
      <c r="G29" s="5" t="s">
        <v>1074</v>
      </c>
      <c r="H29" s="5" t="s">
        <v>1154</v>
      </c>
      <c r="I29" s="5" t="s">
        <v>2746</v>
      </c>
      <c r="J29" s="5" t="s">
        <v>2643</v>
      </c>
      <c r="K29" s="5" t="s">
        <v>2538</v>
      </c>
      <c r="L29" s="5" t="s">
        <v>2433</v>
      </c>
      <c r="M29" s="5" t="s">
        <v>3588</v>
      </c>
      <c r="N29" s="5" t="s">
        <v>3490</v>
      </c>
    </row>
    <row r="30" spans="1:14" x14ac:dyDescent="0.25">
      <c r="A30" s="9" t="s">
        <v>1837</v>
      </c>
      <c r="B30" s="5" t="s">
        <v>1891</v>
      </c>
      <c r="C30" s="5" t="s">
        <v>1932</v>
      </c>
      <c r="D30" s="5" t="s">
        <v>1977</v>
      </c>
      <c r="E30" s="5" t="s">
        <v>2022</v>
      </c>
      <c r="F30" s="5" t="s">
        <v>2067</v>
      </c>
      <c r="G30" s="5" t="s">
        <v>2112</v>
      </c>
      <c r="H30" s="5" t="s">
        <v>2156</v>
      </c>
      <c r="I30" s="5" t="s">
        <v>2747</v>
      </c>
      <c r="J30" s="5" t="s">
        <v>2644</v>
      </c>
      <c r="K30" s="5" t="s">
        <v>2539</v>
      </c>
      <c r="L30" s="5" t="s">
        <v>2434</v>
      </c>
      <c r="M30" s="5" t="s">
        <v>3589</v>
      </c>
      <c r="N30" s="5" t="s">
        <v>3491</v>
      </c>
    </row>
    <row r="31" spans="1:14" x14ac:dyDescent="0.25">
      <c r="A31" s="9" t="s">
        <v>239</v>
      </c>
      <c r="B31" s="5" t="s">
        <v>640</v>
      </c>
      <c r="C31" s="5" t="s">
        <v>717</v>
      </c>
      <c r="D31" s="5" t="s">
        <v>240</v>
      </c>
      <c r="E31" s="5" t="s">
        <v>241</v>
      </c>
      <c r="F31" s="5" t="s">
        <v>242</v>
      </c>
      <c r="G31" s="5" t="s">
        <v>243</v>
      </c>
      <c r="H31" s="5" t="s">
        <v>244</v>
      </c>
      <c r="I31" s="5" t="s">
        <v>2748</v>
      </c>
      <c r="J31" s="5" t="s">
        <v>2645</v>
      </c>
      <c r="K31" s="5" t="s">
        <v>2540</v>
      </c>
      <c r="L31" s="5" t="s">
        <v>2435</v>
      </c>
      <c r="M31" s="5" t="s">
        <v>3590</v>
      </c>
      <c r="N31" s="5" t="s">
        <v>3492</v>
      </c>
    </row>
    <row r="32" spans="1:14" x14ac:dyDescent="0.25">
      <c r="A32" s="9" t="s">
        <v>1886</v>
      </c>
      <c r="B32" s="5" t="s">
        <v>3461</v>
      </c>
      <c r="C32" s="5" t="s">
        <v>1973</v>
      </c>
      <c r="D32" s="5" t="s">
        <v>2018</v>
      </c>
      <c r="E32" s="5" t="s">
        <v>2063</v>
      </c>
      <c r="F32" s="5" t="s">
        <v>2108</v>
      </c>
      <c r="G32" s="5" t="s">
        <v>2152</v>
      </c>
      <c r="H32" s="5" t="s">
        <v>2197</v>
      </c>
      <c r="I32" s="5" t="s">
        <v>2749</v>
      </c>
      <c r="J32" s="5" t="s">
        <v>2646</v>
      </c>
      <c r="K32" s="5" t="s">
        <v>2541</v>
      </c>
      <c r="L32" s="5" t="s">
        <v>2436</v>
      </c>
      <c r="M32" s="5" t="s">
        <v>3591</v>
      </c>
      <c r="N32" s="5" t="s">
        <v>3493</v>
      </c>
    </row>
    <row r="33" spans="1:14" x14ac:dyDescent="0.25">
      <c r="A33" s="9" t="s">
        <v>491</v>
      </c>
      <c r="B33" s="5" t="s">
        <v>2283</v>
      </c>
      <c r="C33" s="5" t="s">
        <v>718</v>
      </c>
      <c r="D33" s="5" t="s">
        <v>806</v>
      </c>
      <c r="E33" s="5" t="s">
        <v>897</v>
      </c>
      <c r="F33" s="5" t="s">
        <v>985</v>
      </c>
      <c r="G33" s="5" t="s">
        <v>1075</v>
      </c>
      <c r="H33" s="5" t="s">
        <v>1155</v>
      </c>
      <c r="I33" s="5" t="s">
        <v>2750</v>
      </c>
      <c r="J33" s="5" t="s">
        <v>2647</v>
      </c>
      <c r="K33" s="5" t="s">
        <v>2542</v>
      </c>
      <c r="L33" s="5" t="s">
        <v>2437</v>
      </c>
      <c r="M33" s="5" t="s">
        <v>3592</v>
      </c>
      <c r="N33" s="5" t="s">
        <v>3494</v>
      </c>
    </row>
    <row r="34" spans="1:14" x14ac:dyDescent="0.25">
      <c r="A34" s="9" t="s">
        <v>492</v>
      </c>
      <c r="B34" s="5" t="s">
        <v>641</v>
      </c>
      <c r="C34" s="5" t="s">
        <v>719</v>
      </c>
      <c r="D34" s="5" t="s">
        <v>807</v>
      </c>
      <c r="E34" s="5" t="s">
        <v>898</v>
      </c>
      <c r="F34" s="5" t="s">
        <v>986</v>
      </c>
      <c r="G34" s="5" t="s">
        <v>1076</v>
      </c>
      <c r="H34" s="5" t="s">
        <v>1156</v>
      </c>
      <c r="I34" s="5" t="s">
        <v>2751</v>
      </c>
      <c r="J34" s="5" t="s">
        <v>2648</v>
      </c>
      <c r="K34" s="5" t="s">
        <v>2543</v>
      </c>
      <c r="L34" s="5" t="s">
        <v>2438</v>
      </c>
      <c r="M34" s="5" t="s">
        <v>3593</v>
      </c>
      <c r="N34" s="5" t="s">
        <v>3495</v>
      </c>
    </row>
    <row r="35" spans="1:14" x14ac:dyDescent="0.25">
      <c r="A35" s="9" t="s">
        <v>2214</v>
      </c>
      <c r="B35" s="5" t="s">
        <v>2220</v>
      </c>
      <c r="C35" s="5" t="s">
        <v>2227</v>
      </c>
      <c r="D35" s="5" t="s">
        <v>2234</v>
      </c>
      <c r="E35" s="5" t="s">
        <v>2241</v>
      </c>
      <c r="F35" s="5" t="s">
        <v>2248</v>
      </c>
      <c r="G35" s="5" t="s">
        <v>2255</v>
      </c>
      <c r="H35" s="5" t="s">
        <v>2262</v>
      </c>
      <c r="I35" s="5" t="s">
        <v>2752</v>
      </c>
      <c r="J35" s="5" t="s">
        <v>2649</v>
      </c>
      <c r="K35" s="5" t="s">
        <v>2544</v>
      </c>
      <c r="L35" s="5" t="s">
        <v>2439</v>
      </c>
      <c r="M35" s="5" t="s">
        <v>3594</v>
      </c>
      <c r="N35" s="5" t="s">
        <v>3496</v>
      </c>
    </row>
    <row r="36" spans="1:14" x14ac:dyDescent="0.25">
      <c r="A36" s="9" t="s">
        <v>295</v>
      </c>
      <c r="B36" s="5" t="s">
        <v>296</v>
      </c>
      <c r="C36" s="5" t="s">
        <v>297</v>
      </c>
      <c r="D36" s="5" t="s">
        <v>298</v>
      </c>
      <c r="E36" s="5" t="s">
        <v>899</v>
      </c>
      <c r="F36" s="5" t="s">
        <v>299</v>
      </c>
      <c r="G36" s="5" t="s">
        <v>300</v>
      </c>
      <c r="H36" s="5" t="s">
        <v>301</v>
      </c>
      <c r="I36" s="5" t="s">
        <v>2753</v>
      </c>
      <c r="J36" s="5" t="s">
        <v>2650</v>
      </c>
      <c r="K36" s="5" t="s">
        <v>2545</v>
      </c>
      <c r="L36" s="5" t="s">
        <v>2440</v>
      </c>
      <c r="M36" s="5" t="s">
        <v>3595</v>
      </c>
      <c r="N36" s="5" t="s">
        <v>3497</v>
      </c>
    </row>
    <row r="37" spans="1:14" x14ac:dyDescent="0.25">
      <c r="A37" s="9" t="s">
        <v>493</v>
      </c>
      <c r="B37" s="5" t="s">
        <v>642</v>
      </c>
      <c r="C37" s="5" t="s">
        <v>720</v>
      </c>
      <c r="D37" s="5" t="s">
        <v>808</v>
      </c>
      <c r="E37" s="5" t="s">
        <v>900</v>
      </c>
      <c r="F37" s="5" t="s">
        <v>987</v>
      </c>
      <c r="G37" s="5" t="s">
        <v>1077</v>
      </c>
      <c r="H37" s="5" t="s">
        <v>1157</v>
      </c>
      <c r="I37" s="5" t="s">
        <v>2754</v>
      </c>
      <c r="J37" s="5" t="s">
        <v>2651</v>
      </c>
      <c r="K37" s="5" t="s">
        <v>2546</v>
      </c>
      <c r="L37" s="5" t="s">
        <v>2441</v>
      </c>
      <c r="M37" s="5" t="s">
        <v>3596</v>
      </c>
      <c r="N37" s="5" t="s">
        <v>3498</v>
      </c>
    </row>
    <row r="38" spans="1:14" x14ac:dyDescent="0.25">
      <c r="A38" s="9" t="s">
        <v>102</v>
      </c>
      <c r="B38" s="5" t="s">
        <v>643</v>
      </c>
      <c r="C38" s="5" t="s">
        <v>102</v>
      </c>
      <c r="D38" s="5" t="s">
        <v>103</v>
      </c>
      <c r="E38" s="5" t="s">
        <v>102</v>
      </c>
      <c r="F38" s="5" t="s">
        <v>104</v>
      </c>
      <c r="G38" s="5" t="s">
        <v>1078</v>
      </c>
      <c r="H38" s="5" t="s">
        <v>105</v>
      </c>
      <c r="I38" s="5" t="s">
        <v>2755</v>
      </c>
      <c r="J38" s="5" t="s">
        <v>2652</v>
      </c>
      <c r="K38" s="5" t="s">
        <v>2547</v>
      </c>
      <c r="L38" s="5" t="s">
        <v>2442</v>
      </c>
      <c r="M38" s="5" t="s">
        <v>3597</v>
      </c>
      <c r="N38" s="5" t="s">
        <v>3499</v>
      </c>
    </row>
    <row r="39" spans="1:14" x14ac:dyDescent="0.25">
      <c r="A39" s="9" t="s">
        <v>494</v>
      </c>
      <c r="B39" s="5" t="s">
        <v>644</v>
      </c>
      <c r="C39" s="5" t="s">
        <v>721</v>
      </c>
      <c r="D39" s="5" t="s">
        <v>809</v>
      </c>
      <c r="E39" s="5" t="s">
        <v>901</v>
      </c>
      <c r="F39" s="5" t="s">
        <v>988</v>
      </c>
      <c r="G39" s="5" t="s">
        <v>1079</v>
      </c>
      <c r="H39" s="5" t="s">
        <v>1158</v>
      </c>
      <c r="I39" s="5" t="s">
        <v>2756</v>
      </c>
      <c r="J39" s="5" t="s">
        <v>2653</v>
      </c>
      <c r="K39" s="5" t="s">
        <v>2548</v>
      </c>
      <c r="L39" s="5" t="s">
        <v>2443</v>
      </c>
      <c r="M39" s="5" t="s">
        <v>3598</v>
      </c>
      <c r="N39" s="5" t="s">
        <v>3500</v>
      </c>
    </row>
    <row r="40" spans="1:14" x14ac:dyDescent="0.25">
      <c r="A40" s="9" t="s">
        <v>495</v>
      </c>
      <c r="B40" s="5" t="s">
        <v>1825</v>
      </c>
      <c r="C40" s="5" t="s">
        <v>722</v>
      </c>
      <c r="D40" s="5" t="s">
        <v>810</v>
      </c>
      <c r="E40" s="5" t="s">
        <v>902</v>
      </c>
      <c r="F40" s="5" t="s">
        <v>989</v>
      </c>
      <c r="G40" s="5" t="s">
        <v>1080</v>
      </c>
      <c r="H40" s="5" t="s">
        <v>1159</v>
      </c>
      <c r="I40" s="5" t="s">
        <v>2757</v>
      </c>
      <c r="J40" s="5" t="s">
        <v>2654</v>
      </c>
      <c r="K40" s="5" t="s">
        <v>2549</v>
      </c>
      <c r="L40" s="5" t="s">
        <v>2444</v>
      </c>
      <c r="M40" s="5" t="s">
        <v>3599</v>
      </c>
      <c r="N40" s="5" t="s">
        <v>3501</v>
      </c>
    </row>
    <row r="41" spans="1:14" x14ac:dyDescent="0.25">
      <c r="A41" s="9" t="s">
        <v>496</v>
      </c>
      <c r="B41" s="5" t="s">
        <v>1821</v>
      </c>
      <c r="C41" s="5" t="s">
        <v>723</v>
      </c>
      <c r="D41" s="5" t="s">
        <v>811</v>
      </c>
      <c r="E41" s="5" t="s">
        <v>903</v>
      </c>
      <c r="F41" s="5" t="s">
        <v>990</v>
      </c>
      <c r="G41" s="5" t="s">
        <v>1081</v>
      </c>
      <c r="H41" s="5" t="s">
        <v>1160</v>
      </c>
      <c r="I41" s="5" t="s">
        <v>2758</v>
      </c>
      <c r="J41" s="5" t="s">
        <v>2655</v>
      </c>
      <c r="K41" s="5" t="s">
        <v>2550</v>
      </c>
      <c r="L41" s="5" t="s">
        <v>2445</v>
      </c>
      <c r="M41" s="5" t="s">
        <v>3600</v>
      </c>
      <c r="N41" s="5" t="s">
        <v>3502</v>
      </c>
    </row>
    <row r="42" spans="1:14" x14ac:dyDescent="0.25">
      <c r="A42" s="9" t="s">
        <v>4</v>
      </c>
      <c r="B42" s="5" t="s">
        <v>363</v>
      </c>
      <c r="C42" s="5" t="s">
        <v>381</v>
      </c>
      <c r="D42" s="5" t="s">
        <v>812</v>
      </c>
      <c r="E42" s="5" t="s">
        <v>904</v>
      </c>
      <c r="F42" s="5" t="s">
        <v>991</v>
      </c>
      <c r="G42" s="5" t="s">
        <v>1082</v>
      </c>
      <c r="H42" s="5" t="s">
        <v>470</v>
      </c>
      <c r="I42" s="5" t="s">
        <v>2313</v>
      </c>
      <c r="J42" s="5" t="s">
        <v>2337</v>
      </c>
      <c r="K42" s="5" t="s">
        <v>2551</v>
      </c>
      <c r="L42" s="5" t="s">
        <v>2446</v>
      </c>
      <c r="M42" s="5" t="s">
        <v>3601</v>
      </c>
      <c r="N42" s="5" t="s">
        <v>2313</v>
      </c>
    </row>
    <row r="43" spans="1:14" x14ac:dyDescent="0.25">
      <c r="A43" s="9" t="s">
        <v>497</v>
      </c>
      <c r="B43" s="5" t="s">
        <v>645</v>
      </c>
      <c r="C43" s="5" t="s">
        <v>724</v>
      </c>
      <c r="D43" s="5" t="s">
        <v>813</v>
      </c>
      <c r="E43" s="5" t="s">
        <v>905</v>
      </c>
      <c r="F43" s="5" t="s">
        <v>992</v>
      </c>
      <c r="G43" s="5" t="s">
        <v>1083</v>
      </c>
      <c r="H43" s="5" t="s">
        <v>1161</v>
      </c>
      <c r="I43" s="5" t="s">
        <v>2759</v>
      </c>
      <c r="J43" s="5" t="s">
        <v>2656</v>
      </c>
      <c r="K43" s="5" t="s">
        <v>2552</v>
      </c>
      <c r="L43" s="5" t="s">
        <v>2447</v>
      </c>
      <c r="M43" s="5" t="s">
        <v>3602</v>
      </c>
      <c r="N43" s="5" t="s">
        <v>3503</v>
      </c>
    </row>
    <row r="44" spans="1:14" x14ac:dyDescent="0.25">
      <c r="A44" s="9" t="s">
        <v>498</v>
      </c>
      <c r="B44" s="5" t="s">
        <v>1826</v>
      </c>
      <c r="C44" s="5" t="s">
        <v>725</v>
      </c>
      <c r="D44" s="5" t="s">
        <v>814</v>
      </c>
      <c r="E44" s="5" t="s">
        <v>906</v>
      </c>
      <c r="F44" s="5" t="s">
        <v>993</v>
      </c>
      <c r="G44" s="5" t="s">
        <v>1084</v>
      </c>
      <c r="H44" s="5" t="s">
        <v>1162</v>
      </c>
      <c r="I44" s="5" t="s">
        <v>2760</v>
      </c>
      <c r="J44" s="5" t="s">
        <v>2657</v>
      </c>
      <c r="K44" s="5" t="s">
        <v>2553</v>
      </c>
      <c r="L44" s="5" t="s">
        <v>2448</v>
      </c>
      <c r="M44" s="5" t="s">
        <v>3603</v>
      </c>
      <c r="N44" s="5" t="s">
        <v>3504</v>
      </c>
    </row>
    <row r="45" spans="1:14" x14ac:dyDescent="0.25">
      <c r="A45" s="9" t="s">
        <v>6</v>
      </c>
      <c r="B45" s="5" t="s">
        <v>365</v>
      </c>
      <c r="C45" s="5" t="s">
        <v>385</v>
      </c>
      <c r="D45" s="5" t="s">
        <v>815</v>
      </c>
      <c r="E45" s="5" t="s">
        <v>907</v>
      </c>
      <c r="F45" s="5" t="s">
        <v>994</v>
      </c>
      <c r="G45" s="5" t="s">
        <v>458</v>
      </c>
      <c r="H45" s="5" t="s">
        <v>474</v>
      </c>
      <c r="I45" s="5" t="s">
        <v>2317</v>
      </c>
      <c r="J45" s="5" t="s">
        <v>2341</v>
      </c>
      <c r="K45" s="5" t="s">
        <v>2365</v>
      </c>
      <c r="L45" s="5" t="s">
        <v>2390</v>
      </c>
      <c r="M45" s="5" t="s">
        <v>3604</v>
      </c>
      <c r="N45" s="5" t="s">
        <v>3505</v>
      </c>
    </row>
    <row r="46" spans="1:14" x14ac:dyDescent="0.25">
      <c r="A46" s="9" t="s">
        <v>499</v>
      </c>
      <c r="B46" s="5" t="s">
        <v>646</v>
      </c>
      <c r="C46" s="5" t="s">
        <v>726</v>
      </c>
      <c r="D46" s="5" t="s">
        <v>816</v>
      </c>
      <c r="E46" s="5" t="s">
        <v>908</v>
      </c>
      <c r="F46" s="5" t="s">
        <v>995</v>
      </c>
      <c r="G46" s="5" t="s">
        <v>1085</v>
      </c>
      <c r="H46" s="5" t="s">
        <v>1163</v>
      </c>
      <c r="I46" s="5" t="s">
        <v>2761</v>
      </c>
      <c r="J46" s="5" t="s">
        <v>2658</v>
      </c>
      <c r="K46" s="5" t="s">
        <v>2554</v>
      </c>
      <c r="L46" s="5" t="s">
        <v>2449</v>
      </c>
      <c r="M46" s="5" t="s">
        <v>3605</v>
      </c>
      <c r="N46" s="5" t="s">
        <v>3506</v>
      </c>
    </row>
    <row r="47" spans="1:14" x14ac:dyDescent="0.25">
      <c r="A47" s="9" t="s">
        <v>500</v>
      </c>
      <c r="B47" s="5" t="s">
        <v>647</v>
      </c>
      <c r="C47" s="5" t="s">
        <v>727</v>
      </c>
      <c r="D47" s="5" t="s">
        <v>817</v>
      </c>
      <c r="E47" s="5" t="s">
        <v>909</v>
      </c>
      <c r="F47" s="5" t="s">
        <v>996</v>
      </c>
      <c r="G47" s="5" t="s">
        <v>1086</v>
      </c>
      <c r="H47" s="5" t="s">
        <v>1164</v>
      </c>
      <c r="I47" s="5" t="s">
        <v>2762</v>
      </c>
      <c r="J47" s="5" t="s">
        <v>2659</v>
      </c>
      <c r="K47" s="5" t="s">
        <v>2555</v>
      </c>
      <c r="L47" s="5" t="s">
        <v>2450</v>
      </c>
      <c r="M47" s="5" t="s">
        <v>3606</v>
      </c>
      <c r="N47" s="5" t="s">
        <v>3507</v>
      </c>
    </row>
    <row r="48" spans="1:14" x14ac:dyDescent="0.25">
      <c r="A48" s="9" t="s">
        <v>10</v>
      </c>
      <c r="B48" s="5" t="s">
        <v>366</v>
      </c>
      <c r="C48" s="5" t="s">
        <v>388</v>
      </c>
      <c r="D48" s="5" t="s">
        <v>818</v>
      </c>
      <c r="E48" s="5" t="s">
        <v>910</v>
      </c>
      <c r="F48" s="5" t="s">
        <v>997</v>
      </c>
      <c r="G48" s="5" t="s">
        <v>461</v>
      </c>
      <c r="H48" s="5" t="s">
        <v>1165</v>
      </c>
      <c r="I48" s="5" t="s">
        <v>2320</v>
      </c>
      <c r="J48" s="5" t="s">
        <v>2660</v>
      </c>
      <c r="K48" s="5" t="s">
        <v>2556</v>
      </c>
      <c r="L48" s="5" t="s">
        <v>2393</v>
      </c>
      <c r="M48" s="5" t="s">
        <v>3607</v>
      </c>
      <c r="N48" s="5" t="s">
        <v>3508</v>
      </c>
    </row>
    <row r="49" spans="1:14" x14ac:dyDescent="0.25">
      <c r="A49" s="9" t="s">
        <v>501</v>
      </c>
      <c r="B49" s="5" t="s">
        <v>1822</v>
      </c>
      <c r="C49" s="5" t="s">
        <v>728</v>
      </c>
      <c r="D49" s="5" t="s">
        <v>819</v>
      </c>
      <c r="E49" s="5" t="s">
        <v>911</v>
      </c>
      <c r="F49" s="5" t="s">
        <v>998</v>
      </c>
      <c r="G49" s="5" t="s">
        <v>1087</v>
      </c>
      <c r="H49" s="5" t="s">
        <v>1166</v>
      </c>
      <c r="I49" s="5" t="s">
        <v>2763</v>
      </c>
      <c r="J49" s="5" t="s">
        <v>2661</v>
      </c>
      <c r="K49" s="5" t="s">
        <v>2557</v>
      </c>
      <c r="L49" s="5" t="s">
        <v>2451</v>
      </c>
      <c r="M49" s="5" t="s">
        <v>3608</v>
      </c>
      <c r="N49" s="5" t="s">
        <v>3509</v>
      </c>
    </row>
    <row r="50" spans="1:14" x14ac:dyDescent="0.25">
      <c r="A50" s="9" t="s">
        <v>12</v>
      </c>
      <c r="B50" s="5" t="s">
        <v>369</v>
      </c>
      <c r="C50" s="5" t="s">
        <v>729</v>
      </c>
      <c r="D50" s="5" t="s">
        <v>820</v>
      </c>
      <c r="E50" s="5" t="s">
        <v>912</v>
      </c>
      <c r="F50" s="5" t="s">
        <v>999</v>
      </c>
      <c r="G50" s="5" t="s">
        <v>464</v>
      </c>
      <c r="H50" s="5" t="s">
        <v>480</v>
      </c>
      <c r="I50" s="5" t="s">
        <v>2323</v>
      </c>
      <c r="J50" s="5" t="s">
        <v>2347</v>
      </c>
      <c r="K50" s="5" t="s">
        <v>2371</v>
      </c>
      <c r="L50" s="5" t="s">
        <v>2452</v>
      </c>
      <c r="M50" s="5" t="s">
        <v>3609</v>
      </c>
      <c r="N50" s="5" t="s">
        <v>3510</v>
      </c>
    </row>
    <row r="51" spans="1:14" x14ac:dyDescent="0.25">
      <c r="A51" s="9" t="s">
        <v>502</v>
      </c>
      <c r="B51" s="5" t="s">
        <v>648</v>
      </c>
      <c r="C51" s="5" t="s">
        <v>730</v>
      </c>
      <c r="D51" s="5" t="s">
        <v>821</v>
      </c>
      <c r="E51" s="5" t="s">
        <v>913</v>
      </c>
      <c r="F51" s="5" t="s">
        <v>1000</v>
      </c>
      <c r="G51" s="5" t="s">
        <v>1088</v>
      </c>
      <c r="H51" s="5" t="s">
        <v>1167</v>
      </c>
      <c r="I51" s="5" t="s">
        <v>2764</v>
      </c>
      <c r="J51" s="5" t="s">
        <v>2662</v>
      </c>
      <c r="K51" s="5" t="s">
        <v>2558</v>
      </c>
      <c r="L51" s="5" t="s">
        <v>2453</v>
      </c>
      <c r="M51" s="5" t="s">
        <v>3610</v>
      </c>
      <c r="N51" s="5" t="s">
        <v>3511</v>
      </c>
    </row>
    <row r="52" spans="1:14" x14ac:dyDescent="0.25">
      <c r="A52" s="9" t="s">
        <v>16</v>
      </c>
      <c r="B52" s="5" t="s">
        <v>649</v>
      </c>
      <c r="C52" s="5" t="s">
        <v>731</v>
      </c>
      <c r="D52" s="5" t="s">
        <v>822</v>
      </c>
      <c r="E52" s="5" t="s">
        <v>914</v>
      </c>
      <c r="F52" s="5" t="s">
        <v>1001</v>
      </c>
      <c r="G52" s="5" t="s">
        <v>1089</v>
      </c>
      <c r="H52" s="5" t="s">
        <v>1168</v>
      </c>
      <c r="I52" s="5" t="s">
        <v>2765</v>
      </c>
      <c r="J52" s="5" t="s">
        <v>2663</v>
      </c>
      <c r="K52" s="5" t="s">
        <v>2559</v>
      </c>
      <c r="L52" s="5" t="s">
        <v>2454</v>
      </c>
      <c r="M52" s="5" t="s">
        <v>3611</v>
      </c>
      <c r="N52" s="5" t="s">
        <v>3512</v>
      </c>
    </row>
    <row r="53" spans="1:14" x14ac:dyDescent="0.25">
      <c r="A53" s="9" t="s">
        <v>503</v>
      </c>
      <c r="B53" s="5" t="s">
        <v>370</v>
      </c>
      <c r="C53" s="5" t="s">
        <v>732</v>
      </c>
      <c r="D53" s="5" t="s">
        <v>823</v>
      </c>
      <c r="E53" s="5" t="s">
        <v>915</v>
      </c>
      <c r="F53" s="5" t="s">
        <v>1002</v>
      </c>
      <c r="G53" s="5" t="s">
        <v>1090</v>
      </c>
      <c r="H53" s="5" t="s">
        <v>482</v>
      </c>
      <c r="I53" s="5" t="s">
        <v>2325</v>
      </c>
      <c r="J53" s="5" t="s">
        <v>2664</v>
      </c>
      <c r="K53" s="5" t="s">
        <v>2560</v>
      </c>
      <c r="L53" s="5" t="s">
        <v>2455</v>
      </c>
      <c r="M53" s="5" t="s">
        <v>3612</v>
      </c>
      <c r="N53" s="5" t="s">
        <v>2325</v>
      </c>
    </row>
    <row r="54" spans="1:14" x14ac:dyDescent="0.25">
      <c r="A54" s="9" t="s">
        <v>504</v>
      </c>
      <c r="B54" s="5" t="s">
        <v>650</v>
      </c>
      <c r="C54" s="5" t="s">
        <v>733</v>
      </c>
      <c r="D54" s="5" t="s">
        <v>824</v>
      </c>
      <c r="E54" s="5" t="s">
        <v>916</v>
      </c>
      <c r="F54" s="5" t="s">
        <v>1003</v>
      </c>
      <c r="G54" s="5" t="s">
        <v>504</v>
      </c>
      <c r="H54" s="5" t="s">
        <v>1169</v>
      </c>
      <c r="I54" s="5" t="s">
        <v>2766</v>
      </c>
      <c r="J54" s="5" t="s">
        <v>2665</v>
      </c>
      <c r="K54" s="5" t="s">
        <v>2561</v>
      </c>
      <c r="L54" s="5" t="s">
        <v>2456</v>
      </c>
      <c r="M54" s="5" t="s">
        <v>3613</v>
      </c>
      <c r="N54" s="5" t="s">
        <v>3513</v>
      </c>
    </row>
    <row r="55" spans="1:14" x14ac:dyDescent="0.25">
      <c r="A55" s="9" t="s">
        <v>505</v>
      </c>
      <c r="B55" s="5" t="s">
        <v>651</v>
      </c>
      <c r="C55" s="5" t="s">
        <v>734</v>
      </c>
      <c r="D55" s="5" t="s">
        <v>825</v>
      </c>
      <c r="E55" s="5" t="s">
        <v>917</v>
      </c>
      <c r="F55" s="5" t="s">
        <v>1004</v>
      </c>
      <c r="G55" s="5" t="s">
        <v>1091</v>
      </c>
      <c r="H55" s="5" t="s">
        <v>1170</v>
      </c>
      <c r="I55" s="5" t="s">
        <v>2767</v>
      </c>
      <c r="J55" s="5" t="s">
        <v>2666</v>
      </c>
      <c r="K55" s="5" t="s">
        <v>2562</v>
      </c>
      <c r="L55" s="5" t="s">
        <v>2457</v>
      </c>
      <c r="M55" s="5" t="s">
        <v>3614</v>
      </c>
      <c r="N55" s="5" t="s">
        <v>3514</v>
      </c>
    </row>
    <row r="56" spans="1:14" x14ac:dyDescent="0.25">
      <c r="A56" s="12" t="s">
        <v>506</v>
      </c>
      <c r="B56" s="5" t="s">
        <v>652</v>
      </c>
      <c r="C56" s="5" t="s">
        <v>735</v>
      </c>
      <c r="D56" s="5" t="s">
        <v>826</v>
      </c>
      <c r="E56" s="5" t="s">
        <v>918</v>
      </c>
      <c r="F56" s="5" t="s">
        <v>1005</v>
      </c>
      <c r="G56" s="5" t="s">
        <v>1092</v>
      </c>
      <c r="H56" s="5" t="s">
        <v>1171</v>
      </c>
      <c r="I56" s="5" t="s">
        <v>2768</v>
      </c>
      <c r="J56" s="5" t="s">
        <v>2667</v>
      </c>
      <c r="K56" s="5" t="s">
        <v>2563</v>
      </c>
      <c r="L56" s="5" t="s">
        <v>2458</v>
      </c>
      <c r="M56" s="5" t="s">
        <v>3615</v>
      </c>
      <c r="N56" s="5" t="s">
        <v>3515</v>
      </c>
    </row>
    <row r="57" spans="1:14" x14ac:dyDescent="0.25">
      <c r="A57" s="12" t="s">
        <v>19</v>
      </c>
      <c r="B57" s="5" t="s">
        <v>371</v>
      </c>
      <c r="C57" s="5" t="s">
        <v>19</v>
      </c>
      <c r="D57" s="5" t="s">
        <v>827</v>
      </c>
      <c r="E57" s="5" t="s">
        <v>919</v>
      </c>
      <c r="F57" s="5" t="s">
        <v>19</v>
      </c>
      <c r="G57" s="5" t="s">
        <v>414</v>
      </c>
      <c r="H57" s="5" t="s">
        <v>1172</v>
      </c>
      <c r="I57" s="5" t="s">
        <v>357</v>
      </c>
      <c r="J57" s="5" t="s">
        <v>19</v>
      </c>
      <c r="K57" s="5" t="s">
        <v>2564</v>
      </c>
      <c r="L57" s="5" t="s">
        <v>2459</v>
      </c>
      <c r="M57" s="5" t="s">
        <v>3616</v>
      </c>
      <c r="N57" s="5" t="s">
        <v>3516</v>
      </c>
    </row>
    <row r="58" spans="1:14" x14ac:dyDescent="0.25">
      <c r="A58" s="12" t="s">
        <v>507</v>
      </c>
      <c r="B58" s="5" t="s">
        <v>653</v>
      </c>
      <c r="C58" s="5" t="s">
        <v>736</v>
      </c>
      <c r="D58" s="5" t="s">
        <v>828</v>
      </c>
      <c r="E58" s="5" t="s">
        <v>920</v>
      </c>
      <c r="F58" s="5" t="s">
        <v>1006</v>
      </c>
      <c r="G58" s="5" t="s">
        <v>1093</v>
      </c>
      <c r="H58" s="5" t="s">
        <v>1173</v>
      </c>
      <c r="I58" s="5" t="s">
        <v>2769</v>
      </c>
      <c r="J58" s="5" t="s">
        <v>2668</v>
      </c>
      <c r="K58" s="5" t="s">
        <v>2565</v>
      </c>
      <c r="L58" s="5" t="s">
        <v>2460</v>
      </c>
      <c r="M58" s="5" t="s">
        <v>3617</v>
      </c>
      <c r="N58" s="5" t="s">
        <v>3517</v>
      </c>
    </row>
    <row r="59" spans="1:14" x14ac:dyDescent="0.25">
      <c r="A59" s="12" t="s">
        <v>508</v>
      </c>
      <c r="B59" s="5" t="s">
        <v>654</v>
      </c>
      <c r="C59" s="5" t="s">
        <v>737</v>
      </c>
      <c r="D59" s="5" t="s">
        <v>829</v>
      </c>
      <c r="E59" s="5" t="s">
        <v>921</v>
      </c>
      <c r="F59" s="5" t="s">
        <v>1007</v>
      </c>
      <c r="G59" s="5" t="s">
        <v>1094</v>
      </c>
      <c r="H59" s="5" t="s">
        <v>1174</v>
      </c>
      <c r="I59" s="5" t="s">
        <v>2770</v>
      </c>
      <c r="J59" s="5" t="s">
        <v>2669</v>
      </c>
      <c r="K59" s="5" t="s">
        <v>2566</v>
      </c>
      <c r="L59" s="5" t="s">
        <v>2461</v>
      </c>
      <c r="M59" s="5" t="s">
        <v>3618</v>
      </c>
      <c r="N59" s="5" t="s">
        <v>3518</v>
      </c>
    </row>
    <row r="60" spans="1:14" x14ac:dyDescent="0.25">
      <c r="A60" s="12" t="s">
        <v>509</v>
      </c>
      <c r="B60" s="5" t="s">
        <v>655</v>
      </c>
      <c r="C60" s="5" t="s">
        <v>738</v>
      </c>
      <c r="D60" s="5" t="s">
        <v>830</v>
      </c>
      <c r="E60" s="5" t="s">
        <v>922</v>
      </c>
      <c r="F60" s="5" t="s">
        <v>1008</v>
      </c>
      <c r="G60" s="5" t="s">
        <v>1095</v>
      </c>
      <c r="H60" s="5" t="s">
        <v>1175</v>
      </c>
      <c r="I60" s="5" t="s">
        <v>2771</v>
      </c>
      <c r="J60" s="5" t="s">
        <v>2670</v>
      </c>
      <c r="K60" s="5" t="s">
        <v>2567</v>
      </c>
      <c r="L60" s="5" t="s">
        <v>2462</v>
      </c>
      <c r="M60" s="5" t="s">
        <v>3619</v>
      </c>
      <c r="N60" s="5" t="s">
        <v>3519</v>
      </c>
    </row>
    <row r="61" spans="1:14" x14ac:dyDescent="0.25">
      <c r="A61" s="12" t="s">
        <v>95</v>
      </c>
      <c r="B61" s="5" t="s">
        <v>96</v>
      </c>
      <c r="C61" s="5" t="s">
        <v>97</v>
      </c>
      <c r="D61" s="5" t="s">
        <v>98</v>
      </c>
      <c r="E61" s="5" t="s">
        <v>434</v>
      </c>
      <c r="F61" s="5" t="s">
        <v>99</v>
      </c>
      <c r="G61" s="5" t="s">
        <v>100</v>
      </c>
      <c r="H61" s="5" t="s">
        <v>101</v>
      </c>
      <c r="I61" s="5" t="s">
        <v>2333</v>
      </c>
      <c r="J61" s="5" t="s">
        <v>2357</v>
      </c>
      <c r="K61" s="5" t="s">
        <v>2382</v>
      </c>
      <c r="L61" s="5" t="s">
        <v>2406</v>
      </c>
      <c r="M61" s="5" t="s">
        <v>3620</v>
      </c>
      <c r="N61" s="5" t="s">
        <v>3520</v>
      </c>
    </row>
    <row r="62" spans="1:14" x14ac:dyDescent="0.25">
      <c r="A62" s="12" t="s">
        <v>510</v>
      </c>
      <c r="B62" s="5" t="s">
        <v>656</v>
      </c>
      <c r="C62" s="5" t="s">
        <v>739</v>
      </c>
      <c r="D62" s="5" t="s">
        <v>831</v>
      </c>
      <c r="E62" s="5" t="s">
        <v>739</v>
      </c>
      <c r="F62" s="5" t="s">
        <v>1009</v>
      </c>
      <c r="G62" s="5" t="s">
        <v>1096</v>
      </c>
      <c r="H62" s="5" t="s">
        <v>1176</v>
      </c>
      <c r="I62" s="5" t="s">
        <v>2772</v>
      </c>
      <c r="J62" s="5" t="s">
        <v>2671</v>
      </c>
      <c r="K62" s="5" t="s">
        <v>2568</v>
      </c>
      <c r="L62" s="5" t="s">
        <v>2463</v>
      </c>
      <c r="M62" s="5" t="s">
        <v>3621</v>
      </c>
      <c r="N62" s="5" t="s">
        <v>2772</v>
      </c>
    </row>
    <row r="63" spans="1:14" x14ac:dyDescent="0.25">
      <c r="A63" s="12" t="s">
        <v>511</v>
      </c>
      <c r="B63" s="5" t="s">
        <v>657</v>
      </c>
      <c r="C63" s="5" t="s">
        <v>740</v>
      </c>
      <c r="D63" s="5" t="s">
        <v>832</v>
      </c>
      <c r="E63" s="5" t="s">
        <v>923</v>
      </c>
      <c r="F63" s="5" t="s">
        <v>1010</v>
      </c>
      <c r="G63" s="5" t="s">
        <v>1097</v>
      </c>
      <c r="H63" s="5" t="s">
        <v>1177</v>
      </c>
      <c r="I63" s="5" t="s">
        <v>2773</v>
      </c>
      <c r="J63" s="5" t="s">
        <v>2672</v>
      </c>
      <c r="K63" s="5" t="s">
        <v>2569</v>
      </c>
      <c r="L63" s="5" t="s">
        <v>2464</v>
      </c>
      <c r="M63" s="5" t="s">
        <v>3622</v>
      </c>
      <c r="N63" s="5" t="s">
        <v>2773</v>
      </c>
    </row>
    <row r="64" spans="1:14" x14ac:dyDescent="0.25">
      <c r="A64" s="12" t="s">
        <v>512</v>
      </c>
      <c r="B64" s="5" t="s">
        <v>1827</v>
      </c>
      <c r="C64" s="5" t="s">
        <v>741</v>
      </c>
      <c r="D64" s="5" t="s">
        <v>833</v>
      </c>
      <c r="E64" s="5" t="s">
        <v>924</v>
      </c>
      <c r="F64" s="5" t="s">
        <v>1011</v>
      </c>
      <c r="G64" s="5" t="s">
        <v>1098</v>
      </c>
      <c r="H64" s="5" t="s">
        <v>1178</v>
      </c>
      <c r="I64" s="5" t="s">
        <v>2774</v>
      </c>
      <c r="J64" s="5" t="s">
        <v>2673</v>
      </c>
      <c r="K64" s="5" t="s">
        <v>2570</v>
      </c>
      <c r="L64" s="5" t="s">
        <v>2465</v>
      </c>
      <c r="M64" s="5" t="s">
        <v>3623</v>
      </c>
      <c r="N64" s="5" t="s">
        <v>3521</v>
      </c>
    </row>
    <row r="65" spans="1:14" x14ac:dyDescent="0.25">
      <c r="A65" s="12" t="s">
        <v>513</v>
      </c>
      <c r="B65" s="5" t="s">
        <v>658</v>
      </c>
      <c r="C65" s="5" t="s">
        <v>742</v>
      </c>
      <c r="D65" s="5" t="s">
        <v>834</v>
      </c>
      <c r="E65" s="5" t="s">
        <v>925</v>
      </c>
      <c r="F65" s="5" t="s">
        <v>1012</v>
      </c>
      <c r="G65" s="5" t="s">
        <v>1099</v>
      </c>
      <c r="H65" s="5" t="s">
        <v>1179</v>
      </c>
      <c r="I65" s="5" t="s">
        <v>2775</v>
      </c>
      <c r="J65" s="5" t="s">
        <v>2674</v>
      </c>
      <c r="K65" s="5" t="s">
        <v>2571</v>
      </c>
      <c r="L65" s="5" t="s">
        <v>2466</v>
      </c>
      <c r="M65" s="5" t="s">
        <v>3624</v>
      </c>
      <c r="N65" s="5" t="s">
        <v>3522</v>
      </c>
    </row>
    <row r="66" spans="1:14" x14ac:dyDescent="0.25">
      <c r="A66" s="12" t="s">
        <v>514</v>
      </c>
      <c r="B66" s="5" t="s">
        <v>659</v>
      </c>
      <c r="C66" s="5" t="s">
        <v>743</v>
      </c>
      <c r="D66" s="5" t="s">
        <v>835</v>
      </c>
      <c r="E66" s="5" t="s">
        <v>926</v>
      </c>
      <c r="F66" s="5" t="s">
        <v>1013</v>
      </c>
      <c r="G66" s="5" t="s">
        <v>1100</v>
      </c>
      <c r="H66" s="5" t="s">
        <v>1180</v>
      </c>
      <c r="I66" s="5" t="s">
        <v>2776</v>
      </c>
      <c r="J66" s="5" t="s">
        <v>2675</v>
      </c>
      <c r="K66" s="5" t="s">
        <v>2572</v>
      </c>
      <c r="L66" s="5" t="s">
        <v>2467</v>
      </c>
      <c r="M66" s="5" t="s">
        <v>3625</v>
      </c>
      <c r="N66" s="5" t="s">
        <v>3523</v>
      </c>
    </row>
    <row r="67" spans="1:14" x14ac:dyDescent="0.25">
      <c r="A67" s="12" t="s">
        <v>515</v>
      </c>
      <c r="B67" s="5" t="s">
        <v>660</v>
      </c>
      <c r="C67" s="5" t="s">
        <v>744</v>
      </c>
      <c r="D67" s="5" t="s">
        <v>836</v>
      </c>
      <c r="E67" s="5" t="s">
        <v>927</v>
      </c>
      <c r="F67" s="5" t="s">
        <v>1014</v>
      </c>
      <c r="G67" s="5" t="s">
        <v>1101</v>
      </c>
      <c r="H67" s="5" t="s">
        <v>1181</v>
      </c>
      <c r="I67" s="5" t="s">
        <v>2777</v>
      </c>
      <c r="J67" s="5" t="s">
        <v>2676</v>
      </c>
      <c r="K67" s="5" t="s">
        <v>2573</v>
      </c>
      <c r="L67" s="5" t="s">
        <v>2468</v>
      </c>
      <c r="M67" s="5" t="s">
        <v>3626</v>
      </c>
      <c r="N67" s="5" t="s">
        <v>3524</v>
      </c>
    </row>
    <row r="68" spans="1:14" x14ac:dyDescent="0.25">
      <c r="A68" s="12" t="s">
        <v>9</v>
      </c>
      <c r="B68" s="5" t="s">
        <v>661</v>
      </c>
      <c r="C68" s="5" t="s">
        <v>745</v>
      </c>
      <c r="D68" s="5" t="s">
        <v>837</v>
      </c>
      <c r="E68" s="5" t="s">
        <v>928</v>
      </c>
      <c r="F68" s="5" t="s">
        <v>1015</v>
      </c>
      <c r="G68" s="5" t="s">
        <v>1102</v>
      </c>
      <c r="H68" s="5" t="s">
        <v>1182</v>
      </c>
      <c r="I68" s="5" t="s">
        <v>2778</v>
      </c>
      <c r="J68" s="5" t="s">
        <v>2677</v>
      </c>
      <c r="K68" s="5" t="s">
        <v>2574</v>
      </c>
      <c r="L68" s="5" t="s">
        <v>2469</v>
      </c>
      <c r="M68" s="5" t="s">
        <v>3627</v>
      </c>
      <c r="N68" s="5" t="s">
        <v>3525</v>
      </c>
    </row>
    <row r="69" spans="1:14" x14ac:dyDescent="0.25">
      <c r="A69" s="12" t="s">
        <v>23</v>
      </c>
      <c r="B69" s="5" t="s">
        <v>1843</v>
      </c>
      <c r="C69" s="5" t="s">
        <v>746</v>
      </c>
      <c r="D69" s="5" t="s">
        <v>23</v>
      </c>
      <c r="E69" s="5" t="s">
        <v>23</v>
      </c>
      <c r="F69" s="5" t="s">
        <v>23</v>
      </c>
      <c r="G69" s="5" t="s">
        <v>23</v>
      </c>
      <c r="H69" s="5" t="s">
        <v>1183</v>
      </c>
      <c r="I69" s="5" t="s">
        <v>2779</v>
      </c>
      <c r="J69" s="5" t="s">
        <v>2678</v>
      </c>
      <c r="K69" s="5" t="s">
        <v>2575</v>
      </c>
      <c r="L69" s="5" t="s">
        <v>2470</v>
      </c>
      <c r="M69" s="5" t="s">
        <v>3628</v>
      </c>
      <c r="N69" s="5" t="s">
        <v>2779</v>
      </c>
    </row>
    <row r="70" spans="1:14" x14ac:dyDescent="0.25">
      <c r="A70" s="12" t="s">
        <v>26</v>
      </c>
      <c r="B70" s="5" t="s">
        <v>1845</v>
      </c>
      <c r="C70" s="5" t="s">
        <v>26</v>
      </c>
      <c r="D70" s="5" t="s">
        <v>838</v>
      </c>
      <c r="E70" s="5" t="s">
        <v>929</v>
      </c>
      <c r="F70" s="5" t="s">
        <v>1016</v>
      </c>
      <c r="G70" s="5" t="s">
        <v>26</v>
      </c>
      <c r="H70" s="5" t="s">
        <v>1184</v>
      </c>
      <c r="I70" s="5" t="s">
        <v>26</v>
      </c>
      <c r="J70" s="5" t="s">
        <v>2679</v>
      </c>
      <c r="K70" s="5" t="s">
        <v>2576</v>
      </c>
      <c r="L70" s="5" t="s">
        <v>2471</v>
      </c>
      <c r="M70" s="5" t="s">
        <v>3629</v>
      </c>
      <c r="N70" s="5" t="s">
        <v>3526</v>
      </c>
    </row>
    <row r="71" spans="1:14" x14ac:dyDescent="0.25">
      <c r="A71" s="12" t="s">
        <v>27</v>
      </c>
      <c r="B71" s="5" t="s">
        <v>1844</v>
      </c>
      <c r="C71" s="5" t="s">
        <v>747</v>
      </c>
      <c r="D71" s="5" t="s">
        <v>839</v>
      </c>
      <c r="E71" s="5" t="s">
        <v>930</v>
      </c>
      <c r="F71" s="5" t="s">
        <v>1017</v>
      </c>
      <c r="G71" s="5" t="s">
        <v>1103</v>
      </c>
      <c r="H71" s="5" t="s">
        <v>1185</v>
      </c>
      <c r="I71" s="5" t="s">
        <v>2780</v>
      </c>
      <c r="J71" s="5" t="s">
        <v>2680</v>
      </c>
      <c r="K71" s="5" t="s">
        <v>2577</v>
      </c>
      <c r="L71" s="5" t="s">
        <v>2472</v>
      </c>
      <c r="M71" s="5" t="s">
        <v>3630</v>
      </c>
      <c r="N71" s="5" t="s">
        <v>3527</v>
      </c>
    </row>
    <row r="72" spans="1:14" x14ac:dyDescent="0.25">
      <c r="A72" s="12" t="s">
        <v>516</v>
      </c>
      <c r="B72" s="5" t="s">
        <v>662</v>
      </c>
      <c r="C72" s="5" t="s">
        <v>748</v>
      </c>
      <c r="D72" s="5" t="s">
        <v>840</v>
      </c>
      <c r="E72" s="5" t="s">
        <v>931</v>
      </c>
      <c r="F72" s="5" t="s">
        <v>1018</v>
      </c>
      <c r="G72" s="5" t="s">
        <v>1104</v>
      </c>
      <c r="H72" s="5" t="s">
        <v>1186</v>
      </c>
      <c r="I72" s="5" t="s">
        <v>2781</v>
      </c>
      <c r="J72" s="5" t="s">
        <v>2681</v>
      </c>
      <c r="K72" s="5" t="s">
        <v>2578</v>
      </c>
      <c r="L72" s="5" t="s">
        <v>2473</v>
      </c>
      <c r="M72" s="5" t="s">
        <v>3631</v>
      </c>
      <c r="N72" s="5" t="s">
        <v>3528</v>
      </c>
    </row>
    <row r="73" spans="1:14" x14ac:dyDescent="0.25">
      <c r="A73" s="12" t="s">
        <v>35</v>
      </c>
      <c r="B73" s="5" t="s">
        <v>663</v>
      </c>
      <c r="C73" s="5" t="s">
        <v>749</v>
      </c>
      <c r="D73" s="5" t="s">
        <v>841</v>
      </c>
      <c r="E73" s="5" t="s">
        <v>932</v>
      </c>
      <c r="F73" s="5" t="s">
        <v>1019</v>
      </c>
      <c r="G73" s="5" t="s">
        <v>1105</v>
      </c>
      <c r="H73" s="5" t="s">
        <v>1187</v>
      </c>
      <c r="I73" s="5" t="s">
        <v>2782</v>
      </c>
      <c r="J73" s="5" t="s">
        <v>2682</v>
      </c>
      <c r="K73" s="5" t="s">
        <v>2579</v>
      </c>
      <c r="L73" s="5" t="s">
        <v>2474</v>
      </c>
      <c r="M73" s="5" t="s">
        <v>3632</v>
      </c>
      <c r="N73" s="5" t="s">
        <v>3529</v>
      </c>
    </row>
    <row r="74" spans="1:14" x14ac:dyDescent="0.25">
      <c r="A74" s="12" t="s">
        <v>7</v>
      </c>
      <c r="B74" s="5" t="s">
        <v>664</v>
      </c>
      <c r="C74" s="5" t="s">
        <v>750</v>
      </c>
      <c r="D74" s="5" t="s">
        <v>842</v>
      </c>
      <c r="E74" s="5" t="s">
        <v>933</v>
      </c>
      <c r="F74" s="5" t="s">
        <v>1020</v>
      </c>
      <c r="G74" s="5" t="s">
        <v>1106</v>
      </c>
      <c r="H74" s="5" t="s">
        <v>1188</v>
      </c>
      <c r="I74" s="5" t="s">
        <v>2783</v>
      </c>
      <c r="J74" s="5" t="s">
        <v>2683</v>
      </c>
      <c r="K74" s="5" t="s">
        <v>2580</v>
      </c>
      <c r="L74" s="5" t="s">
        <v>2475</v>
      </c>
      <c r="M74" s="5" t="s">
        <v>3633</v>
      </c>
      <c r="N74" s="5" t="s">
        <v>3530</v>
      </c>
    </row>
    <row r="75" spans="1:14" x14ac:dyDescent="0.25">
      <c r="A75" s="12" t="s">
        <v>517</v>
      </c>
      <c r="B75" s="5" t="s">
        <v>665</v>
      </c>
      <c r="C75" s="5" t="s">
        <v>751</v>
      </c>
      <c r="D75" s="5" t="s">
        <v>843</v>
      </c>
      <c r="E75" s="5" t="s">
        <v>934</v>
      </c>
      <c r="F75" s="5" t="s">
        <v>1021</v>
      </c>
      <c r="G75" s="5" t="s">
        <v>1107</v>
      </c>
      <c r="H75" s="5" t="s">
        <v>1189</v>
      </c>
      <c r="I75" s="5" t="s">
        <v>2784</v>
      </c>
      <c r="J75" s="5" t="s">
        <v>2684</v>
      </c>
      <c r="K75" s="5" t="s">
        <v>2581</v>
      </c>
      <c r="L75" s="5" t="s">
        <v>2476</v>
      </c>
      <c r="M75" s="5" t="s">
        <v>3634</v>
      </c>
      <c r="N75" s="5" t="s">
        <v>2784</v>
      </c>
    </row>
    <row r="76" spans="1:14" x14ac:dyDescent="0.25">
      <c r="A76" s="12" t="s">
        <v>518</v>
      </c>
      <c r="B76" s="5" t="s">
        <v>666</v>
      </c>
      <c r="C76" s="5" t="s">
        <v>752</v>
      </c>
      <c r="D76" s="5" t="s">
        <v>844</v>
      </c>
      <c r="E76" s="5" t="s">
        <v>935</v>
      </c>
      <c r="F76" s="5" t="s">
        <v>1022</v>
      </c>
      <c r="G76" s="5" t="s">
        <v>1108</v>
      </c>
      <c r="H76" s="5" t="s">
        <v>1190</v>
      </c>
      <c r="I76" s="5" t="s">
        <v>2785</v>
      </c>
      <c r="J76" s="5" t="s">
        <v>2685</v>
      </c>
      <c r="K76" s="5" t="s">
        <v>2582</v>
      </c>
      <c r="L76" s="5" t="s">
        <v>2477</v>
      </c>
      <c r="M76" s="5" t="s">
        <v>3635</v>
      </c>
      <c r="N76" s="5" t="s">
        <v>3531</v>
      </c>
    </row>
    <row r="77" spans="1:14" x14ac:dyDescent="0.25">
      <c r="A77" s="12" t="s">
        <v>519</v>
      </c>
      <c r="B77" s="5" t="s">
        <v>667</v>
      </c>
      <c r="C77" s="5" t="s">
        <v>753</v>
      </c>
      <c r="D77" s="5" t="s">
        <v>845</v>
      </c>
      <c r="E77" s="5" t="s">
        <v>936</v>
      </c>
      <c r="F77" s="5" t="s">
        <v>1023</v>
      </c>
      <c r="G77" s="5" t="s">
        <v>1109</v>
      </c>
      <c r="H77" s="5" t="s">
        <v>1191</v>
      </c>
      <c r="I77" s="5" t="s">
        <v>2786</v>
      </c>
      <c r="J77" s="5" t="s">
        <v>2686</v>
      </c>
      <c r="K77" s="5" t="s">
        <v>2583</v>
      </c>
      <c r="L77" s="5" t="s">
        <v>2478</v>
      </c>
      <c r="M77" s="5" t="s">
        <v>3636</v>
      </c>
      <c r="N77" s="5" t="s">
        <v>2786</v>
      </c>
    </row>
    <row r="78" spans="1:14" x14ac:dyDescent="0.25">
      <c r="A78" s="12" t="s">
        <v>2208</v>
      </c>
      <c r="B78" s="5" t="s">
        <v>2216</v>
      </c>
      <c r="C78" s="5" t="s">
        <v>2223</v>
      </c>
      <c r="D78" s="5" t="s">
        <v>2230</v>
      </c>
      <c r="E78" s="5" t="s">
        <v>2237</v>
      </c>
      <c r="F78" s="5" t="s">
        <v>2244</v>
      </c>
      <c r="G78" s="5" t="s">
        <v>2251</v>
      </c>
      <c r="H78" s="5" t="s">
        <v>2258</v>
      </c>
      <c r="I78" s="5" t="s">
        <v>2787</v>
      </c>
      <c r="J78" s="5" t="s">
        <v>2687</v>
      </c>
      <c r="K78" s="5" t="s">
        <v>2584</v>
      </c>
      <c r="L78" s="5" t="s">
        <v>2479</v>
      </c>
      <c r="M78" s="5" t="s">
        <v>3637</v>
      </c>
      <c r="N78" s="5" t="s">
        <v>3532</v>
      </c>
    </row>
    <row r="79" spans="1:14" x14ac:dyDescent="0.25">
      <c r="A79" s="12" t="s">
        <v>520</v>
      </c>
      <c r="B79" s="5" t="s">
        <v>668</v>
      </c>
      <c r="C79" s="5" t="s">
        <v>754</v>
      </c>
      <c r="D79" s="5" t="s">
        <v>846</v>
      </c>
      <c r="E79" s="5" t="s">
        <v>937</v>
      </c>
      <c r="F79" s="5" t="s">
        <v>1024</v>
      </c>
      <c r="G79" s="5" t="s">
        <v>1110</v>
      </c>
      <c r="H79" s="5" t="s">
        <v>1192</v>
      </c>
      <c r="I79" s="5" t="s">
        <v>2788</v>
      </c>
      <c r="J79" s="5" t="s">
        <v>2688</v>
      </c>
      <c r="K79" s="5" t="s">
        <v>2585</v>
      </c>
      <c r="L79" s="5" t="s">
        <v>2480</v>
      </c>
      <c r="M79" s="5" t="s">
        <v>3638</v>
      </c>
      <c r="N79" s="5" t="s">
        <v>3533</v>
      </c>
    </row>
    <row r="80" spans="1:14" x14ac:dyDescent="0.25">
      <c r="A80" s="12" t="s">
        <v>521</v>
      </c>
      <c r="B80" s="5" t="s">
        <v>669</v>
      </c>
      <c r="C80" s="5" t="s">
        <v>755</v>
      </c>
      <c r="D80" s="5" t="s">
        <v>521</v>
      </c>
      <c r="E80" s="5" t="s">
        <v>521</v>
      </c>
      <c r="F80" s="5" t="s">
        <v>1025</v>
      </c>
      <c r="G80" s="5" t="s">
        <v>1111</v>
      </c>
      <c r="H80" s="5" t="s">
        <v>1193</v>
      </c>
      <c r="I80" s="5" t="s">
        <v>2789</v>
      </c>
      <c r="J80" s="5" t="s">
        <v>2689</v>
      </c>
      <c r="K80" s="5" t="s">
        <v>2586</v>
      </c>
      <c r="L80" s="5" t="s">
        <v>2481</v>
      </c>
      <c r="M80" s="5" t="s">
        <v>3639</v>
      </c>
      <c r="N80" s="5" t="s">
        <v>3534</v>
      </c>
    </row>
    <row r="81" spans="1:14" x14ac:dyDescent="0.25">
      <c r="A81" s="12" t="s">
        <v>2211</v>
      </c>
      <c r="B81" s="5" t="s">
        <v>2217</v>
      </c>
      <c r="C81" s="5" t="s">
        <v>2224</v>
      </c>
      <c r="D81" s="5" t="s">
        <v>2231</v>
      </c>
      <c r="E81" s="5" t="s">
        <v>2238</v>
      </c>
      <c r="F81" s="5" t="s">
        <v>2245</v>
      </c>
      <c r="G81" s="5" t="s">
        <v>2252</v>
      </c>
      <c r="H81" s="5" t="s">
        <v>2259</v>
      </c>
      <c r="I81" s="5" t="s">
        <v>2790</v>
      </c>
      <c r="J81" s="5" t="s">
        <v>2690</v>
      </c>
      <c r="K81" s="5" t="s">
        <v>2587</v>
      </c>
      <c r="L81" s="5" t="s">
        <v>2482</v>
      </c>
      <c r="M81" s="5" t="s">
        <v>3640</v>
      </c>
      <c r="N81" s="5" t="s">
        <v>3535</v>
      </c>
    </row>
    <row r="82" spans="1:14" x14ac:dyDescent="0.25">
      <c r="A82" s="12" t="s">
        <v>522</v>
      </c>
      <c r="B82" s="5" t="s">
        <v>670</v>
      </c>
      <c r="C82" s="5" t="s">
        <v>756</v>
      </c>
      <c r="D82" s="5" t="s">
        <v>847</v>
      </c>
      <c r="E82" s="5" t="s">
        <v>938</v>
      </c>
      <c r="F82" s="5" t="s">
        <v>1026</v>
      </c>
      <c r="G82" s="5" t="s">
        <v>1112</v>
      </c>
      <c r="H82" s="5" t="s">
        <v>1194</v>
      </c>
      <c r="I82" s="5" t="s">
        <v>2791</v>
      </c>
      <c r="J82" s="5" t="s">
        <v>2691</v>
      </c>
      <c r="K82" s="5" t="s">
        <v>2588</v>
      </c>
      <c r="L82" s="5" t="s">
        <v>2483</v>
      </c>
      <c r="M82" s="5" t="s">
        <v>3641</v>
      </c>
      <c r="N82" s="5" t="s">
        <v>3536</v>
      </c>
    </row>
    <row r="83" spans="1:14" x14ac:dyDescent="0.25">
      <c r="A83" s="12" t="s">
        <v>21</v>
      </c>
      <c r="B83" s="5" t="s">
        <v>171</v>
      </c>
      <c r="C83" s="5" t="s">
        <v>172</v>
      </c>
      <c r="D83" s="5" t="s">
        <v>173</v>
      </c>
      <c r="E83" s="5" t="s">
        <v>174</v>
      </c>
      <c r="F83" s="5" t="s">
        <v>175</v>
      </c>
      <c r="G83" s="5" t="s">
        <v>176</v>
      </c>
      <c r="H83" s="5" t="s">
        <v>177</v>
      </c>
      <c r="I83" s="5" t="s">
        <v>2792</v>
      </c>
      <c r="J83" s="5" t="s">
        <v>2692</v>
      </c>
      <c r="K83" s="5" t="s">
        <v>2589</v>
      </c>
      <c r="L83" s="5" t="s">
        <v>2484</v>
      </c>
      <c r="M83" s="5" t="s">
        <v>3642</v>
      </c>
      <c r="N83" s="5" t="s">
        <v>3537</v>
      </c>
    </row>
    <row r="84" spans="1:14" x14ac:dyDescent="0.25">
      <c r="A84" s="12" t="s">
        <v>523</v>
      </c>
      <c r="B84" s="5" t="s">
        <v>671</v>
      </c>
      <c r="C84" s="5" t="s">
        <v>757</v>
      </c>
      <c r="D84" s="5" t="s">
        <v>848</v>
      </c>
      <c r="E84" s="5" t="s">
        <v>939</v>
      </c>
      <c r="F84" s="5" t="s">
        <v>1027</v>
      </c>
      <c r="G84" s="5" t="s">
        <v>1113</v>
      </c>
      <c r="H84" s="5" t="s">
        <v>1195</v>
      </c>
      <c r="I84" s="5" t="s">
        <v>2793</v>
      </c>
      <c r="J84" s="5" t="s">
        <v>2693</v>
      </c>
      <c r="K84" s="5" t="s">
        <v>2590</v>
      </c>
      <c r="L84" s="5" t="s">
        <v>2485</v>
      </c>
      <c r="M84" s="5" t="s">
        <v>3643</v>
      </c>
      <c r="N84" s="5" t="s">
        <v>3538</v>
      </c>
    </row>
    <row r="85" spans="1:14" x14ac:dyDescent="0.25">
      <c r="A85" s="12" t="s">
        <v>524</v>
      </c>
      <c r="B85" s="5" t="s">
        <v>672</v>
      </c>
      <c r="C85" s="5" t="s">
        <v>758</v>
      </c>
      <c r="D85" s="5" t="s">
        <v>849</v>
      </c>
      <c r="E85" s="5" t="s">
        <v>940</v>
      </c>
      <c r="F85" s="5" t="s">
        <v>849</v>
      </c>
      <c r="G85" s="5" t="s">
        <v>849</v>
      </c>
      <c r="H85" s="5" t="s">
        <v>1196</v>
      </c>
      <c r="I85" s="5" t="s">
        <v>2794</v>
      </c>
      <c r="J85" s="5" t="s">
        <v>2694</v>
      </c>
      <c r="K85" s="5" t="s">
        <v>2591</v>
      </c>
      <c r="L85" s="5" t="s">
        <v>2486</v>
      </c>
      <c r="M85" s="5" t="s">
        <v>3644</v>
      </c>
      <c r="N85" s="5" t="s">
        <v>2794</v>
      </c>
    </row>
    <row r="86" spans="1:14" x14ac:dyDescent="0.25">
      <c r="A86" s="12" t="s">
        <v>525</v>
      </c>
      <c r="B86" s="5" t="s">
        <v>673</v>
      </c>
      <c r="C86" s="5" t="s">
        <v>759</v>
      </c>
      <c r="D86" s="5" t="s">
        <v>850</v>
      </c>
      <c r="E86" s="5" t="s">
        <v>941</v>
      </c>
      <c r="F86" s="5" t="s">
        <v>1028</v>
      </c>
      <c r="G86" s="5" t="s">
        <v>1114</v>
      </c>
      <c r="H86" s="5" t="s">
        <v>1197</v>
      </c>
      <c r="I86" s="5" t="s">
        <v>2795</v>
      </c>
      <c r="J86" s="5" t="s">
        <v>2695</v>
      </c>
      <c r="K86" s="5" t="s">
        <v>2592</v>
      </c>
      <c r="L86" s="5" t="s">
        <v>2487</v>
      </c>
      <c r="M86" s="5" t="s">
        <v>3645</v>
      </c>
      <c r="N86" s="5" t="s">
        <v>3539</v>
      </c>
    </row>
    <row r="87" spans="1:14" x14ac:dyDescent="0.25">
      <c r="A87" s="12" t="s">
        <v>526</v>
      </c>
      <c r="B87" s="5" t="s">
        <v>674</v>
      </c>
      <c r="C87" s="5" t="s">
        <v>760</v>
      </c>
      <c r="D87" s="5" t="s">
        <v>851</v>
      </c>
      <c r="E87" s="5" t="s">
        <v>942</v>
      </c>
      <c r="F87" s="5" t="s">
        <v>1029</v>
      </c>
      <c r="G87" s="5" t="s">
        <v>1115</v>
      </c>
      <c r="H87" s="5" t="s">
        <v>1198</v>
      </c>
      <c r="I87" s="5" t="s">
        <v>2796</v>
      </c>
      <c r="J87" s="5" t="s">
        <v>2696</v>
      </c>
      <c r="K87" s="5" t="s">
        <v>2593</v>
      </c>
      <c r="L87" s="5" t="s">
        <v>2488</v>
      </c>
      <c r="M87" s="5" t="s">
        <v>3646</v>
      </c>
      <c r="N87" s="5" t="s">
        <v>3540</v>
      </c>
    </row>
    <row r="88" spans="1:14" x14ac:dyDescent="0.25">
      <c r="A88" s="12" t="s">
        <v>527</v>
      </c>
      <c r="B88" s="5" t="s">
        <v>675</v>
      </c>
      <c r="C88" s="5" t="s">
        <v>527</v>
      </c>
      <c r="D88" s="5" t="s">
        <v>852</v>
      </c>
      <c r="E88" s="5" t="s">
        <v>943</v>
      </c>
      <c r="F88" s="5" t="s">
        <v>1030</v>
      </c>
      <c r="G88" s="5" t="s">
        <v>1116</v>
      </c>
      <c r="H88" s="5" t="s">
        <v>1199</v>
      </c>
      <c r="I88" s="5" t="s">
        <v>527</v>
      </c>
      <c r="J88" s="5" t="s">
        <v>2697</v>
      </c>
      <c r="K88" s="5" t="s">
        <v>2594</v>
      </c>
      <c r="L88" s="5" t="s">
        <v>2489</v>
      </c>
      <c r="M88" s="5" t="s">
        <v>3647</v>
      </c>
      <c r="N88" s="5" t="s">
        <v>527</v>
      </c>
    </row>
    <row r="89" spans="1:14" x14ac:dyDescent="0.25">
      <c r="A89" s="12" t="s">
        <v>4057</v>
      </c>
      <c r="B89" s="5" t="s">
        <v>4069</v>
      </c>
      <c r="C89" s="5" t="s">
        <v>4068</v>
      </c>
      <c r="D89" s="5" t="s">
        <v>4065</v>
      </c>
      <c r="E89" s="5" t="s">
        <v>4067</v>
      </c>
      <c r="F89" s="5" t="s">
        <v>4066</v>
      </c>
      <c r="G89" s="5" t="s">
        <v>4065</v>
      </c>
      <c r="H89" s="5" t="s">
        <v>4064</v>
      </c>
      <c r="I89" s="5" t="s">
        <v>4063</v>
      </c>
      <c r="J89" s="5" t="s">
        <v>4062</v>
      </c>
      <c r="K89" s="5" t="s">
        <v>4061</v>
      </c>
      <c r="L89" s="5" t="s">
        <v>4060</v>
      </c>
      <c r="M89" s="5" t="s">
        <v>4059</v>
      </c>
      <c r="N89" s="5" t="s">
        <v>4058</v>
      </c>
    </row>
    <row r="90" spans="1:14" x14ac:dyDescent="0.25">
      <c r="A90" s="12" t="s">
        <v>528</v>
      </c>
      <c r="B90" s="5" t="s">
        <v>676</v>
      </c>
      <c r="C90" s="5" t="s">
        <v>761</v>
      </c>
      <c r="D90" s="5" t="s">
        <v>853</v>
      </c>
      <c r="E90" s="5" t="s">
        <v>944</v>
      </c>
      <c r="F90" s="5" t="s">
        <v>1031</v>
      </c>
      <c r="G90" s="5" t="s">
        <v>853</v>
      </c>
      <c r="H90" s="5" t="s">
        <v>1200</v>
      </c>
      <c r="I90" s="5" t="s">
        <v>2797</v>
      </c>
      <c r="J90" s="5" t="s">
        <v>2698</v>
      </c>
      <c r="K90" s="5" t="s">
        <v>2595</v>
      </c>
      <c r="L90" s="5" t="s">
        <v>2490</v>
      </c>
      <c r="M90" s="5" t="s">
        <v>3648</v>
      </c>
      <c r="N90" s="5" t="s">
        <v>3541</v>
      </c>
    </row>
    <row r="91" spans="1:14" x14ac:dyDescent="0.25">
      <c r="A91" s="12" t="s">
        <v>529</v>
      </c>
      <c r="B91" s="5" t="s">
        <v>1823</v>
      </c>
      <c r="C91" s="5" t="s">
        <v>762</v>
      </c>
      <c r="D91" s="5" t="s">
        <v>854</v>
      </c>
      <c r="E91" s="5" t="s">
        <v>945</v>
      </c>
      <c r="F91" s="5" t="s">
        <v>1032</v>
      </c>
      <c r="G91" s="5" t="s">
        <v>1117</v>
      </c>
      <c r="H91" s="5" t="s">
        <v>1201</v>
      </c>
      <c r="I91" s="5" t="s">
        <v>2798</v>
      </c>
      <c r="J91" s="5" t="s">
        <v>2699</v>
      </c>
      <c r="K91" s="5" t="s">
        <v>2596</v>
      </c>
      <c r="L91" s="5" t="s">
        <v>2491</v>
      </c>
      <c r="M91" s="5" t="s">
        <v>3649</v>
      </c>
      <c r="N91" s="5" t="s">
        <v>3542</v>
      </c>
    </row>
    <row r="92" spans="1:14" x14ac:dyDescent="0.25">
      <c r="A92" s="12" t="s">
        <v>530</v>
      </c>
      <c r="B92" s="5" t="s">
        <v>677</v>
      </c>
      <c r="C92" s="5" t="s">
        <v>763</v>
      </c>
      <c r="D92" s="5" t="s">
        <v>855</v>
      </c>
      <c r="E92" s="5" t="s">
        <v>946</v>
      </c>
      <c r="F92" s="5" t="s">
        <v>1033</v>
      </c>
      <c r="G92" s="5" t="s">
        <v>1118</v>
      </c>
      <c r="H92" s="5" t="s">
        <v>1202</v>
      </c>
      <c r="I92" s="5" t="s">
        <v>2799</v>
      </c>
      <c r="J92" s="5" t="s">
        <v>2700</v>
      </c>
      <c r="K92" s="5" t="s">
        <v>2597</v>
      </c>
      <c r="L92" s="5" t="s">
        <v>2492</v>
      </c>
      <c r="M92" s="5" t="s">
        <v>3650</v>
      </c>
      <c r="N92" s="5" t="s">
        <v>3543</v>
      </c>
    </row>
    <row r="93" spans="1:14" x14ac:dyDescent="0.25">
      <c r="A93" s="12" t="s">
        <v>531</v>
      </c>
      <c r="B93" s="5" t="s">
        <v>678</v>
      </c>
      <c r="C93" s="5" t="s">
        <v>764</v>
      </c>
      <c r="D93" s="5" t="s">
        <v>856</v>
      </c>
      <c r="E93" s="5" t="s">
        <v>531</v>
      </c>
      <c r="F93" s="5" t="s">
        <v>1034</v>
      </c>
      <c r="G93" s="5" t="s">
        <v>1119</v>
      </c>
      <c r="H93" s="5" t="s">
        <v>1203</v>
      </c>
      <c r="I93" s="5" t="s">
        <v>2800</v>
      </c>
      <c r="J93" s="5" t="s">
        <v>2701</v>
      </c>
      <c r="K93" s="5" t="s">
        <v>2598</v>
      </c>
      <c r="L93" s="5" t="s">
        <v>2493</v>
      </c>
      <c r="M93" s="5" t="s">
        <v>3651</v>
      </c>
      <c r="N93" s="5" t="s">
        <v>2800</v>
      </c>
    </row>
    <row r="94" spans="1:14" x14ac:dyDescent="0.25">
      <c r="A94" s="12" t="s">
        <v>33</v>
      </c>
      <c r="B94" s="5" t="s">
        <v>679</v>
      </c>
      <c r="C94" s="5" t="s">
        <v>765</v>
      </c>
      <c r="D94" s="5" t="s">
        <v>857</v>
      </c>
      <c r="E94" s="5" t="s">
        <v>947</v>
      </c>
      <c r="F94" s="5" t="s">
        <v>1035</v>
      </c>
      <c r="G94" s="5" t="s">
        <v>1120</v>
      </c>
      <c r="H94" s="5" t="s">
        <v>1204</v>
      </c>
      <c r="I94" s="5" t="s">
        <v>2801</v>
      </c>
      <c r="J94" s="5" t="s">
        <v>2702</v>
      </c>
      <c r="K94" s="5" t="s">
        <v>2599</v>
      </c>
      <c r="L94" s="5" t="s">
        <v>2494</v>
      </c>
      <c r="M94" s="5" t="s">
        <v>3652</v>
      </c>
      <c r="N94" s="5" t="s">
        <v>3544</v>
      </c>
    </row>
    <row r="95" spans="1:14" x14ac:dyDescent="0.25">
      <c r="A95" s="12" t="s">
        <v>532</v>
      </c>
      <c r="B95" s="5" t="s">
        <v>680</v>
      </c>
      <c r="C95" s="5" t="s">
        <v>766</v>
      </c>
      <c r="D95" s="5" t="s">
        <v>858</v>
      </c>
      <c r="E95" s="5" t="s">
        <v>948</v>
      </c>
      <c r="F95" s="5" t="s">
        <v>1036</v>
      </c>
      <c r="G95" s="5" t="s">
        <v>1121</v>
      </c>
      <c r="H95" s="5" t="s">
        <v>1205</v>
      </c>
      <c r="I95" s="5" t="s">
        <v>2802</v>
      </c>
      <c r="J95" s="5" t="s">
        <v>2703</v>
      </c>
      <c r="K95" s="5" t="s">
        <v>2600</v>
      </c>
      <c r="L95" s="5" t="s">
        <v>2495</v>
      </c>
      <c r="M95" s="5" t="s">
        <v>3653</v>
      </c>
      <c r="N95" s="5" t="s">
        <v>3545</v>
      </c>
    </row>
    <row r="96" spans="1:14" x14ac:dyDescent="0.25">
      <c r="A96" s="12" t="s">
        <v>533</v>
      </c>
      <c r="B96" s="5" t="s">
        <v>681</v>
      </c>
      <c r="C96" s="5" t="s">
        <v>767</v>
      </c>
      <c r="D96" s="5" t="s">
        <v>859</v>
      </c>
      <c r="E96" s="5" t="s">
        <v>949</v>
      </c>
      <c r="F96" s="5" t="s">
        <v>1037</v>
      </c>
      <c r="G96" s="5" t="s">
        <v>1122</v>
      </c>
      <c r="H96" s="5" t="s">
        <v>1206</v>
      </c>
      <c r="I96" s="5" t="s">
        <v>2803</v>
      </c>
      <c r="J96" s="5" t="s">
        <v>2704</v>
      </c>
      <c r="K96" s="5" t="s">
        <v>2601</v>
      </c>
      <c r="L96" s="5" t="s">
        <v>2496</v>
      </c>
      <c r="M96" s="5" t="s">
        <v>3654</v>
      </c>
      <c r="N96" s="5" t="s">
        <v>3546</v>
      </c>
    </row>
    <row r="97" spans="1:14" x14ac:dyDescent="0.25">
      <c r="A97" s="12" t="s">
        <v>534</v>
      </c>
      <c r="B97" s="5" t="s">
        <v>2209</v>
      </c>
      <c r="C97" s="5" t="s">
        <v>768</v>
      </c>
      <c r="D97" s="5" t="s">
        <v>860</v>
      </c>
      <c r="E97" s="5" t="s">
        <v>950</v>
      </c>
      <c r="F97" s="5" t="s">
        <v>1038</v>
      </c>
      <c r="G97" s="5" t="s">
        <v>1123</v>
      </c>
      <c r="H97" s="5" t="s">
        <v>1207</v>
      </c>
      <c r="I97" s="5" t="s">
        <v>2804</v>
      </c>
      <c r="J97" s="5" t="s">
        <v>2705</v>
      </c>
      <c r="K97" s="5" t="s">
        <v>2602</v>
      </c>
      <c r="L97" s="5" t="s">
        <v>2497</v>
      </c>
      <c r="M97" s="5" t="s">
        <v>3655</v>
      </c>
      <c r="N97" s="5" t="s">
        <v>2804</v>
      </c>
    </row>
    <row r="98" spans="1:14" x14ac:dyDescent="0.25">
      <c r="A98" s="12" t="s">
        <v>535</v>
      </c>
      <c r="B98" s="5" t="s">
        <v>2210</v>
      </c>
      <c r="C98" s="5" t="s">
        <v>769</v>
      </c>
      <c r="D98" s="5" t="s">
        <v>861</v>
      </c>
      <c r="E98" s="5" t="s">
        <v>951</v>
      </c>
      <c r="F98" s="5" t="s">
        <v>1039</v>
      </c>
      <c r="G98" s="5" t="s">
        <v>1124</v>
      </c>
      <c r="H98" s="5" t="s">
        <v>1208</v>
      </c>
      <c r="I98" s="5" t="s">
        <v>2805</v>
      </c>
      <c r="J98" s="5" t="s">
        <v>2706</v>
      </c>
      <c r="K98" s="5" t="s">
        <v>2603</v>
      </c>
      <c r="L98" s="5" t="s">
        <v>2498</v>
      </c>
      <c r="M98" s="5" t="s">
        <v>3656</v>
      </c>
      <c r="N98" s="5" t="s">
        <v>3547</v>
      </c>
    </row>
    <row r="99" spans="1:14" x14ac:dyDescent="0.25">
      <c r="A99" s="12" t="s">
        <v>536</v>
      </c>
      <c r="B99" s="5" t="s">
        <v>682</v>
      </c>
      <c r="C99" s="5" t="s">
        <v>770</v>
      </c>
      <c r="D99" s="5" t="s">
        <v>862</v>
      </c>
      <c r="E99" s="5" t="s">
        <v>952</v>
      </c>
      <c r="F99" s="5" t="s">
        <v>1040</v>
      </c>
      <c r="G99" s="5" t="s">
        <v>1125</v>
      </c>
      <c r="H99" s="5" t="s">
        <v>1209</v>
      </c>
      <c r="I99" s="5" t="s">
        <v>2806</v>
      </c>
      <c r="J99" s="5" t="s">
        <v>2707</v>
      </c>
      <c r="K99" s="5" t="s">
        <v>2604</v>
      </c>
      <c r="L99" s="5" t="s">
        <v>2499</v>
      </c>
      <c r="M99" s="5" t="s">
        <v>3657</v>
      </c>
      <c r="N99" s="5" t="s">
        <v>3548</v>
      </c>
    </row>
    <row r="100" spans="1:14" x14ac:dyDescent="0.25">
      <c r="A100" s="12" t="s">
        <v>31</v>
      </c>
      <c r="B100" s="5" t="s">
        <v>683</v>
      </c>
      <c r="C100" s="5" t="s">
        <v>771</v>
      </c>
      <c r="D100" s="5" t="s">
        <v>863</v>
      </c>
      <c r="E100" s="5" t="s">
        <v>953</v>
      </c>
      <c r="F100" s="5" t="s">
        <v>1041</v>
      </c>
      <c r="G100" s="5" t="s">
        <v>1126</v>
      </c>
      <c r="H100" s="5" t="s">
        <v>1210</v>
      </c>
      <c r="I100" s="5" t="s">
        <v>2807</v>
      </c>
      <c r="J100" s="5" t="s">
        <v>2708</v>
      </c>
      <c r="K100" s="5" t="s">
        <v>2605</v>
      </c>
      <c r="L100" s="5" t="s">
        <v>2500</v>
      </c>
      <c r="M100" s="5" t="s">
        <v>3658</v>
      </c>
      <c r="N100" s="5" t="s">
        <v>3549</v>
      </c>
    </row>
    <row r="101" spans="1:14" x14ac:dyDescent="0.25">
      <c r="A101" s="12" t="s">
        <v>282</v>
      </c>
      <c r="B101" s="5" t="s">
        <v>684</v>
      </c>
      <c r="C101" s="5" t="s">
        <v>772</v>
      </c>
      <c r="D101" s="5" t="s">
        <v>283</v>
      </c>
      <c r="E101" s="5" t="s">
        <v>284</v>
      </c>
      <c r="F101" s="5" t="s">
        <v>285</v>
      </c>
      <c r="G101" s="5" t="s">
        <v>286</v>
      </c>
      <c r="H101" s="5" t="s">
        <v>287</v>
      </c>
      <c r="I101" s="5" t="s">
        <v>2808</v>
      </c>
      <c r="J101" s="5" t="s">
        <v>2709</v>
      </c>
      <c r="K101" s="5" t="s">
        <v>2606</v>
      </c>
      <c r="L101" s="5" t="s">
        <v>2501</v>
      </c>
      <c r="M101" s="5" t="s">
        <v>3659</v>
      </c>
      <c r="N101" s="5" t="s">
        <v>3550</v>
      </c>
    </row>
    <row r="102" spans="1:14" x14ac:dyDescent="0.25">
      <c r="A102" s="12" t="s">
        <v>537</v>
      </c>
      <c r="B102" s="5" t="s">
        <v>685</v>
      </c>
      <c r="C102" s="5" t="s">
        <v>773</v>
      </c>
      <c r="D102" s="5" t="s">
        <v>864</v>
      </c>
      <c r="E102" s="5" t="s">
        <v>954</v>
      </c>
      <c r="F102" s="5" t="s">
        <v>1042</v>
      </c>
      <c r="G102" s="5" t="s">
        <v>1127</v>
      </c>
      <c r="H102" s="5" t="s">
        <v>1211</v>
      </c>
      <c r="I102" s="5" t="s">
        <v>2809</v>
      </c>
      <c r="J102" s="5" t="s">
        <v>2710</v>
      </c>
      <c r="K102" s="5" t="s">
        <v>2607</v>
      </c>
      <c r="L102" s="5" t="s">
        <v>2502</v>
      </c>
      <c r="M102" s="5" t="s">
        <v>3660</v>
      </c>
      <c r="N102" s="5" t="s">
        <v>3551</v>
      </c>
    </row>
    <row r="103" spans="1:14" x14ac:dyDescent="0.25">
      <c r="A103" s="12" t="s">
        <v>538</v>
      </c>
      <c r="B103" s="5" t="s">
        <v>2200</v>
      </c>
      <c r="C103" s="5" t="s">
        <v>774</v>
      </c>
      <c r="D103" s="5" t="s">
        <v>865</v>
      </c>
      <c r="E103" s="5" t="s">
        <v>955</v>
      </c>
      <c r="F103" s="5" t="s">
        <v>1043</v>
      </c>
      <c r="G103" s="5" t="s">
        <v>1128</v>
      </c>
      <c r="H103" s="5" t="s">
        <v>1212</v>
      </c>
      <c r="I103" s="5" t="s">
        <v>2810</v>
      </c>
      <c r="J103" s="5" t="s">
        <v>2711</v>
      </c>
      <c r="K103" s="5" t="s">
        <v>2608</v>
      </c>
      <c r="L103" s="5" t="s">
        <v>2503</v>
      </c>
      <c r="M103" s="5" t="s">
        <v>3661</v>
      </c>
      <c r="N103" s="5" t="s">
        <v>3552</v>
      </c>
    </row>
    <row r="104" spans="1:14" x14ac:dyDescent="0.25">
      <c r="A104" s="12" t="s">
        <v>539</v>
      </c>
      <c r="B104" s="5" t="s">
        <v>686</v>
      </c>
      <c r="C104" s="5" t="s">
        <v>775</v>
      </c>
      <c r="D104" s="5" t="s">
        <v>866</v>
      </c>
      <c r="E104" s="5" t="s">
        <v>956</v>
      </c>
      <c r="F104" s="5" t="s">
        <v>1044</v>
      </c>
      <c r="G104" s="5" t="s">
        <v>1129</v>
      </c>
      <c r="H104" s="5" t="s">
        <v>1213</v>
      </c>
      <c r="I104" s="5" t="s">
        <v>2811</v>
      </c>
      <c r="J104" s="5" t="s">
        <v>2712</v>
      </c>
      <c r="K104" s="5" t="s">
        <v>2609</v>
      </c>
      <c r="L104" s="5" t="s">
        <v>2504</v>
      </c>
      <c r="M104" s="5" t="s">
        <v>3662</v>
      </c>
      <c r="N104" s="5" t="s">
        <v>3553</v>
      </c>
    </row>
    <row r="105" spans="1:14" x14ac:dyDescent="0.25">
      <c r="A105" s="12" t="s">
        <v>540</v>
      </c>
      <c r="B105" s="5" t="s">
        <v>687</v>
      </c>
      <c r="C105" s="5" t="s">
        <v>776</v>
      </c>
      <c r="D105" s="5" t="s">
        <v>867</v>
      </c>
      <c r="E105" s="5" t="s">
        <v>957</v>
      </c>
      <c r="F105" s="5" t="s">
        <v>1045</v>
      </c>
      <c r="G105" s="5" t="s">
        <v>1130</v>
      </c>
      <c r="H105" s="5" t="s">
        <v>1214</v>
      </c>
      <c r="I105" s="5" t="s">
        <v>2812</v>
      </c>
      <c r="J105" s="5" t="s">
        <v>2713</v>
      </c>
      <c r="K105" s="5" t="s">
        <v>2610</v>
      </c>
      <c r="L105" s="5" t="s">
        <v>2505</v>
      </c>
      <c r="M105" s="5" t="s">
        <v>3663</v>
      </c>
      <c r="N105" s="5" t="s">
        <v>3554</v>
      </c>
    </row>
    <row r="106" spans="1:14" x14ac:dyDescent="0.25">
      <c r="A106" s="12" t="s">
        <v>34</v>
      </c>
      <c r="B106" s="5" t="s">
        <v>688</v>
      </c>
      <c r="C106" s="5" t="s">
        <v>777</v>
      </c>
      <c r="D106" s="5" t="s">
        <v>868</v>
      </c>
      <c r="E106" s="5" t="s">
        <v>958</v>
      </c>
      <c r="F106" s="5" t="s">
        <v>1046</v>
      </c>
      <c r="G106" s="5" t="s">
        <v>1131</v>
      </c>
      <c r="H106" s="5" t="s">
        <v>1215</v>
      </c>
      <c r="I106" s="5" t="s">
        <v>2813</v>
      </c>
      <c r="J106" s="5" t="s">
        <v>2714</v>
      </c>
      <c r="K106" s="5" t="s">
        <v>2611</v>
      </c>
      <c r="L106" s="5" t="s">
        <v>2506</v>
      </c>
      <c r="M106" s="5" t="s">
        <v>3664</v>
      </c>
      <c r="N106" s="5" t="s">
        <v>3555</v>
      </c>
    </row>
    <row r="107" spans="1:14" x14ac:dyDescent="0.25">
      <c r="A107" s="12" t="s">
        <v>541</v>
      </c>
      <c r="B107" s="5" t="s">
        <v>689</v>
      </c>
      <c r="C107" s="5" t="s">
        <v>778</v>
      </c>
      <c r="D107" s="5" t="s">
        <v>869</v>
      </c>
      <c r="E107" s="5" t="s">
        <v>959</v>
      </c>
      <c r="F107" s="5" t="s">
        <v>1047</v>
      </c>
      <c r="G107" s="5" t="s">
        <v>1132</v>
      </c>
      <c r="H107" s="5" t="s">
        <v>1216</v>
      </c>
      <c r="I107" s="5" t="s">
        <v>2814</v>
      </c>
      <c r="J107" s="5" t="s">
        <v>2715</v>
      </c>
      <c r="K107" s="5" t="s">
        <v>2612</v>
      </c>
      <c r="L107" s="5" t="s">
        <v>2507</v>
      </c>
      <c r="M107" s="5" t="s">
        <v>3665</v>
      </c>
      <c r="N107" s="5" t="s">
        <v>3556</v>
      </c>
    </row>
    <row r="108" spans="1:14" x14ac:dyDescent="0.25">
      <c r="A108" s="12" t="s">
        <v>542</v>
      </c>
      <c r="B108" s="5" t="s">
        <v>690</v>
      </c>
      <c r="C108" s="5" t="s">
        <v>779</v>
      </c>
      <c r="D108" s="5" t="s">
        <v>870</v>
      </c>
      <c r="E108" s="5" t="s">
        <v>960</v>
      </c>
      <c r="F108" s="5" t="s">
        <v>1048</v>
      </c>
      <c r="G108" s="5" t="s">
        <v>1133</v>
      </c>
      <c r="H108" s="5" t="s">
        <v>1217</v>
      </c>
      <c r="I108" s="5" t="s">
        <v>2815</v>
      </c>
      <c r="J108" s="5" t="s">
        <v>2716</v>
      </c>
      <c r="K108" s="5" t="s">
        <v>2613</v>
      </c>
      <c r="L108" s="5" t="s">
        <v>2508</v>
      </c>
      <c r="M108" s="5" t="s">
        <v>3666</v>
      </c>
      <c r="N108" s="5" t="s">
        <v>2815</v>
      </c>
    </row>
    <row r="109" spans="1:14" x14ac:dyDescent="0.25">
      <c r="A109" s="12" t="s">
        <v>1851</v>
      </c>
      <c r="B109" s="5" t="s">
        <v>1896</v>
      </c>
      <c r="C109" s="5" t="s">
        <v>1937</v>
      </c>
      <c r="D109" s="5" t="s">
        <v>1982</v>
      </c>
      <c r="E109" s="5" t="s">
        <v>2027</v>
      </c>
      <c r="F109" s="5" t="s">
        <v>2072</v>
      </c>
      <c r="G109" s="5" t="s">
        <v>2116</v>
      </c>
      <c r="H109" s="5" t="s">
        <v>2161</v>
      </c>
      <c r="I109" s="5" t="s">
        <v>2816</v>
      </c>
      <c r="J109" s="5" t="s">
        <v>2717</v>
      </c>
      <c r="K109" s="5" t="s">
        <v>2614</v>
      </c>
      <c r="L109" s="5" t="s">
        <v>2509</v>
      </c>
      <c r="M109" s="5" t="s">
        <v>3667</v>
      </c>
      <c r="N109" s="5" t="s">
        <v>3557</v>
      </c>
    </row>
    <row r="110" spans="1:14" x14ac:dyDescent="0.25">
      <c r="A110" s="12" t="s">
        <v>543</v>
      </c>
      <c r="B110" s="5" t="s">
        <v>691</v>
      </c>
      <c r="C110" s="5" t="s">
        <v>780</v>
      </c>
      <c r="D110" s="5" t="s">
        <v>871</v>
      </c>
      <c r="E110" s="5" t="s">
        <v>961</v>
      </c>
      <c r="F110" s="5" t="s">
        <v>1049</v>
      </c>
      <c r="G110" s="5" t="s">
        <v>1134</v>
      </c>
      <c r="H110" s="5" t="s">
        <v>1218</v>
      </c>
      <c r="I110" s="5" t="s">
        <v>2817</v>
      </c>
      <c r="J110" s="5" t="s">
        <v>2718</v>
      </c>
      <c r="K110" s="5" t="s">
        <v>2615</v>
      </c>
      <c r="L110" s="5" t="s">
        <v>2510</v>
      </c>
      <c r="M110" s="5" t="s">
        <v>3668</v>
      </c>
      <c r="N110" s="5" t="s">
        <v>3558</v>
      </c>
    </row>
    <row r="111" spans="1:14" x14ac:dyDescent="0.25">
      <c r="A111" s="12" t="s">
        <v>544</v>
      </c>
      <c r="B111" s="5" t="s">
        <v>692</v>
      </c>
      <c r="C111" s="5" t="s">
        <v>781</v>
      </c>
      <c r="D111" s="5" t="s">
        <v>872</v>
      </c>
      <c r="E111" s="5" t="s">
        <v>962</v>
      </c>
      <c r="F111" s="5" t="s">
        <v>1050</v>
      </c>
      <c r="G111" s="5" t="s">
        <v>1135</v>
      </c>
      <c r="H111" s="5" t="s">
        <v>1219</v>
      </c>
      <c r="I111" s="5" t="s">
        <v>2818</v>
      </c>
      <c r="J111" s="5" t="s">
        <v>2943</v>
      </c>
      <c r="K111" s="5" t="s">
        <v>3068</v>
      </c>
      <c r="L111" s="5" t="s">
        <v>3195</v>
      </c>
      <c r="M111" s="5" t="s">
        <v>3669</v>
      </c>
      <c r="N111" s="5" t="s">
        <v>3791</v>
      </c>
    </row>
    <row r="112" spans="1:14" x14ac:dyDescent="0.25">
      <c r="A112" s="12" t="s">
        <v>8</v>
      </c>
      <c r="B112" s="5" t="s">
        <v>693</v>
      </c>
      <c r="C112" s="5" t="s">
        <v>782</v>
      </c>
      <c r="D112" s="5" t="s">
        <v>873</v>
      </c>
      <c r="E112" s="5" t="s">
        <v>963</v>
      </c>
      <c r="F112" s="5" t="s">
        <v>1051</v>
      </c>
      <c r="G112" s="5" t="s">
        <v>1136</v>
      </c>
      <c r="H112" s="5" t="s">
        <v>1220</v>
      </c>
      <c r="I112" s="5" t="s">
        <v>2819</v>
      </c>
      <c r="J112" s="5" t="s">
        <v>2944</v>
      </c>
      <c r="K112" s="5" t="s">
        <v>3069</v>
      </c>
      <c r="L112" s="5" t="s">
        <v>3196</v>
      </c>
      <c r="M112" s="5" t="s">
        <v>3670</v>
      </c>
      <c r="N112" s="5" t="s">
        <v>3792</v>
      </c>
    </row>
    <row r="113" spans="1:14" x14ac:dyDescent="0.25">
      <c r="A113" s="12" t="s">
        <v>545</v>
      </c>
      <c r="B113" s="5" t="s">
        <v>694</v>
      </c>
      <c r="C113" s="5" t="s">
        <v>783</v>
      </c>
      <c r="D113" s="5" t="s">
        <v>874</v>
      </c>
      <c r="E113" s="5" t="s">
        <v>964</v>
      </c>
      <c r="F113" s="5" t="s">
        <v>1052</v>
      </c>
      <c r="G113" s="5" t="s">
        <v>1137</v>
      </c>
      <c r="H113" s="5" t="s">
        <v>1221</v>
      </c>
      <c r="I113" s="5" t="s">
        <v>2820</v>
      </c>
      <c r="J113" s="5" t="s">
        <v>2945</v>
      </c>
      <c r="K113" s="5" t="s">
        <v>3070</v>
      </c>
      <c r="L113" s="5" t="s">
        <v>3197</v>
      </c>
      <c r="M113" s="5" t="s">
        <v>3671</v>
      </c>
      <c r="N113" s="5" t="s">
        <v>3793</v>
      </c>
    </row>
    <row r="114" spans="1:14" x14ac:dyDescent="0.25">
      <c r="A114" s="12" t="s">
        <v>546</v>
      </c>
      <c r="B114" s="5" t="s">
        <v>695</v>
      </c>
      <c r="C114" s="5" t="s">
        <v>784</v>
      </c>
      <c r="D114" s="5" t="s">
        <v>875</v>
      </c>
      <c r="E114" s="5" t="s">
        <v>965</v>
      </c>
      <c r="F114" s="5" t="s">
        <v>1053</v>
      </c>
      <c r="G114" s="5" t="s">
        <v>1138</v>
      </c>
      <c r="H114" s="5" t="s">
        <v>1222</v>
      </c>
      <c r="I114" s="5" t="s">
        <v>2821</v>
      </c>
      <c r="J114" s="5" t="s">
        <v>2946</v>
      </c>
      <c r="K114" s="5" t="s">
        <v>3071</v>
      </c>
      <c r="L114" s="5" t="s">
        <v>3198</v>
      </c>
      <c r="M114" s="5" t="s">
        <v>3672</v>
      </c>
      <c r="N114" s="5" t="s">
        <v>3794</v>
      </c>
    </row>
    <row r="115" spans="1:14" x14ac:dyDescent="0.25">
      <c r="A115" s="12" t="s">
        <v>547</v>
      </c>
      <c r="B115" s="5" t="s">
        <v>696</v>
      </c>
      <c r="C115" s="5" t="s">
        <v>785</v>
      </c>
      <c r="D115" s="5" t="s">
        <v>876</v>
      </c>
      <c r="E115" s="5" t="s">
        <v>966</v>
      </c>
      <c r="F115" s="5" t="s">
        <v>1054</v>
      </c>
      <c r="G115" s="5" t="s">
        <v>966</v>
      </c>
      <c r="H115" s="5" t="s">
        <v>1223</v>
      </c>
      <c r="I115" s="5" t="s">
        <v>2822</v>
      </c>
      <c r="J115" s="5" t="s">
        <v>2947</v>
      </c>
      <c r="K115" s="5" t="s">
        <v>3072</v>
      </c>
      <c r="L115" s="5" t="s">
        <v>3199</v>
      </c>
      <c r="M115" s="5" t="s">
        <v>3673</v>
      </c>
      <c r="N115" s="5" t="s">
        <v>2822</v>
      </c>
    </row>
    <row r="116" spans="1:14" x14ac:dyDescent="0.25">
      <c r="A116" s="12" t="s">
        <v>15</v>
      </c>
      <c r="B116" s="5" t="s">
        <v>1842</v>
      </c>
      <c r="C116" s="5" t="s">
        <v>786</v>
      </c>
      <c r="D116" s="5" t="s">
        <v>877</v>
      </c>
      <c r="E116" s="5" t="s">
        <v>967</v>
      </c>
      <c r="F116" s="5" t="s">
        <v>1055</v>
      </c>
      <c r="G116" s="5" t="s">
        <v>877</v>
      </c>
      <c r="H116" s="5" t="s">
        <v>1224</v>
      </c>
      <c r="I116" s="5" t="s">
        <v>2823</v>
      </c>
      <c r="J116" s="5" t="s">
        <v>2948</v>
      </c>
      <c r="K116" s="5" t="s">
        <v>3073</v>
      </c>
      <c r="L116" s="5" t="s">
        <v>3200</v>
      </c>
      <c r="M116" s="5" t="s">
        <v>2948</v>
      </c>
      <c r="N116" s="5" t="s">
        <v>2823</v>
      </c>
    </row>
    <row r="117" spans="1:14" x14ac:dyDescent="0.25">
      <c r="A117" s="12" t="s">
        <v>25</v>
      </c>
      <c r="B117" s="5" t="s">
        <v>697</v>
      </c>
      <c r="C117" s="5" t="s">
        <v>787</v>
      </c>
      <c r="D117" s="5" t="s">
        <v>878</v>
      </c>
      <c r="E117" s="5" t="s">
        <v>968</v>
      </c>
      <c r="F117" s="5" t="s">
        <v>1056</v>
      </c>
      <c r="G117" s="5" t="s">
        <v>1139</v>
      </c>
      <c r="H117" s="5" t="s">
        <v>1225</v>
      </c>
      <c r="I117" s="5" t="s">
        <v>2824</v>
      </c>
      <c r="J117" s="5" t="s">
        <v>2949</v>
      </c>
      <c r="K117" s="5" t="s">
        <v>3074</v>
      </c>
      <c r="L117" s="5" t="s">
        <v>3201</v>
      </c>
      <c r="M117" s="5" t="s">
        <v>3674</v>
      </c>
      <c r="N117" s="5" t="s">
        <v>3795</v>
      </c>
    </row>
    <row r="118" spans="1:14" x14ac:dyDescent="0.25">
      <c r="A118" s="12" t="s">
        <v>2201</v>
      </c>
      <c r="B118" s="5" t="s">
        <v>2206</v>
      </c>
      <c r="C118" s="5" t="s">
        <v>2205</v>
      </c>
      <c r="D118" s="5" t="s">
        <v>2201</v>
      </c>
      <c r="E118" s="5" t="s">
        <v>2201</v>
      </c>
      <c r="F118" s="5" t="s">
        <v>2204</v>
      </c>
      <c r="G118" s="5" t="s">
        <v>2203</v>
      </c>
      <c r="H118" s="5" t="s">
        <v>2202</v>
      </c>
      <c r="I118" s="5" t="s">
        <v>2825</v>
      </c>
      <c r="J118" s="5" t="s">
        <v>2950</v>
      </c>
      <c r="K118" s="5" t="s">
        <v>3075</v>
      </c>
      <c r="L118" s="5" t="s">
        <v>3202</v>
      </c>
      <c r="M118" s="5" t="s">
        <v>3675</v>
      </c>
      <c r="N118" s="5" t="s">
        <v>3796</v>
      </c>
    </row>
    <row r="119" spans="1:14" x14ac:dyDescent="0.25">
      <c r="A119" s="12" t="s">
        <v>106</v>
      </c>
      <c r="B119" s="5" t="s">
        <v>107</v>
      </c>
      <c r="C119" s="5" t="s">
        <v>108</v>
      </c>
      <c r="D119" s="5" t="s">
        <v>109</v>
      </c>
      <c r="E119" s="5" t="s">
        <v>110</v>
      </c>
      <c r="F119" s="5" t="s">
        <v>111</v>
      </c>
      <c r="G119" s="5" t="s">
        <v>112</v>
      </c>
      <c r="H119" s="5" t="s">
        <v>113</v>
      </c>
      <c r="I119" s="5" t="s">
        <v>2826</v>
      </c>
      <c r="J119" s="5" t="s">
        <v>2951</v>
      </c>
      <c r="K119" s="5" t="s">
        <v>3076</v>
      </c>
      <c r="L119" s="5" t="s">
        <v>3203</v>
      </c>
      <c r="M119" s="5" t="s">
        <v>2951</v>
      </c>
      <c r="N119" s="5" t="s">
        <v>2826</v>
      </c>
    </row>
    <row r="120" spans="1:14" x14ac:dyDescent="0.25">
      <c r="A120" s="12" t="s">
        <v>548</v>
      </c>
      <c r="B120" s="5" t="s">
        <v>1828</v>
      </c>
      <c r="C120" s="5" t="s">
        <v>788</v>
      </c>
      <c r="D120" s="5" t="s">
        <v>879</v>
      </c>
      <c r="E120" s="5" t="s">
        <v>969</v>
      </c>
      <c r="F120" s="5" t="s">
        <v>1057</v>
      </c>
      <c r="G120" s="5" t="s">
        <v>1140</v>
      </c>
      <c r="H120" s="5" t="s">
        <v>1226</v>
      </c>
      <c r="I120" s="5" t="s">
        <v>2827</v>
      </c>
      <c r="J120" s="5" t="s">
        <v>2952</v>
      </c>
      <c r="K120" s="5" t="s">
        <v>3077</v>
      </c>
      <c r="L120" s="5" t="s">
        <v>3204</v>
      </c>
      <c r="M120" s="5" t="s">
        <v>3676</v>
      </c>
      <c r="N120" s="5" t="s">
        <v>3797</v>
      </c>
    </row>
    <row r="121" spans="1:14" x14ac:dyDescent="0.25">
      <c r="A121" s="12" t="s">
        <v>549</v>
      </c>
      <c r="B121" s="5" t="s">
        <v>698</v>
      </c>
      <c r="C121" s="5" t="s">
        <v>789</v>
      </c>
      <c r="D121" s="5" t="s">
        <v>880</v>
      </c>
      <c r="E121" s="5" t="s">
        <v>549</v>
      </c>
      <c r="F121" s="5" t="s">
        <v>1058</v>
      </c>
      <c r="G121" s="5" t="s">
        <v>549</v>
      </c>
      <c r="H121" s="5" t="s">
        <v>1227</v>
      </c>
      <c r="I121" s="5" t="s">
        <v>2828</v>
      </c>
      <c r="J121" s="5" t="s">
        <v>2953</v>
      </c>
      <c r="K121" s="5" t="s">
        <v>3078</v>
      </c>
      <c r="L121" s="5" t="s">
        <v>3205</v>
      </c>
      <c r="M121" s="5" t="s">
        <v>3677</v>
      </c>
      <c r="N121" s="5" t="s">
        <v>2828</v>
      </c>
    </row>
    <row r="122" spans="1:14" x14ac:dyDescent="0.25">
      <c r="A122" s="12" t="s">
        <v>2212</v>
      </c>
      <c r="B122" s="5" t="s">
        <v>2218</v>
      </c>
      <c r="C122" s="5" t="s">
        <v>2225</v>
      </c>
      <c r="D122" s="5" t="s">
        <v>2232</v>
      </c>
      <c r="E122" s="5" t="s">
        <v>2239</v>
      </c>
      <c r="F122" s="5" t="s">
        <v>2246</v>
      </c>
      <c r="G122" s="5" t="s">
        <v>2253</v>
      </c>
      <c r="H122" s="5" t="s">
        <v>2260</v>
      </c>
      <c r="I122" s="5" t="s">
        <v>2829</v>
      </c>
      <c r="J122" s="5" t="s">
        <v>2954</v>
      </c>
      <c r="K122" s="5" t="s">
        <v>3079</v>
      </c>
      <c r="L122" s="5" t="s">
        <v>3206</v>
      </c>
      <c r="M122" s="5" t="s">
        <v>3678</v>
      </c>
      <c r="N122" s="5" t="s">
        <v>2829</v>
      </c>
    </row>
    <row r="123" spans="1:14" x14ac:dyDescent="0.25">
      <c r="A123" s="12" t="s">
        <v>550</v>
      </c>
      <c r="B123" s="5" t="s">
        <v>699</v>
      </c>
      <c r="C123" s="5" t="s">
        <v>790</v>
      </c>
      <c r="D123" s="5" t="s">
        <v>881</v>
      </c>
      <c r="E123" s="5" t="s">
        <v>970</v>
      </c>
      <c r="F123" s="5" t="s">
        <v>1059</v>
      </c>
      <c r="G123" s="5" t="s">
        <v>881</v>
      </c>
      <c r="H123" s="5" t="s">
        <v>1228</v>
      </c>
      <c r="I123" s="5" t="s">
        <v>2830</v>
      </c>
      <c r="J123" s="5" t="s">
        <v>2955</v>
      </c>
      <c r="K123" s="5" t="s">
        <v>3080</v>
      </c>
      <c r="L123" s="5" t="s">
        <v>3207</v>
      </c>
      <c r="M123" s="5" t="s">
        <v>3679</v>
      </c>
      <c r="N123" s="5" t="s">
        <v>2830</v>
      </c>
    </row>
    <row r="124" spans="1:14" x14ac:dyDescent="0.25">
      <c r="A124" s="12" t="s">
        <v>1864</v>
      </c>
      <c r="B124" s="5" t="s">
        <v>2199</v>
      </c>
      <c r="C124" s="5" t="s">
        <v>1950</v>
      </c>
      <c r="D124" s="5" t="s">
        <v>1995</v>
      </c>
      <c r="E124" s="5" t="s">
        <v>2040</v>
      </c>
      <c r="F124" s="5" t="s">
        <v>2085</v>
      </c>
      <c r="G124" s="5" t="s">
        <v>2129</v>
      </c>
      <c r="H124" s="5" t="s">
        <v>2174</v>
      </c>
      <c r="I124" s="5" t="s">
        <v>2831</v>
      </c>
      <c r="J124" s="5" t="s">
        <v>2956</v>
      </c>
      <c r="K124" s="5" t="s">
        <v>3081</v>
      </c>
      <c r="L124" s="5" t="s">
        <v>3208</v>
      </c>
      <c r="M124" s="5" t="s">
        <v>3680</v>
      </c>
      <c r="N124" s="5" t="s">
        <v>2831</v>
      </c>
    </row>
    <row r="125" spans="1:14" x14ac:dyDescent="0.25">
      <c r="A125" s="12" t="s">
        <v>551</v>
      </c>
      <c r="B125" s="5" t="s">
        <v>700</v>
      </c>
      <c r="C125" s="5" t="s">
        <v>791</v>
      </c>
      <c r="D125" s="5" t="s">
        <v>882</v>
      </c>
      <c r="E125" s="5" t="s">
        <v>971</v>
      </c>
      <c r="F125" s="5" t="s">
        <v>1060</v>
      </c>
      <c r="G125" s="5" t="s">
        <v>1141</v>
      </c>
      <c r="H125" s="5" t="s">
        <v>1229</v>
      </c>
      <c r="I125" s="5" t="s">
        <v>2832</v>
      </c>
      <c r="J125" s="5" t="s">
        <v>2957</v>
      </c>
      <c r="K125" s="5" t="s">
        <v>3082</v>
      </c>
      <c r="L125" s="5" t="s">
        <v>3209</v>
      </c>
      <c r="M125" s="5" t="s">
        <v>3681</v>
      </c>
      <c r="N125" s="5" t="s">
        <v>2832</v>
      </c>
    </row>
    <row r="126" spans="1:14" x14ac:dyDescent="0.25">
      <c r="A126" s="12" t="s">
        <v>337</v>
      </c>
      <c r="B126" s="5" t="s">
        <v>701</v>
      </c>
      <c r="C126" s="5" t="s">
        <v>792</v>
      </c>
      <c r="D126" s="5" t="s">
        <v>882</v>
      </c>
      <c r="E126" s="5" t="s">
        <v>971</v>
      </c>
      <c r="F126" s="5" t="s">
        <v>1060</v>
      </c>
      <c r="G126" s="5" t="s">
        <v>1142</v>
      </c>
      <c r="H126" s="5" t="s">
        <v>1230</v>
      </c>
      <c r="I126" s="5" t="s">
        <v>2832</v>
      </c>
      <c r="J126" s="5" t="s">
        <v>2957</v>
      </c>
      <c r="K126" s="5" t="s">
        <v>3082</v>
      </c>
      <c r="L126" s="5" t="s">
        <v>3210</v>
      </c>
      <c r="M126" s="5" t="s">
        <v>3682</v>
      </c>
      <c r="N126" s="5" t="s">
        <v>2832</v>
      </c>
    </row>
    <row r="127" spans="1:14" x14ac:dyDescent="0.25">
      <c r="A127" s="12" t="s">
        <v>18</v>
      </c>
      <c r="B127" s="5" t="s">
        <v>702</v>
      </c>
      <c r="C127" s="5" t="s">
        <v>793</v>
      </c>
      <c r="D127" s="5" t="s">
        <v>883</v>
      </c>
      <c r="E127" s="5" t="s">
        <v>972</v>
      </c>
      <c r="F127" s="5" t="s">
        <v>1061</v>
      </c>
      <c r="G127" s="5" t="s">
        <v>1143</v>
      </c>
      <c r="H127" s="5" t="s">
        <v>1231</v>
      </c>
      <c r="I127" s="5" t="s">
        <v>2833</v>
      </c>
      <c r="J127" s="5" t="s">
        <v>2958</v>
      </c>
      <c r="K127" s="5" t="s">
        <v>3083</v>
      </c>
      <c r="L127" s="5" t="s">
        <v>3211</v>
      </c>
      <c r="M127" s="5" t="s">
        <v>3683</v>
      </c>
      <c r="N127" s="5" t="s">
        <v>2833</v>
      </c>
    </row>
    <row r="128" spans="1:14" x14ac:dyDescent="0.25">
      <c r="A128" s="12" t="s">
        <v>552</v>
      </c>
      <c r="B128" s="5" t="s">
        <v>703</v>
      </c>
      <c r="C128" s="5" t="s">
        <v>794</v>
      </c>
      <c r="D128" s="5" t="s">
        <v>884</v>
      </c>
      <c r="E128" s="5" t="s">
        <v>973</v>
      </c>
      <c r="F128" s="5" t="s">
        <v>1062</v>
      </c>
      <c r="G128" s="5" t="s">
        <v>1144</v>
      </c>
      <c r="H128" s="5" t="s">
        <v>1232</v>
      </c>
      <c r="I128" s="5" t="s">
        <v>2834</v>
      </c>
      <c r="J128" s="5" t="s">
        <v>2959</v>
      </c>
      <c r="K128" s="5" t="s">
        <v>3084</v>
      </c>
      <c r="L128" s="5" t="s">
        <v>3212</v>
      </c>
      <c r="M128" s="5" t="s">
        <v>3684</v>
      </c>
      <c r="N128" s="5" t="s">
        <v>2834</v>
      </c>
    </row>
    <row r="129" spans="1:14" x14ac:dyDescent="0.25">
      <c r="A129" s="12" t="s">
        <v>553</v>
      </c>
      <c r="B129" s="5" t="s">
        <v>703</v>
      </c>
      <c r="C129" s="5" t="s">
        <v>794</v>
      </c>
      <c r="D129" s="5" t="s">
        <v>884</v>
      </c>
      <c r="E129" s="5" t="s">
        <v>973</v>
      </c>
      <c r="F129" s="5" t="s">
        <v>1062</v>
      </c>
      <c r="G129" s="5" t="s">
        <v>1145</v>
      </c>
      <c r="H129" s="5" t="s">
        <v>1232</v>
      </c>
      <c r="I129" s="5" t="s">
        <v>2834</v>
      </c>
      <c r="J129" s="5" t="s">
        <v>2959</v>
      </c>
      <c r="K129" s="5" t="s">
        <v>3084</v>
      </c>
      <c r="L129" s="5" t="s">
        <v>3213</v>
      </c>
      <c r="M129" s="5" t="s">
        <v>3684</v>
      </c>
      <c r="N129" s="5" t="s">
        <v>2834</v>
      </c>
    </row>
    <row r="130" spans="1:14" x14ac:dyDescent="0.25">
      <c r="A130" s="12" t="s">
        <v>554</v>
      </c>
      <c r="B130" s="5" t="s">
        <v>704</v>
      </c>
      <c r="C130" s="5" t="s">
        <v>794</v>
      </c>
      <c r="D130" s="5" t="s">
        <v>885</v>
      </c>
      <c r="E130" s="5" t="s">
        <v>974</v>
      </c>
      <c r="F130" s="5" t="s">
        <v>1063</v>
      </c>
      <c r="G130" s="5" t="s">
        <v>1146</v>
      </c>
      <c r="H130" s="5" t="s">
        <v>1233</v>
      </c>
      <c r="I130" s="5" t="s">
        <v>2834</v>
      </c>
      <c r="J130" s="5" t="s">
        <v>2960</v>
      </c>
      <c r="K130" s="5" t="s">
        <v>3085</v>
      </c>
      <c r="L130" s="5" t="s">
        <v>3214</v>
      </c>
      <c r="M130" s="5" t="s">
        <v>3684</v>
      </c>
      <c r="N130" s="5" t="s">
        <v>2834</v>
      </c>
    </row>
    <row r="131" spans="1:14" x14ac:dyDescent="0.25">
      <c r="A131" s="12" t="s">
        <v>1849</v>
      </c>
      <c r="B131" s="5" t="s">
        <v>1894</v>
      </c>
      <c r="C131" s="5" t="s">
        <v>1935</v>
      </c>
      <c r="D131" s="5" t="s">
        <v>1980</v>
      </c>
      <c r="E131" s="5" t="s">
        <v>2025</v>
      </c>
      <c r="F131" s="5" t="s">
        <v>2070</v>
      </c>
      <c r="G131" s="5" t="s">
        <v>2114</v>
      </c>
      <c r="H131" s="5" t="s">
        <v>2159</v>
      </c>
      <c r="I131" s="5" t="s">
        <v>2835</v>
      </c>
      <c r="J131" s="5" t="s">
        <v>2961</v>
      </c>
      <c r="K131" s="5" t="s">
        <v>3086</v>
      </c>
      <c r="L131" s="5" t="s">
        <v>3215</v>
      </c>
      <c r="M131" s="5" t="s">
        <v>3685</v>
      </c>
      <c r="N131" s="5" t="s">
        <v>3798</v>
      </c>
    </row>
    <row r="132" spans="1:14" x14ac:dyDescent="0.25">
      <c r="A132" s="12" t="s">
        <v>555</v>
      </c>
      <c r="B132" s="5" t="s">
        <v>705</v>
      </c>
      <c r="C132" s="5" t="s">
        <v>795</v>
      </c>
      <c r="D132" s="5" t="s">
        <v>886</v>
      </c>
      <c r="E132" s="5" t="s">
        <v>975</v>
      </c>
      <c r="F132" s="5" t="s">
        <v>1064</v>
      </c>
      <c r="G132" s="5" t="s">
        <v>1147</v>
      </c>
      <c r="H132" s="5" t="s">
        <v>1234</v>
      </c>
      <c r="I132" s="5" t="s">
        <v>2836</v>
      </c>
      <c r="J132" s="5" t="s">
        <v>2962</v>
      </c>
      <c r="K132" s="5" t="s">
        <v>3087</v>
      </c>
      <c r="L132" s="5" t="s">
        <v>3216</v>
      </c>
      <c r="M132" s="5" t="s">
        <v>3686</v>
      </c>
      <c r="N132" s="5" t="s">
        <v>3799</v>
      </c>
    </row>
    <row r="133" spans="1:14" x14ac:dyDescent="0.25">
      <c r="A133" s="12" t="s">
        <v>556</v>
      </c>
      <c r="B133" s="5" t="s">
        <v>706</v>
      </c>
      <c r="C133" s="5" t="s">
        <v>796</v>
      </c>
      <c r="D133" s="5" t="s">
        <v>887</v>
      </c>
      <c r="E133" s="5" t="s">
        <v>556</v>
      </c>
      <c r="F133" s="5" t="s">
        <v>1065</v>
      </c>
      <c r="G133" s="5" t="s">
        <v>556</v>
      </c>
      <c r="H133" s="5" t="s">
        <v>1235</v>
      </c>
      <c r="I133" s="5" t="s">
        <v>2837</v>
      </c>
      <c r="J133" s="5" t="s">
        <v>2963</v>
      </c>
      <c r="K133" s="5" t="s">
        <v>3088</v>
      </c>
      <c r="L133" s="5" t="s">
        <v>3217</v>
      </c>
      <c r="M133" s="5" t="s">
        <v>3687</v>
      </c>
      <c r="N133" s="5" t="s">
        <v>2837</v>
      </c>
    </row>
    <row r="134" spans="1:14" x14ac:dyDescent="0.25">
      <c r="A134" s="12" t="s">
        <v>557</v>
      </c>
      <c r="B134" s="5" t="s">
        <v>2281</v>
      </c>
      <c r="C134" s="5" t="s">
        <v>797</v>
      </c>
      <c r="D134" s="5" t="s">
        <v>888</v>
      </c>
      <c r="E134" s="5" t="s">
        <v>976</v>
      </c>
      <c r="F134" s="5" t="s">
        <v>1066</v>
      </c>
      <c r="G134" s="5" t="s">
        <v>888</v>
      </c>
      <c r="H134" s="5" t="s">
        <v>1236</v>
      </c>
      <c r="I134" s="5" t="s">
        <v>2838</v>
      </c>
      <c r="J134" s="5" t="s">
        <v>2964</v>
      </c>
      <c r="K134" s="5" t="s">
        <v>3089</v>
      </c>
      <c r="L134" s="5" t="s">
        <v>3218</v>
      </c>
      <c r="M134" s="5" t="s">
        <v>3688</v>
      </c>
      <c r="N134" s="5" t="s">
        <v>3800</v>
      </c>
    </row>
    <row r="135" spans="1:14" x14ac:dyDescent="0.25">
      <c r="A135" s="12" t="s">
        <v>558</v>
      </c>
      <c r="B135" s="5" t="s">
        <v>707</v>
      </c>
      <c r="C135" s="5" t="s">
        <v>798</v>
      </c>
      <c r="D135" s="5" t="s">
        <v>889</v>
      </c>
      <c r="E135" s="5" t="s">
        <v>977</v>
      </c>
      <c r="F135" s="5" t="s">
        <v>1067</v>
      </c>
      <c r="G135" s="5" t="s">
        <v>1148</v>
      </c>
      <c r="H135" s="5" t="s">
        <v>1237</v>
      </c>
      <c r="I135" s="5" t="s">
        <v>2839</v>
      </c>
      <c r="J135" s="5" t="s">
        <v>2965</v>
      </c>
      <c r="K135" s="5" t="s">
        <v>3090</v>
      </c>
      <c r="L135" s="5" t="s">
        <v>3219</v>
      </c>
      <c r="M135" s="5" t="s">
        <v>3689</v>
      </c>
      <c r="N135" s="5" t="s">
        <v>3801</v>
      </c>
    </row>
    <row r="136" spans="1:14" x14ac:dyDescent="0.25">
      <c r="A136" s="12" t="s">
        <v>559</v>
      </c>
      <c r="B136" s="5" t="s">
        <v>708</v>
      </c>
      <c r="C136" s="5" t="s">
        <v>799</v>
      </c>
      <c r="D136" s="5" t="s">
        <v>890</v>
      </c>
      <c r="E136" s="5" t="s">
        <v>978</v>
      </c>
      <c r="F136" s="5" t="s">
        <v>1068</v>
      </c>
      <c r="G136" s="5" t="s">
        <v>890</v>
      </c>
      <c r="H136" s="5" t="s">
        <v>1238</v>
      </c>
      <c r="I136" s="5" t="s">
        <v>2840</v>
      </c>
      <c r="J136" s="5" t="s">
        <v>2966</v>
      </c>
      <c r="K136" s="5" t="s">
        <v>3091</v>
      </c>
      <c r="L136" s="5" t="s">
        <v>3220</v>
      </c>
      <c r="M136" s="5" t="s">
        <v>3690</v>
      </c>
      <c r="N136" s="5" t="s">
        <v>3802</v>
      </c>
    </row>
    <row r="137" spans="1:14" x14ac:dyDescent="0.25">
      <c r="A137" s="12" t="s">
        <v>1848</v>
      </c>
      <c r="B137" s="5" t="s">
        <v>1893</v>
      </c>
      <c r="C137" s="5" t="s">
        <v>1934</v>
      </c>
      <c r="D137" s="5" t="s">
        <v>1979</v>
      </c>
      <c r="E137" s="5" t="s">
        <v>2024</v>
      </c>
      <c r="F137" s="5" t="s">
        <v>2069</v>
      </c>
      <c r="G137" s="5" t="s">
        <v>2113</v>
      </c>
      <c r="H137" s="5" t="s">
        <v>2158</v>
      </c>
      <c r="I137" s="5" t="s">
        <v>2841</v>
      </c>
      <c r="J137" s="5" t="s">
        <v>2967</v>
      </c>
      <c r="K137" s="5" t="s">
        <v>3092</v>
      </c>
      <c r="L137" s="5" t="s">
        <v>3221</v>
      </c>
      <c r="M137" s="5" t="s">
        <v>3691</v>
      </c>
      <c r="N137" s="5" t="s">
        <v>3803</v>
      </c>
    </row>
    <row r="138" spans="1:14" x14ac:dyDescent="0.25">
      <c r="A138" s="12" t="s">
        <v>560</v>
      </c>
      <c r="B138" s="5" t="s">
        <v>709</v>
      </c>
      <c r="C138" s="5" t="s">
        <v>800</v>
      </c>
      <c r="D138" s="5" t="s">
        <v>891</v>
      </c>
      <c r="E138" s="5" t="s">
        <v>979</v>
      </c>
      <c r="F138" s="5" t="s">
        <v>1069</v>
      </c>
      <c r="G138" s="5" t="s">
        <v>1149</v>
      </c>
      <c r="H138" s="5" t="s">
        <v>1239</v>
      </c>
      <c r="I138" s="5" t="s">
        <v>2842</v>
      </c>
      <c r="J138" s="5" t="s">
        <v>2968</v>
      </c>
      <c r="K138" s="5" t="s">
        <v>3093</v>
      </c>
      <c r="L138" s="5" t="s">
        <v>3222</v>
      </c>
      <c r="M138" s="5" t="s">
        <v>3692</v>
      </c>
      <c r="N138" s="5" t="s">
        <v>3804</v>
      </c>
    </row>
    <row r="139" spans="1:14" x14ac:dyDescent="0.25">
      <c r="A139" s="12" t="s">
        <v>561</v>
      </c>
      <c r="B139" s="5" t="s">
        <v>710</v>
      </c>
      <c r="C139" s="5" t="s">
        <v>801</v>
      </c>
      <c r="D139" s="5" t="s">
        <v>892</v>
      </c>
      <c r="E139" s="5" t="s">
        <v>980</v>
      </c>
      <c r="F139" s="5" t="s">
        <v>1070</v>
      </c>
      <c r="G139" s="5" t="s">
        <v>1150</v>
      </c>
      <c r="H139" s="5" t="s">
        <v>1240</v>
      </c>
      <c r="I139" s="5" t="s">
        <v>2843</v>
      </c>
      <c r="J139" s="5" t="s">
        <v>2968</v>
      </c>
      <c r="K139" s="5" t="s">
        <v>3094</v>
      </c>
      <c r="L139" s="5" t="s">
        <v>3223</v>
      </c>
      <c r="M139" s="5" t="s">
        <v>3693</v>
      </c>
      <c r="N139" s="5" t="s">
        <v>3805</v>
      </c>
    </row>
    <row r="140" spans="1:14" x14ac:dyDescent="0.25">
      <c r="A140" s="12" t="s">
        <v>191</v>
      </c>
      <c r="B140" s="5" t="s">
        <v>192</v>
      </c>
      <c r="C140" s="5" t="s">
        <v>191</v>
      </c>
      <c r="D140" s="5" t="s">
        <v>193</v>
      </c>
      <c r="E140" s="5" t="s">
        <v>194</v>
      </c>
      <c r="F140" s="5" t="s">
        <v>195</v>
      </c>
      <c r="G140" s="5" t="s">
        <v>195</v>
      </c>
      <c r="H140" s="5" t="s">
        <v>196</v>
      </c>
      <c r="I140" s="5" t="s">
        <v>2844</v>
      </c>
      <c r="J140" s="5" t="s">
        <v>2969</v>
      </c>
      <c r="K140" s="5" t="s">
        <v>3095</v>
      </c>
      <c r="L140" s="5" t="s">
        <v>3224</v>
      </c>
      <c r="M140" s="5" t="s">
        <v>2969</v>
      </c>
      <c r="N140" s="5" t="s">
        <v>2844</v>
      </c>
    </row>
    <row r="141" spans="1:14" x14ac:dyDescent="0.25">
      <c r="A141" s="12" t="s">
        <v>562</v>
      </c>
      <c r="B141" s="5" t="s">
        <v>711</v>
      </c>
      <c r="C141" s="5" t="s">
        <v>802</v>
      </c>
      <c r="D141" s="5" t="s">
        <v>893</v>
      </c>
      <c r="E141" s="5" t="s">
        <v>981</v>
      </c>
      <c r="F141" s="5" t="s">
        <v>1071</v>
      </c>
      <c r="G141" s="5" t="s">
        <v>1151</v>
      </c>
      <c r="H141" s="5" t="s">
        <v>1241</v>
      </c>
      <c r="I141" s="5" t="s">
        <v>2845</v>
      </c>
      <c r="J141" s="5" t="s">
        <v>2970</v>
      </c>
      <c r="K141" s="5" t="s">
        <v>3096</v>
      </c>
      <c r="L141" s="5" t="s">
        <v>3225</v>
      </c>
      <c r="M141" s="5" t="s">
        <v>3694</v>
      </c>
      <c r="N141" s="5" t="s">
        <v>3806</v>
      </c>
    </row>
    <row r="142" spans="1:14" x14ac:dyDescent="0.25">
      <c r="A142" s="12" t="s">
        <v>165</v>
      </c>
      <c r="B142" s="5" t="s">
        <v>166</v>
      </c>
      <c r="C142" s="5" t="s">
        <v>167</v>
      </c>
      <c r="D142" s="5" t="s">
        <v>165</v>
      </c>
      <c r="E142" s="5" t="s">
        <v>168</v>
      </c>
      <c r="F142" s="5" t="s">
        <v>165</v>
      </c>
      <c r="G142" s="5" t="s">
        <v>169</v>
      </c>
      <c r="H142" s="5" t="s">
        <v>170</v>
      </c>
      <c r="I142" s="5" t="s">
        <v>2846</v>
      </c>
      <c r="J142" s="5" t="s">
        <v>2971</v>
      </c>
      <c r="K142" s="5" t="s">
        <v>3097</v>
      </c>
      <c r="L142" s="5" t="s">
        <v>3226</v>
      </c>
      <c r="M142" s="5" t="s">
        <v>3695</v>
      </c>
      <c r="N142" s="5" t="s">
        <v>2846</v>
      </c>
    </row>
    <row r="143" spans="1:14" x14ac:dyDescent="0.25">
      <c r="A143" s="12" t="s">
        <v>563</v>
      </c>
      <c r="B143" s="5" t="s">
        <v>1242</v>
      </c>
      <c r="C143" s="5" t="s">
        <v>1310</v>
      </c>
      <c r="D143" s="5" t="s">
        <v>1382</v>
      </c>
      <c r="E143" s="5" t="s">
        <v>1455</v>
      </c>
      <c r="F143" s="5" t="s">
        <v>1528</v>
      </c>
      <c r="G143" s="5" t="s">
        <v>1599</v>
      </c>
      <c r="H143" s="5" t="s">
        <v>1665</v>
      </c>
      <c r="I143" s="5" t="s">
        <v>2847</v>
      </c>
      <c r="J143" s="5" t="s">
        <v>2972</v>
      </c>
      <c r="K143" s="5" t="s">
        <v>3098</v>
      </c>
      <c r="L143" s="5" t="s">
        <v>3227</v>
      </c>
      <c r="M143" s="5" t="s">
        <v>3696</v>
      </c>
      <c r="N143" s="5" t="s">
        <v>3807</v>
      </c>
    </row>
    <row r="144" spans="1:14" x14ac:dyDescent="0.25">
      <c r="A144" s="12" t="s">
        <v>5</v>
      </c>
      <c r="B144" s="5" t="s">
        <v>1243</v>
      </c>
      <c r="C144" s="5" t="s">
        <v>1311</v>
      </c>
      <c r="D144" s="5" t="s">
        <v>1383</v>
      </c>
      <c r="E144" s="5" t="s">
        <v>1456</v>
      </c>
      <c r="F144" s="5" t="s">
        <v>1529</v>
      </c>
      <c r="G144" s="5" t="s">
        <v>1600</v>
      </c>
      <c r="H144" s="5" t="s">
        <v>1666</v>
      </c>
      <c r="I144" s="5" t="s">
        <v>2848</v>
      </c>
      <c r="J144" s="5" t="s">
        <v>2973</v>
      </c>
      <c r="K144" s="5" t="s">
        <v>3099</v>
      </c>
      <c r="L144" s="5" t="s">
        <v>3228</v>
      </c>
      <c r="M144" s="5" t="s">
        <v>3697</v>
      </c>
      <c r="N144" s="5" t="s">
        <v>3808</v>
      </c>
    </row>
    <row r="145" spans="1:14" x14ac:dyDescent="0.25">
      <c r="A145" s="12" t="s">
        <v>22</v>
      </c>
      <c r="B145" s="5" t="s">
        <v>1244</v>
      </c>
      <c r="C145" s="5" t="s">
        <v>1312</v>
      </c>
      <c r="D145" s="5" t="s">
        <v>1384</v>
      </c>
      <c r="E145" s="5" t="s">
        <v>1457</v>
      </c>
      <c r="F145" s="5" t="s">
        <v>1530</v>
      </c>
      <c r="G145" s="5" t="s">
        <v>1384</v>
      </c>
      <c r="H145" s="5" t="s">
        <v>1667</v>
      </c>
      <c r="I145" s="5" t="s">
        <v>2849</v>
      </c>
      <c r="J145" s="5" t="s">
        <v>2974</v>
      </c>
      <c r="K145" s="5" t="s">
        <v>3100</v>
      </c>
      <c r="L145" s="5" t="s">
        <v>3229</v>
      </c>
      <c r="M145" s="5" t="s">
        <v>3698</v>
      </c>
      <c r="N145" s="5" t="s">
        <v>3809</v>
      </c>
    </row>
    <row r="146" spans="1:14" x14ac:dyDescent="0.25">
      <c r="A146" s="12" t="s">
        <v>11</v>
      </c>
      <c r="B146" s="5" t="s">
        <v>1245</v>
      </c>
      <c r="C146" s="5" t="s">
        <v>1313</v>
      </c>
      <c r="D146" s="5" t="s">
        <v>1385</v>
      </c>
      <c r="E146" s="5" t="s">
        <v>1458</v>
      </c>
      <c r="F146" s="5" t="s">
        <v>1531</v>
      </c>
      <c r="G146" s="5" t="s">
        <v>1601</v>
      </c>
      <c r="H146" s="5" t="s">
        <v>1668</v>
      </c>
      <c r="I146" s="5" t="s">
        <v>2850</v>
      </c>
      <c r="J146" s="5" t="s">
        <v>2975</v>
      </c>
      <c r="K146" s="5" t="s">
        <v>3101</v>
      </c>
      <c r="L146" s="5" t="s">
        <v>3230</v>
      </c>
      <c r="M146" s="5" t="s">
        <v>3699</v>
      </c>
      <c r="N146" s="5" t="s">
        <v>3810</v>
      </c>
    </row>
    <row r="147" spans="1:14" x14ac:dyDescent="0.25">
      <c r="A147" s="12" t="s">
        <v>564</v>
      </c>
      <c r="B147" s="5" t="s">
        <v>1246</v>
      </c>
      <c r="C147" s="5" t="s">
        <v>1314</v>
      </c>
      <c r="D147" s="5" t="s">
        <v>1386</v>
      </c>
      <c r="E147" s="5" t="s">
        <v>1459</v>
      </c>
      <c r="F147" s="5" t="s">
        <v>1532</v>
      </c>
      <c r="G147" s="5" t="s">
        <v>1602</v>
      </c>
      <c r="H147" s="5" t="s">
        <v>1669</v>
      </c>
      <c r="I147" s="5" t="s">
        <v>2851</v>
      </c>
      <c r="J147" s="5" t="s">
        <v>2976</v>
      </c>
      <c r="K147" s="5" t="s">
        <v>3102</v>
      </c>
      <c r="L147" s="5" t="s">
        <v>3231</v>
      </c>
      <c r="M147" s="5" t="s">
        <v>3700</v>
      </c>
      <c r="N147" s="5" t="s">
        <v>3811</v>
      </c>
    </row>
    <row r="148" spans="1:14" x14ac:dyDescent="0.25">
      <c r="A148" s="12" t="s">
        <v>565</v>
      </c>
      <c r="B148" s="5" t="s">
        <v>1247</v>
      </c>
      <c r="C148" s="5" t="s">
        <v>1315</v>
      </c>
      <c r="D148" s="5" t="s">
        <v>1387</v>
      </c>
      <c r="E148" s="5" t="s">
        <v>1460</v>
      </c>
      <c r="F148" s="5" t="s">
        <v>1533</v>
      </c>
      <c r="G148" s="5" t="s">
        <v>1603</v>
      </c>
      <c r="H148" s="5" t="s">
        <v>1670</v>
      </c>
      <c r="I148" s="5" t="s">
        <v>2852</v>
      </c>
      <c r="J148" s="5" t="s">
        <v>2977</v>
      </c>
      <c r="K148" s="5" t="s">
        <v>3103</v>
      </c>
      <c r="L148" s="5" t="s">
        <v>3232</v>
      </c>
      <c r="M148" s="5" t="s">
        <v>3701</v>
      </c>
      <c r="N148" s="5" t="s">
        <v>3812</v>
      </c>
    </row>
    <row r="149" spans="1:14" x14ac:dyDescent="0.25">
      <c r="A149" s="12" t="s">
        <v>566</v>
      </c>
      <c r="B149" s="5" t="s">
        <v>1248</v>
      </c>
      <c r="C149" s="5" t="s">
        <v>1316</v>
      </c>
      <c r="D149" s="5" t="s">
        <v>1388</v>
      </c>
      <c r="E149" s="5" t="s">
        <v>1461</v>
      </c>
      <c r="F149" s="5" t="s">
        <v>1534</v>
      </c>
      <c r="G149" s="5" t="s">
        <v>1604</v>
      </c>
      <c r="H149" s="5" t="s">
        <v>1671</v>
      </c>
      <c r="I149" s="5" t="s">
        <v>2853</v>
      </c>
      <c r="J149" s="5" t="s">
        <v>2978</v>
      </c>
      <c r="K149" s="5" t="s">
        <v>3104</v>
      </c>
      <c r="L149" s="5" t="s">
        <v>3233</v>
      </c>
      <c r="M149" s="5" t="s">
        <v>3702</v>
      </c>
      <c r="N149" s="5" t="s">
        <v>3813</v>
      </c>
    </row>
    <row r="150" spans="1:14" x14ac:dyDescent="0.25">
      <c r="A150" s="12" t="s">
        <v>338</v>
      </c>
      <c r="B150" s="5" t="s">
        <v>1249</v>
      </c>
      <c r="C150" s="5" t="s">
        <v>338</v>
      </c>
      <c r="D150" s="5" t="s">
        <v>1389</v>
      </c>
      <c r="E150" s="5" t="s">
        <v>1462</v>
      </c>
      <c r="F150" s="5" t="s">
        <v>1535</v>
      </c>
      <c r="G150" s="5" t="s">
        <v>1605</v>
      </c>
      <c r="H150" s="5" t="s">
        <v>1672</v>
      </c>
      <c r="I150" s="5" t="s">
        <v>2854</v>
      </c>
      <c r="J150" s="5" t="s">
        <v>2979</v>
      </c>
      <c r="K150" s="5" t="s">
        <v>3105</v>
      </c>
      <c r="L150" s="5" t="s">
        <v>3234</v>
      </c>
      <c r="M150" s="5" t="s">
        <v>3703</v>
      </c>
      <c r="N150" s="5" t="s">
        <v>3814</v>
      </c>
    </row>
    <row r="151" spans="1:14" x14ac:dyDescent="0.25">
      <c r="A151" s="12" t="s">
        <v>1</v>
      </c>
      <c r="B151" s="5" t="s">
        <v>134</v>
      </c>
      <c r="C151" s="5" t="s">
        <v>1</v>
      </c>
      <c r="D151" s="5" t="s">
        <v>135</v>
      </c>
      <c r="E151" s="5" t="s">
        <v>136</v>
      </c>
      <c r="F151" s="5" t="s">
        <v>137</v>
      </c>
      <c r="G151" s="5" t="s">
        <v>138</v>
      </c>
      <c r="H151" s="5" t="s">
        <v>139</v>
      </c>
      <c r="I151" s="5" t="s">
        <v>1</v>
      </c>
      <c r="J151" s="5" t="s">
        <v>2980</v>
      </c>
      <c r="K151" s="5" t="s">
        <v>3106</v>
      </c>
      <c r="L151" s="5" t="s">
        <v>3235</v>
      </c>
      <c r="M151" s="5" t="s">
        <v>3704</v>
      </c>
      <c r="N151" s="5" t="s">
        <v>1</v>
      </c>
    </row>
    <row r="152" spans="1:14" x14ac:dyDescent="0.25">
      <c r="A152" s="12" t="s">
        <v>567</v>
      </c>
      <c r="B152" s="5" t="s">
        <v>1250</v>
      </c>
      <c r="C152" s="5" t="s">
        <v>1317</v>
      </c>
      <c r="D152" s="5" t="s">
        <v>1390</v>
      </c>
      <c r="E152" s="5" t="s">
        <v>1463</v>
      </c>
      <c r="F152" s="5" t="s">
        <v>1536</v>
      </c>
      <c r="G152" s="5" t="s">
        <v>1606</v>
      </c>
      <c r="H152" s="5" t="s">
        <v>1673</v>
      </c>
      <c r="I152" s="5" t="s">
        <v>2855</v>
      </c>
      <c r="J152" s="5" t="s">
        <v>2981</v>
      </c>
      <c r="K152" s="5" t="s">
        <v>3107</v>
      </c>
      <c r="L152" s="5" t="s">
        <v>3236</v>
      </c>
      <c r="M152" s="5" t="s">
        <v>3705</v>
      </c>
      <c r="N152" s="5" t="s">
        <v>2855</v>
      </c>
    </row>
    <row r="153" spans="1:14" x14ac:dyDescent="0.25">
      <c r="A153" s="12" t="s">
        <v>568</v>
      </c>
      <c r="B153" s="5" t="s">
        <v>1251</v>
      </c>
      <c r="C153" s="5" t="s">
        <v>1318</v>
      </c>
      <c r="D153" s="5" t="s">
        <v>1391</v>
      </c>
      <c r="E153" s="5" t="s">
        <v>1464</v>
      </c>
      <c r="F153" s="5" t="s">
        <v>1537</v>
      </c>
      <c r="G153" s="5" t="s">
        <v>1607</v>
      </c>
      <c r="H153" s="5" t="s">
        <v>1674</v>
      </c>
      <c r="I153" s="5" t="s">
        <v>2856</v>
      </c>
      <c r="J153" s="5" t="s">
        <v>2982</v>
      </c>
      <c r="K153" s="5" t="s">
        <v>3108</v>
      </c>
      <c r="L153" s="5" t="s">
        <v>3237</v>
      </c>
      <c r="M153" s="5" t="s">
        <v>3706</v>
      </c>
      <c r="N153" s="5" t="s">
        <v>3815</v>
      </c>
    </row>
    <row r="154" spans="1:14" x14ac:dyDescent="0.25">
      <c r="A154" s="12" t="s">
        <v>211</v>
      </c>
      <c r="B154" s="5" t="s">
        <v>212</v>
      </c>
      <c r="C154" s="5" t="s">
        <v>213</v>
      </c>
      <c r="D154" s="5" t="s">
        <v>214</v>
      </c>
      <c r="E154" s="5" t="s">
        <v>215</v>
      </c>
      <c r="F154" s="5" t="s">
        <v>216</v>
      </c>
      <c r="G154" s="5" t="s">
        <v>217</v>
      </c>
      <c r="H154" s="5" t="s">
        <v>218</v>
      </c>
      <c r="I154" s="5" t="s">
        <v>2857</v>
      </c>
      <c r="J154" s="5" t="s">
        <v>2983</v>
      </c>
      <c r="K154" s="5" t="s">
        <v>3109</v>
      </c>
      <c r="L154" s="5" t="s">
        <v>3238</v>
      </c>
      <c r="M154" s="5" t="s">
        <v>3707</v>
      </c>
      <c r="N154" s="5" t="s">
        <v>3816</v>
      </c>
    </row>
    <row r="155" spans="1:14" x14ac:dyDescent="0.25">
      <c r="A155" s="12" t="s">
        <v>203</v>
      </c>
      <c r="B155" s="5" t="s">
        <v>204</v>
      </c>
      <c r="C155" s="5" t="s">
        <v>205</v>
      </c>
      <c r="D155" s="5" t="s">
        <v>206</v>
      </c>
      <c r="E155" s="5" t="s">
        <v>207</v>
      </c>
      <c r="F155" s="5" t="s">
        <v>208</v>
      </c>
      <c r="G155" s="5" t="s">
        <v>209</v>
      </c>
      <c r="H155" s="5" t="s">
        <v>210</v>
      </c>
      <c r="I155" s="5" t="s">
        <v>2858</v>
      </c>
      <c r="J155" s="5" t="s">
        <v>2984</v>
      </c>
      <c r="K155" s="5" t="s">
        <v>3110</v>
      </c>
      <c r="L155" s="5" t="s">
        <v>3239</v>
      </c>
      <c r="M155" s="5" t="s">
        <v>3708</v>
      </c>
      <c r="N155" s="5" t="s">
        <v>3817</v>
      </c>
    </row>
    <row r="156" spans="1:14" x14ac:dyDescent="0.25">
      <c r="A156" s="12" t="s">
        <v>178</v>
      </c>
      <c r="B156" s="5" t="s">
        <v>1252</v>
      </c>
      <c r="C156" s="5" t="s">
        <v>179</v>
      </c>
      <c r="D156" s="5" t="s">
        <v>180</v>
      </c>
      <c r="E156" s="5" t="s">
        <v>181</v>
      </c>
      <c r="F156" s="5" t="s">
        <v>182</v>
      </c>
      <c r="G156" s="5" t="s">
        <v>183</v>
      </c>
      <c r="H156" s="5" t="s">
        <v>184</v>
      </c>
      <c r="I156" s="5" t="s">
        <v>2859</v>
      </c>
      <c r="J156" s="5" t="s">
        <v>2985</v>
      </c>
      <c r="K156" s="5" t="s">
        <v>3111</v>
      </c>
      <c r="L156" s="5" t="s">
        <v>3240</v>
      </c>
      <c r="M156" s="5" t="s">
        <v>3709</v>
      </c>
      <c r="N156" s="5" t="s">
        <v>3818</v>
      </c>
    </row>
    <row r="157" spans="1:14" x14ac:dyDescent="0.25">
      <c r="A157" s="12" t="s">
        <v>153</v>
      </c>
      <c r="B157" s="5" t="s">
        <v>154</v>
      </c>
      <c r="C157" s="5" t="s">
        <v>155</v>
      </c>
      <c r="D157" s="5" t="s">
        <v>156</v>
      </c>
      <c r="E157" s="5" t="s">
        <v>157</v>
      </c>
      <c r="F157" s="5" t="s">
        <v>158</v>
      </c>
      <c r="G157" s="5" t="s">
        <v>159</v>
      </c>
      <c r="H157" s="5" t="s">
        <v>160</v>
      </c>
      <c r="I157" s="5" t="s">
        <v>2860</v>
      </c>
      <c r="J157" s="5" t="s">
        <v>2986</v>
      </c>
      <c r="K157" s="5" t="s">
        <v>3112</v>
      </c>
      <c r="L157" s="5" t="s">
        <v>3241</v>
      </c>
      <c r="M157" s="5" t="s">
        <v>3710</v>
      </c>
      <c r="N157" s="5" t="s">
        <v>3819</v>
      </c>
    </row>
    <row r="158" spans="1:14" x14ac:dyDescent="0.25">
      <c r="A158" s="12" t="s">
        <v>569</v>
      </c>
      <c r="B158" s="5" t="s">
        <v>1253</v>
      </c>
      <c r="C158" s="5" t="s">
        <v>1319</v>
      </c>
      <c r="D158" s="5" t="s">
        <v>1392</v>
      </c>
      <c r="E158" s="5" t="s">
        <v>1465</v>
      </c>
      <c r="F158" s="5" t="s">
        <v>1538</v>
      </c>
      <c r="G158" s="5" t="s">
        <v>1608</v>
      </c>
      <c r="H158" s="5" t="s">
        <v>1675</v>
      </c>
      <c r="I158" s="5" t="s">
        <v>2861</v>
      </c>
      <c r="J158" s="5" t="s">
        <v>2987</v>
      </c>
      <c r="K158" s="5" t="s">
        <v>3113</v>
      </c>
      <c r="L158" s="5" t="s">
        <v>3242</v>
      </c>
      <c r="M158" s="5" t="s">
        <v>3711</v>
      </c>
      <c r="N158" s="5" t="s">
        <v>3820</v>
      </c>
    </row>
    <row r="159" spans="1:14" x14ac:dyDescent="0.25">
      <c r="A159" s="12" t="s">
        <v>570</v>
      </c>
      <c r="B159" s="5" t="s">
        <v>1254</v>
      </c>
      <c r="C159" s="5" t="s">
        <v>1320</v>
      </c>
      <c r="D159" s="5" t="s">
        <v>1393</v>
      </c>
      <c r="E159" s="5" t="s">
        <v>1466</v>
      </c>
      <c r="F159" s="5" t="s">
        <v>1539</v>
      </c>
      <c r="G159" s="5" t="s">
        <v>1609</v>
      </c>
      <c r="H159" s="5" t="s">
        <v>1676</v>
      </c>
      <c r="I159" s="5" t="s">
        <v>2862</v>
      </c>
      <c r="J159" s="5" t="s">
        <v>2988</v>
      </c>
      <c r="K159" s="5" t="s">
        <v>3114</v>
      </c>
      <c r="L159" s="5" t="s">
        <v>3243</v>
      </c>
      <c r="M159" s="5" t="s">
        <v>3712</v>
      </c>
      <c r="N159" s="5" t="s">
        <v>3821</v>
      </c>
    </row>
    <row r="160" spans="1:14" x14ac:dyDescent="0.25">
      <c r="A160" s="12" t="s">
        <v>114</v>
      </c>
      <c r="B160" s="5" t="s">
        <v>1255</v>
      </c>
      <c r="C160" s="5" t="s">
        <v>1321</v>
      </c>
      <c r="D160" s="5" t="s">
        <v>1394</v>
      </c>
      <c r="E160" s="5" t="s">
        <v>115</v>
      </c>
      <c r="F160" s="5" t="s">
        <v>116</v>
      </c>
      <c r="G160" s="5" t="s">
        <v>117</v>
      </c>
      <c r="H160" s="5" t="s">
        <v>118</v>
      </c>
      <c r="I160" s="5" t="s">
        <v>2863</v>
      </c>
      <c r="J160" s="5" t="s">
        <v>2989</v>
      </c>
      <c r="K160" s="5" t="s">
        <v>3115</v>
      </c>
      <c r="L160" s="5" t="s">
        <v>3244</v>
      </c>
      <c r="M160" s="5" t="s">
        <v>3713</v>
      </c>
      <c r="N160" s="5" t="s">
        <v>3822</v>
      </c>
    </row>
    <row r="161" spans="1:14" x14ac:dyDescent="0.25">
      <c r="A161" s="12" t="s">
        <v>315</v>
      </c>
      <c r="B161" s="5" t="s">
        <v>3462</v>
      </c>
      <c r="C161" s="5" t="s">
        <v>316</v>
      </c>
      <c r="D161" s="5" t="s">
        <v>317</v>
      </c>
      <c r="E161" s="5" t="s">
        <v>318</v>
      </c>
      <c r="F161" s="5" t="s">
        <v>319</v>
      </c>
      <c r="G161" s="5" t="s">
        <v>320</v>
      </c>
      <c r="H161" s="5" t="s">
        <v>321</v>
      </c>
      <c r="I161" s="5" t="s">
        <v>2864</v>
      </c>
      <c r="J161" s="5" t="s">
        <v>2990</v>
      </c>
      <c r="K161" s="5" t="s">
        <v>3116</v>
      </c>
      <c r="L161" s="5" t="s">
        <v>3245</v>
      </c>
      <c r="M161" s="5" t="s">
        <v>3714</v>
      </c>
      <c r="N161" s="5" t="s">
        <v>3823</v>
      </c>
    </row>
    <row r="162" spans="1:14" x14ac:dyDescent="0.25">
      <c r="A162" s="12" t="s">
        <v>260</v>
      </c>
      <c r="B162" s="5" t="s">
        <v>261</v>
      </c>
      <c r="C162" s="5" t="s">
        <v>262</v>
      </c>
      <c r="D162" s="5" t="s">
        <v>263</v>
      </c>
      <c r="E162" s="5" t="s">
        <v>264</v>
      </c>
      <c r="F162" s="5" t="s">
        <v>265</v>
      </c>
      <c r="G162" s="5" t="s">
        <v>266</v>
      </c>
      <c r="H162" s="5" t="s">
        <v>267</v>
      </c>
      <c r="I162" s="5" t="s">
        <v>2865</v>
      </c>
      <c r="J162" s="5" t="s">
        <v>2991</v>
      </c>
      <c r="K162" s="5" t="s">
        <v>3117</v>
      </c>
      <c r="L162" s="5" t="s">
        <v>3246</v>
      </c>
      <c r="M162" s="5" t="s">
        <v>3715</v>
      </c>
      <c r="N162" s="5" t="s">
        <v>3824</v>
      </c>
    </row>
    <row r="163" spans="1:14" x14ac:dyDescent="0.25">
      <c r="A163" s="12" t="s">
        <v>571</v>
      </c>
      <c r="B163" s="5" t="s">
        <v>1824</v>
      </c>
      <c r="C163" s="5" t="s">
        <v>1322</v>
      </c>
      <c r="D163" s="5" t="s">
        <v>1395</v>
      </c>
      <c r="E163" s="5" t="s">
        <v>1467</v>
      </c>
      <c r="F163" s="5" t="s">
        <v>1540</v>
      </c>
      <c r="G163" s="5" t="s">
        <v>1610</v>
      </c>
      <c r="H163" s="5" t="s">
        <v>1677</v>
      </c>
      <c r="I163" s="5" t="s">
        <v>2866</v>
      </c>
      <c r="J163" s="5" t="s">
        <v>2992</v>
      </c>
      <c r="K163" s="5" t="s">
        <v>3118</v>
      </c>
      <c r="L163" s="5" t="s">
        <v>3247</v>
      </c>
      <c r="M163" s="5" t="s">
        <v>3716</v>
      </c>
      <c r="N163" s="5" t="s">
        <v>3825</v>
      </c>
    </row>
    <row r="164" spans="1:14" x14ac:dyDescent="0.25">
      <c r="A164" s="12" t="s">
        <v>572</v>
      </c>
      <c r="B164" s="5" t="s">
        <v>1829</v>
      </c>
      <c r="C164" s="5" t="s">
        <v>1323</v>
      </c>
      <c r="D164" s="5" t="s">
        <v>1396</v>
      </c>
      <c r="E164" s="5" t="s">
        <v>1468</v>
      </c>
      <c r="F164" s="5" t="s">
        <v>1541</v>
      </c>
      <c r="G164" s="5" t="s">
        <v>1611</v>
      </c>
      <c r="H164" s="5" t="s">
        <v>1678</v>
      </c>
      <c r="I164" s="5" t="s">
        <v>2867</v>
      </c>
      <c r="J164" s="5" t="s">
        <v>2993</v>
      </c>
      <c r="K164" s="5" t="s">
        <v>3119</v>
      </c>
      <c r="L164" s="5" t="s">
        <v>3248</v>
      </c>
      <c r="M164" s="5" t="s">
        <v>3717</v>
      </c>
      <c r="N164" s="5" t="s">
        <v>3826</v>
      </c>
    </row>
    <row r="165" spans="1:14" x14ac:dyDescent="0.25">
      <c r="A165" s="12" t="s">
        <v>1836</v>
      </c>
      <c r="B165" s="5" t="s">
        <v>1890</v>
      </c>
      <c r="C165" s="5" t="s">
        <v>1931</v>
      </c>
      <c r="D165" s="5" t="s">
        <v>1976</v>
      </c>
      <c r="E165" s="5" t="s">
        <v>2021</v>
      </c>
      <c r="F165" s="5" t="s">
        <v>2066</v>
      </c>
      <c r="G165" s="5" t="s">
        <v>2111</v>
      </c>
      <c r="H165" s="5" t="s">
        <v>2155</v>
      </c>
      <c r="I165" s="5" t="s">
        <v>2868</v>
      </c>
      <c r="J165" s="5" t="s">
        <v>2994</v>
      </c>
      <c r="K165" s="5" t="s">
        <v>3120</v>
      </c>
      <c r="L165" s="5" t="s">
        <v>3249</v>
      </c>
      <c r="M165" s="5" t="s">
        <v>3718</v>
      </c>
      <c r="N165" s="5" t="s">
        <v>3827</v>
      </c>
    </row>
    <row r="166" spans="1:14" x14ac:dyDescent="0.25">
      <c r="A166" s="12" t="s">
        <v>197</v>
      </c>
      <c r="B166" s="5" t="s">
        <v>198</v>
      </c>
      <c r="C166" s="5" t="s">
        <v>199</v>
      </c>
      <c r="D166" s="5" t="s">
        <v>200</v>
      </c>
      <c r="E166" s="5" t="s">
        <v>197</v>
      </c>
      <c r="F166" s="5" t="s">
        <v>201</v>
      </c>
      <c r="G166" s="5" t="s">
        <v>200</v>
      </c>
      <c r="H166" s="5" t="s">
        <v>202</v>
      </c>
      <c r="I166" s="5" t="s">
        <v>2869</v>
      </c>
      <c r="J166" s="5" t="s">
        <v>2995</v>
      </c>
      <c r="K166" s="5" t="s">
        <v>3121</v>
      </c>
      <c r="L166" s="5" t="s">
        <v>3250</v>
      </c>
      <c r="M166" s="5" t="s">
        <v>3719</v>
      </c>
      <c r="N166" s="5" t="s">
        <v>2869</v>
      </c>
    </row>
    <row r="167" spans="1:14" x14ac:dyDescent="0.25">
      <c r="A167" s="12" t="s">
        <v>573</v>
      </c>
      <c r="B167" s="5" t="s">
        <v>1256</v>
      </c>
      <c r="C167" s="5" t="s">
        <v>1324</v>
      </c>
      <c r="D167" s="5" t="s">
        <v>1397</v>
      </c>
      <c r="E167" s="5" t="s">
        <v>1469</v>
      </c>
      <c r="F167" s="5" t="s">
        <v>1542</v>
      </c>
      <c r="G167" s="5" t="s">
        <v>1612</v>
      </c>
      <c r="H167" s="5" t="s">
        <v>1679</v>
      </c>
      <c r="I167" s="5" t="s">
        <v>2870</v>
      </c>
      <c r="J167" s="5" t="s">
        <v>2996</v>
      </c>
      <c r="K167" s="5" t="s">
        <v>3122</v>
      </c>
      <c r="L167" s="5" t="s">
        <v>3251</v>
      </c>
      <c r="M167" s="5" t="s">
        <v>3720</v>
      </c>
      <c r="N167" s="5" t="s">
        <v>3828</v>
      </c>
    </row>
    <row r="168" spans="1:14" x14ac:dyDescent="0.25">
      <c r="A168" s="12" t="s">
        <v>574</v>
      </c>
      <c r="B168" s="5" t="s">
        <v>1257</v>
      </c>
      <c r="C168" s="5" t="s">
        <v>1325</v>
      </c>
      <c r="D168" s="5" t="s">
        <v>1398</v>
      </c>
      <c r="E168" s="5" t="s">
        <v>1470</v>
      </c>
      <c r="F168" s="5" t="s">
        <v>1543</v>
      </c>
      <c r="G168" s="5" t="s">
        <v>1613</v>
      </c>
      <c r="H168" s="5" t="s">
        <v>1680</v>
      </c>
      <c r="I168" s="5" t="s">
        <v>2871</v>
      </c>
      <c r="J168" s="5" t="s">
        <v>2997</v>
      </c>
      <c r="K168" s="5" t="s">
        <v>3123</v>
      </c>
      <c r="L168" s="5" t="s">
        <v>3252</v>
      </c>
      <c r="M168" s="5" t="s">
        <v>3721</v>
      </c>
      <c r="N168" s="5" t="s">
        <v>3829</v>
      </c>
    </row>
    <row r="169" spans="1:14" x14ac:dyDescent="0.25">
      <c r="A169" s="12" t="s">
        <v>2284</v>
      </c>
      <c r="B169" s="5" t="s">
        <v>2286</v>
      </c>
      <c r="C169" s="5" t="s">
        <v>2288</v>
      </c>
      <c r="D169" s="5" t="s">
        <v>2290</v>
      </c>
      <c r="E169" s="5" t="s">
        <v>2292</v>
      </c>
      <c r="F169" s="5" t="s">
        <v>2294</v>
      </c>
      <c r="G169" s="5" t="s">
        <v>2296</v>
      </c>
      <c r="H169" s="5" t="s">
        <v>2297</v>
      </c>
      <c r="I169" s="5" t="s">
        <v>2872</v>
      </c>
      <c r="J169" s="5" t="s">
        <v>2998</v>
      </c>
      <c r="K169" s="5" t="s">
        <v>3124</v>
      </c>
      <c r="L169" s="5" t="s">
        <v>3253</v>
      </c>
      <c r="M169" s="5" t="s">
        <v>3722</v>
      </c>
      <c r="N169" s="5" t="s">
        <v>3830</v>
      </c>
    </row>
    <row r="170" spans="1:14" x14ac:dyDescent="0.25">
      <c r="A170" s="12" t="s">
        <v>30</v>
      </c>
      <c r="B170" s="5" t="s">
        <v>1258</v>
      </c>
      <c r="C170" s="5" t="s">
        <v>1326</v>
      </c>
      <c r="D170" s="5" t="s">
        <v>1399</v>
      </c>
      <c r="E170" s="5" t="s">
        <v>1471</v>
      </c>
      <c r="F170" s="5" t="s">
        <v>1544</v>
      </c>
      <c r="G170" s="5" t="s">
        <v>1614</v>
      </c>
      <c r="H170" s="5" t="s">
        <v>1681</v>
      </c>
      <c r="I170" s="5" t="s">
        <v>2873</v>
      </c>
      <c r="J170" s="5" t="s">
        <v>2999</v>
      </c>
      <c r="K170" s="5" t="s">
        <v>3125</v>
      </c>
      <c r="L170" s="5" t="s">
        <v>3254</v>
      </c>
      <c r="M170" s="5" t="s">
        <v>3723</v>
      </c>
      <c r="N170" s="5" t="s">
        <v>3831</v>
      </c>
    </row>
    <row r="171" spans="1:14" x14ac:dyDescent="0.25">
      <c r="A171" s="12" t="s">
        <v>29</v>
      </c>
      <c r="B171" s="5" t="s">
        <v>1259</v>
      </c>
      <c r="C171" s="5" t="s">
        <v>1327</v>
      </c>
      <c r="D171" s="5" t="s">
        <v>1400</v>
      </c>
      <c r="E171" s="5" t="s">
        <v>1472</v>
      </c>
      <c r="F171" s="5" t="s">
        <v>1545</v>
      </c>
      <c r="G171" s="5" t="s">
        <v>1615</v>
      </c>
      <c r="H171" s="5" t="s">
        <v>1682</v>
      </c>
      <c r="I171" s="5" t="s">
        <v>2874</v>
      </c>
      <c r="J171" s="5" t="s">
        <v>3000</v>
      </c>
      <c r="K171" s="5" t="s">
        <v>3126</v>
      </c>
      <c r="L171" s="5" t="s">
        <v>3255</v>
      </c>
      <c r="M171" s="5" t="s">
        <v>3724</v>
      </c>
      <c r="N171" s="5" t="s">
        <v>3832</v>
      </c>
    </row>
    <row r="172" spans="1:14" x14ac:dyDescent="0.25">
      <c r="A172" s="12" t="s">
        <v>575</v>
      </c>
      <c r="B172" s="5" t="s">
        <v>1260</v>
      </c>
      <c r="C172" s="5" t="s">
        <v>1328</v>
      </c>
      <c r="D172" s="5" t="s">
        <v>1401</v>
      </c>
      <c r="E172" s="5" t="s">
        <v>1473</v>
      </c>
      <c r="F172" s="5" t="s">
        <v>1546</v>
      </c>
      <c r="G172" s="5" t="s">
        <v>1616</v>
      </c>
      <c r="H172" s="5" t="s">
        <v>1683</v>
      </c>
      <c r="I172" s="5" t="s">
        <v>2875</v>
      </c>
      <c r="J172" s="5" t="s">
        <v>3001</v>
      </c>
      <c r="K172" s="5" t="s">
        <v>3127</v>
      </c>
      <c r="L172" s="5" t="s">
        <v>3256</v>
      </c>
      <c r="M172" s="5" t="s">
        <v>3725</v>
      </c>
      <c r="N172" s="5" t="s">
        <v>3833</v>
      </c>
    </row>
    <row r="173" spans="1:14" x14ac:dyDescent="0.25">
      <c r="A173" s="12" t="s">
        <v>3</v>
      </c>
      <c r="B173" s="5" t="s">
        <v>146</v>
      </c>
      <c r="C173" s="5" t="s">
        <v>147</v>
      </c>
      <c r="D173" s="5" t="s">
        <v>148</v>
      </c>
      <c r="E173" s="5" t="s">
        <v>149</v>
      </c>
      <c r="F173" s="5" t="s">
        <v>150</v>
      </c>
      <c r="G173" s="5" t="s">
        <v>151</v>
      </c>
      <c r="H173" s="5" t="s">
        <v>152</v>
      </c>
      <c r="I173" s="5" t="s">
        <v>2876</v>
      </c>
      <c r="J173" s="5" t="s">
        <v>3002</v>
      </c>
      <c r="K173" s="5" t="s">
        <v>3128</v>
      </c>
      <c r="L173" s="5" t="s">
        <v>3257</v>
      </c>
      <c r="M173" s="5" t="s">
        <v>152</v>
      </c>
      <c r="N173" s="5" t="s">
        <v>3834</v>
      </c>
    </row>
    <row r="174" spans="1:14" x14ac:dyDescent="0.25">
      <c r="A174" s="12" t="s">
        <v>576</v>
      </c>
      <c r="B174" s="5" t="s">
        <v>1834</v>
      </c>
      <c r="C174" s="5" t="s">
        <v>1329</v>
      </c>
      <c r="D174" s="5" t="s">
        <v>1402</v>
      </c>
      <c r="E174" s="5" t="s">
        <v>1474</v>
      </c>
      <c r="F174" s="5" t="s">
        <v>1547</v>
      </c>
      <c r="G174" s="5" t="s">
        <v>1617</v>
      </c>
      <c r="H174" s="5" t="s">
        <v>1684</v>
      </c>
      <c r="I174" s="5" t="s">
        <v>2877</v>
      </c>
      <c r="J174" s="5" t="s">
        <v>3003</v>
      </c>
      <c r="K174" s="5" t="s">
        <v>3129</v>
      </c>
      <c r="L174" s="5" t="s">
        <v>3258</v>
      </c>
      <c r="M174" s="5" t="s">
        <v>3726</v>
      </c>
      <c r="N174" s="5" t="s">
        <v>3835</v>
      </c>
    </row>
    <row r="175" spans="1:14" x14ac:dyDescent="0.25">
      <c r="A175" s="12" t="s">
        <v>577</v>
      </c>
      <c r="B175" s="5" t="s">
        <v>1840</v>
      </c>
      <c r="C175" s="5" t="s">
        <v>1330</v>
      </c>
      <c r="D175" s="5" t="s">
        <v>1403</v>
      </c>
      <c r="E175" s="5" t="s">
        <v>1475</v>
      </c>
      <c r="F175" s="5" t="s">
        <v>1548</v>
      </c>
      <c r="G175" s="5" t="s">
        <v>1618</v>
      </c>
      <c r="H175" s="5" t="s">
        <v>1685</v>
      </c>
      <c r="I175" s="5" t="s">
        <v>2878</v>
      </c>
      <c r="J175" s="5" t="s">
        <v>3004</v>
      </c>
      <c r="K175" s="5" t="s">
        <v>3130</v>
      </c>
      <c r="L175" s="5" t="s">
        <v>3259</v>
      </c>
      <c r="M175" s="5" t="s">
        <v>3727</v>
      </c>
      <c r="N175" s="5" t="s">
        <v>3836</v>
      </c>
    </row>
    <row r="176" spans="1:14" x14ac:dyDescent="0.25">
      <c r="A176" s="12" t="s">
        <v>322</v>
      </c>
      <c r="B176" s="5" t="s">
        <v>323</v>
      </c>
      <c r="C176" s="5" t="s">
        <v>324</v>
      </c>
      <c r="D176" s="5" t="s">
        <v>325</v>
      </c>
      <c r="E176" s="5" t="s">
        <v>326</v>
      </c>
      <c r="F176" s="5" t="s">
        <v>327</v>
      </c>
      <c r="G176" s="5" t="s">
        <v>328</v>
      </c>
      <c r="H176" s="5" t="s">
        <v>329</v>
      </c>
      <c r="I176" s="5" t="s">
        <v>2879</v>
      </c>
      <c r="J176" s="5" t="s">
        <v>3005</v>
      </c>
      <c r="K176" s="5" t="s">
        <v>3131</v>
      </c>
      <c r="L176" s="5" t="s">
        <v>3260</v>
      </c>
      <c r="M176" s="5" t="s">
        <v>3728</v>
      </c>
      <c r="N176" s="5" t="s">
        <v>3837</v>
      </c>
    </row>
    <row r="177" spans="1:14" x14ac:dyDescent="0.25">
      <c r="A177" s="12" t="s">
        <v>578</v>
      </c>
      <c r="B177" s="5" t="s">
        <v>1261</v>
      </c>
      <c r="C177" s="5" t="s">
        <v>1331</v>
      </c>
      <c r="D177" s="5" t="s">
        <v>1404</v>
      </c>
      <c r="E177" s="5" t="s">
        <v>1476</v>
      </c>
      <c r="F177" s="5" t="s">
        <v>1549</v>
      </c>
      <c r="G177" s="5" t="s">
        <v>578</v>
      </c>
      <c r="H177" s="5" t="s">
        <v>1686</v>
      </c>
      <c r="I177" s="5" t="s">
        <v>2880</v>
      </c>
      <c r="J177" s="5" t="s">
        <v>3006</v>
      </c>
      <c r="K177" s="5" t="s">
        <v>3132</v>
      </c>
      <c r="L177" s="5" t="s">
        <v>3261</v>
      </c>
      <c r="M177" s="5" t="s">
        <v>3729</v>
      </c>
      <c r="N177" s="5" t="s">
        <v>3838</v>
      </c>
    </row>
    <row r="178" spans="1:14" x14ac:dyDescent="0.25">
      <c r="A178" s="12" t="s">
        <v>579</v>
      </c>
      <c r="B178" s="5" t="s">
        <v>1262</v>
      </c>
      <c r="C178" s="5" t="s">
        <v>1332</v>
      </c>
      <c r="D178" s="5" t="s">
        <v>1405</v>
      </c>
      <c r="E178" s="5" t="s">
        <v>1477</v>
      </c>
      <c r="F178" s="5" t="s">
        <v>1550</v>
      </c>
      <c r="G178" s="5" t="s">
        <v>1619</v>
      </c>
      <c r="H178" s="5" t="s">
        <v>1687</v>
      </c>
      <c r="I178" s="5" t="s">
        <v>2881</v>
      </c>
      <c r="J178" s="5" t="s">
        <v>3007</v>
      </c>
      <c r="K178" s="5" t="s">
        <v>3133</v>
      </c>
      <c r="L178" s="5" t="s">
        <v>3262</v>
      </c>
      <c r="M178" s="5" t="s">
        <v>3730</v>
      </c>
      <c r="N178" s="5" t="s">
        <v>3839</v>
      </c>
    </row>
    <row r="179" spans="1:14" x14ac:dyDescent="0.25">
      <c r="A179" s="12" t="s">
        <v>0</v>
      </c>
      <c r="B179" s="5" t="s">
        <v>127</v>
      </c>
      <c r="C179" s="5" t="s">
        <v>128</v>
      </c>
      <c r="D179" s="5" t="s">
        <v>129</v>
      </c>
      <c r="E179" s="5" t="s">
        <v>130</v>
      </c>
      <c r="F179" s="5" t="s">
        <v>131</v>
      </c>
      <c r="G179" s="5" t="s">
        <v>132</v>
      </c>
      <c r="H179" s="5" t="s">
        <v>133</v>
      </c>
      <c r="I179" s="5" t="s">
        <v>2882</v>
      </c>
      <c r="J179" s="5" t="s">
        <v>133</v>
      </c>
      <c r="K179" s="5" t="s">
        <v>3134</v>
      </c>
      <c r="L179" s="5" t="s">
        <v>3263</v>
      </c>
      <c r="M179" s="5" t="s">
        <v>3731</v>
      </c>
      <c r="N179" s="5" t="s">
        <v>2882</v>
      </c>
    </row>
    <row r="180" spans="1:14" x14ac:dyDescent="0.25">
      <c r="A180" s="12" t="s">
        <v>580</v>
      </c>
      <c r="B180" s="5" t="s">
        <v>1263</v>
      </c>
      <c r="C180" s="5" t="s">
        <v>1333</v>
      </c>
      <c r="D180" s="5" t="s">
        <v>1406</v>
      </c>
      <c r="E180" s="5" t="s">
        <v>1478</v>
      </c>
      <c r="F180" s="5" t="s">
        <v>1551</v>
      </c>
      <c r="G180" s="5" t="s">
        <v>1620</v>
      </c>
      <c r="H180" s="5" t="s">
        <v>1688</v>
      </c>
      <c r="I180" s="5" t="s">
        <v>2883</v>
      </c>
      <c r="J180" s="5" t="s">
        <v>3008</v>
      </c>
      <c r="K180" s="5" t="s">
        <v>3135</v>
      </c>
      <c r="L180" s="5" t="s">
        <v>3264</v>
      </c>
      <c r="M180" s="5" t="s">
        <v>3732</v>
      </c>
      <c r="N180" s="5" t="s">
        <v>3840</v>
      </c>
    </row>
    <row r="181" spans="1:14" x14ac:dyDescent="0.25">
      <c r="A181" s="12" t="s">
        <v>581</v>
      </c>
      <c r="B181" s="5" t="s">
        <v>1264</v>
      </c>
      <c r="C181" s="5" t="s">
        <v>1334</v>
      </c>
      <c r="D181" s="5" t="s">
        <v>1407</v>
      </c>
      <c r="E181" s="5" t="s">
        <v>1479</v>
      </c>
      <c r="F181" s="5" t="s">
        <v>1552</v>
      </c>
      <c r="G181" s="5" t="s">
        <v>1621</v>
      </c>
      <c r="H181" s="5" t="s">
        <v>1689</v>
      </c>
      <c r="I181" s="5" t="s">
        <v>2884</v>
      </c>
      <c r="J181" s="5" t="s">
        <v>3009</v>
      </c>
      <c r="K181" s="5" t="s">
        <v>3136</v>
      </c>
      <c r="L181" s="5" t="s">
        <v>3265</v>
      </c>
      <c r="M181" s="5" t="s">
        <v>3733</v>
      </c>
      <c r="N181" s="5" t="s">
        <v>3841</v>
      </c>
    </row>
    <row r="182" spans="1:14" x14ac:dyDescent="0.25">
      <c r="A182" s="12" t="s">
        <v>582</v>
      </c>
      <c r="B182" s="5" t="s">
        <v>1265</v>
      </c>
      <c r="C182" s="5" t="s">
        <v>1335</v>
      </c>
      <c r="D182" s="5" t="s">
        <v>1408</v>
      </c>
      <c r="E182" s="5" t="s">
        <v>1480</v>
      </c>
      <c r="F182" s="5" t="s">
        <v>1553</v>
      </c>
      <c r="G182" s="5" t="s">
        <v>1622</v>
      </c>
      <c r="H182" s="5" t="s">
        <v>1690</v>
      </c>
      <c r="I182" s="5" t="s">
        <v>2885</v>
      </c>
      <c r="J182" s="5" t="s">
        <v>3010</v>
      </c>
      <c r="K182" s="5" t="s">
        <v>3137</v>
      </c>
      <c r="L182" s="5" t="s">
        <v>3266</v>
      </c>
      <c r="M182" s="5" t="s">
        <v>3734</v>
      </c>
      <c r="N182" s="5" t="s">
        <v>3842</v>
      </c>
    </row>
    <row r="183" spans="1:14" x14ac:dyDescent="0.25">
      <c r="A183" s="12" t="s">
        <v>583</v>
      </c>
      <c r="B183" s="5" t="s">
        <v>1266</v>
      </c>
      <c r="C183" s="5" t="s">
        <v>1336</v>
      </c>
      <c r="D183" s="5" t="s">
        <v>1409</v>
      </c>
      <c r="E183" s="5" t="s">
        <v>1481</v>
      </c>
      <c r="F183" s="5" t="s">
        <v>1554</v>
      </c>
      <c r="G183" s="5" t="s">
        <v>1623</v>
      </c>
      <c r="H183" s="5" t="s">
        <v>1691</v>
      </c>
      <c r="I183" s="5" t="s">
        <v>2886</v>
      </c>
      <c r="J183" s="5" t="s">
        <v>3011</v>
      </c>
      <c r="K183" s="5" t="s">
        <v>3138</v>
      </c>
      <c r="L183" s="5" t="s">
        <v>3267</v>
      </c>
      <c r="M183" s="5" t="s">
        <v>3735</v>
      </c>
      <c r="N183" s="5" t="s">
        <v>2886</v>
      </c>
    </row>
    <row r="184" spans="1:14" x14ac:dyDescent="0.25">
      <c r="A184" s="12" t="s">
        <v>24</v>
      </c>
      <c r="B184" s="5" t="s">
        <v>1267</v>
      </c>
      <c r="C184" s="5" t="s">
        <v>1337</v>
      </c>
      <c r="D184" s="5" t="s">
        <v>1410</v>
      </c>
      <c r="E184" s="5" t="s">
        <v>1482</v>
      </c>
      <c r="F184" s="5" t="s">
        <v>1555</v>
      </c>
      <c r="G184" s="5" t="s">
        <v>1624</v>
      </c>
      <c r="H184" s="5" t="s">
        <v>1692</v>
      </c>
      <c r="I184" s="5" t="s">
        <v>2887</v>
      </c>
      <c r="J184" s="5" t="s">
        <v>3012</v>
      </c>
      <c r="K184" s="5" t="s">
        <v>3139</v>
      </c>
      <c r="L184" s="5" t="s">
        <v>3268</v>
      </c>
      <c r="M184" s="5" t="s">
        <v>3736</v>
      </c>
      <c r="N184" s="5" t="s">
        <v>3843</v>
      </c>
    </row>
    <row r="185" spans="1:14" x14ac:dyDescent="0.25">
      <c r="A185" s="12" t="s">
        <v>1841</v>
      </c>
      <c r="B185" s="5" t="s">
        <v>1892</v>
      </c>
      <c r="C185" s="5" t="s">
        <v>1933</v>
      </c>
      <c r="D185" s="5" t="s">
        <v>1978</v>
      </c>
      <c r="E185" s="5" t="s">
        <v>2023</v>
      </c>
      <c r="F185" s="5" t="s">
        <v>2068</v>
      </c>
      <c r="G185" s="5" t="s">
        <v>1978</v>
      </c>
      <c r="H185" s="5" t="s">
        <v>2157</v>
      </c>
      <c r="I185" s="5" t="s">
        <v>2888</v>
      </c>
      <c r="J185" s="5" t="s">
        <v>3013</v>
      </c>
      <c r="K185" s="5" t="s">
        <v>3140</v>
      </c>
      <c r="L185" s="5" t="s">
        <v>3269</v>
      </c>
      <c r="M185" s="5" t="s">
        <v>3013</v>
      </c>
      <c r="N185" s="5" t="s">
        <v>2888</v>
      </c>
    </row>
    <row r="186" spans="1:14" x14ac:dyDescent="0.25">
      <c r="A186" s="12" t="s">
        <v>268</v>
      </c>
      <c r="B186" s="5" t="s">
        <v>269</v>
      </c>
      <c r="C186" s="5" t="s">
        <v>270</v>
      </c>
      <c r="D186" s="5" t="s">
        <v>271</v>
      </c>
      <c r="E186" s="5" t="s">
        <v>272</v>
      </c>
      <c r="F186" s="5" t="s">
        <v>273</v>
      </c>
      <c r="G186" s="5" t="s">
        <v>274</v>
      </c>
      <c r="H186" s="5" t="s">
        <v>275</v>
      </c>
      <c r="I186" s="5" t="s">
        <v>2889</v>
      </c>
      <c r="J186" s="5" t="s">
        <v>3014</v>
      </c>
      <c r="K186" s="5" t="s">
        <v>3141</v>
      </c>
      <c r="L186" s="5" t="s">
        <v>3270</v>
      </c>
      <c r="M186" s="5" t="s">
        <v>3737</v>
      </c>
      <c r="N186" s="5" t="s">
        <v>3844</v>
      </c>
    </row>
    <row r="187" spans="1:14" x14ac:dyDescent="0.25">
      <c r="A187" s="12" t="s">
        <v>584</v>
      </c>
      <c r="B187" s="5" t="s">
        <v>1833</v>
      </c>
      <c r="C187" s="5" t="s">
        <v>1338</v>
      </c>
      <c r="D187" s="5" t="s">
        <v>1411</v>
      </c>
      <c r="E187" s="5" t="s">
        <v>1483</v>
      </c>
      <c r="F187" s="5" t="s">
        <v>1556</v>
      </c>
      <c r="G187" s="5" t="s">
        <v>1411</v>
      </c>
      <c r="H187" s="5" t="s">
        <v>1693</v>
      </c>
      <c r="I187" s="5" t="s">
        <v>2890</v>
      </c>
      <c r="J187" s="5" t="s">
        <v>3015</v>
      </c>
      <c r="K187" s="5" t="s">
        <v>3142</v>
      </c>
      <c r="L187" s="5" t="s">
        <v>3271</v>
      </c>
      <c r="M187" s="5" t="s">
        <v>3738</v>
      </c>
      <c r="N187" s="5" t="s">
        <v>3845</v>
      </c>
    </row>
    <row r="188" spans="1:14" x14ac:dyDescent="0.25">
      <c r="A188" s="12" t="s">
        <v>2213</v>
      </c>
      <c r="B188" s="5" t="s">
        <v>2219</v>
      </c>
      <c r="C188" s="5" t="s">
        <v>2226</v>
      </c>
      <c r="D188" s="5" t="s">
        <v>2233</v>
      </c>
      <c r="E188" s="5" t="s">
        <v>2240</v>
      </c>
      <c r="F188" s="5" t="s">
        <v>2247</v>
      </c>
      <c r="G188" s="5" t="s">
        <v>2254</v>
      </c>
      <c r="H188" s="5" t="s">
        <v>2261</v>
      </c>
      <c r="I188" s="5" t="s">
        <v>2891</v>
      </c>
      <c r="J188" s="5" t="s">
        <v>3016</v>
      </c>
      <c r="K188" s="5" t="s">
        <v>3143</v>
      </c>
      <c r="L188" s="5" t="s">
        <v>3272</v>
      </c>
      <c r="M188" s="5" t="s">
        <v>3739</v>
      </c>
      <c r="N188" s="5" t="s">
        <v>3846</v>
      </c>
    </row>
    <row r="189" spans="1:14" x14ac:dyDescent="0.25">
      <c r="A189" s="12" t="s">
        <v>585</v>
      </c>
      <c r="B189" s="5" t="s">
        <v>1268</v>
      </c>
      <c r="C189" s="5" t="s">
        <v>1339</v>
      </c>
      <c r="D189" s="5" t="s">
        <v>1412</v>
      </c>
      <c r="E189" s="5" t="s">
        <v>1484</v>
      </c>
      <c r="F189" s="5" t="s">
        <v>1557</v>
      </c>
      <c r="G189" s="5" t="s">
        <v>1625</v>
      </c>
      <c r="H189" s="5" t="s">
        <v>1694</v>
      </c>
      <c r="I189" s="5" t="s">
        <v>2892</v>
      </c>
      <c r="J189" s="5" t="s">
        <v>3017</v>
      </c>
      <c r="K189" s="5" t="s">
        <v>3144</v>
      </c>
      <c r="L189" s="5" t="s">
        <v>3273</v>
      </c>
      <c r="M189" s="5" t="s">
        <v>3740</v>
      </c>
      <c r="N189" s="5" t="s">
        <v>3847</v>
      </c>
    </row>
    <row r="190" spans="1:14" x14ac:dyDescent="0.25">
      <c r="A190" s="12" t="s">
        <v>586</v>
      </c>
      <c r="B190" s="5" t="s">
        <v>1269</v>
      </c>
      <c r="C190" s="5" t="s">
        <v>1340</v>
      </c>
      <c r="D190" s="5" t="s">
        <v>1413</v>
      </c>
      <c r="E190" s="5" t="s">
        <v>1485</v>
      </c>
      <c r="F190" s="5" t="s">
        <v>1558</v>
      </c>
      <c r="G190" s="5" t="s">
        <v>1626</v>
      </c>
      <c r="H190" s="5" t="s">
        <v>1695</v>
      </c>
      <c r="I190" s="5" t="s">
        <v>2893</v>
      </c>
      <c r="J190" s="5" t="s">
        <v>3018</v>
      </c>
      <c r="K190" s="5" t="s">
        <v>3145</v>
      </c>
      <c r="L190" s="5" t="s">
        <v>3274</v>
      </c>
      <c r="M190" s="5" t="s">
        <v>3741</v>
      </c>
      <c r="N190" s="5" t="s">
        <v>3848</v>
      </c>
    </row>
    <row r="191" spans="1:14" x14ac:dyDescent="0.25">
      <c r="A191" s="12" t="s">
        <v>587</v>
      </c>
      <c r="B191" s="5" t="s">
        <v>1270</v>
      </c>
      <c r="C191" s="5" t="s">
        <v>1341</v>
      </c>
      <c r="D191" s="5" t="s">
        <v>1414</v>
      </c>
      <c r="E191" s="5" t="s">
        <v>1486</v>
      </c>
      <c r="F191" s="5" t="s">
        <v>1559</v>
      </c>
      <c r="G191" s="5" t="s">
        <v>1627</v>
      </c>
      <c r="H191" s="5" t="s">
        <v>1696</v>
      </c>
      <c r="I191" s="5" t="s">
        <v>2894</v>
      </c>
      <c r="J191" s="5" t="s">
        <v>3019</v>
      </c>
      <c r="K191" s="5" t="s">
        <v>3146</v>
      </c>
      <c r="L191" s="5" t="s">
        <v>3275</v>
      </c>
      <c r="M191" s="5" t="s">
        <v>3742</v>
      </c>
      <c r="N191" s="5" t="s">
        <v>2894</v>
      </c>
    </row>
    <row r="192" spans="1:14" x14ac:dyDescent="0.25">
      <c r="A192" s="12" t="s">
        <v>588</v>
      </c>
      <c r="B192" s="5" t="s">
        <v>1271</v>
      </c>
      <c r="C192" s="5" t="s">
        <v>1342</v>
      </c>
      <c r="D192" s="5" t="s">
        <v>1415</v>
      </c>
      <c r="E192" s="5" t="s">
        <v>1487</v>
      </c>
      <c r="F192" s="5" t="s">
        <v>1560</v>
      </c>
      <c r="G192" s="5" t="s">
        <v>1628</v>
      </c>
      <c r="H192" s="5" t="s">
        <v>1697</v>
      </c>
      <c r="I192" s="5" t="s">
        <v>2895</v>
      </c>
      <c r="J192" s="5" t="s">
        <v>3020</v>
      </c>
      <c r="K192" s="5" t="s">
        <v>3147</v>
      </c>
      <c r="L192" s="5" t="s">
        <v>3276</v>
      </c>
      <c r="M192" s="5" t="s">
        <v>3743</v>
      </c>
      <c r="N192" s="5" t="s">
        <v>3849</v>
      </c>
    </row>
    <row r="193" spans="1:14" x14ac:dyDescent="0.25">
      <c r="A193" s="12" t="s">
        <v>2264</v>
      </c>
      <c r="B193" s="5" t="s">
        <v>2278</v>
      </c>
      <c r="C193" s="5" t="s">
        <v>2276</v>
      </c>
      <c r="D193" s="5" t="s">
        <v>2274</v>
      </c>
      <c r="E193" s="5" t="s">
        <v>2272</v>
      </c>
      <c r="F193" s="5" t="s">
        <v>2270</v>
      </c>
      <c r="G193" s="5" t="s">
        <v>2268</v>
      </c>
      <c r="H193" s="5" t="s">
        <v>2266</v>
      </c>
      <c r="I193" s="5" t="s">
        <v>2896</v>
      </c>
      <c r="J193" s="5" t="s">
        <v>3021</v>
      </c>
      <c r="K193" s="5" t="s">
        <v>3148</v>
      </c>
      <c r="L193" s="5" t="s">
        <v>3277</v>
      </c>
      <c r="M193" s="5" t="s">
        <v>3744</v>
      </c>
      <c r="N193" s="5" t="s">
        <v>3850</v>
      </c>
    </row>
    <row r="194" spans="1:14" x14ac:dyDescent="0.25">
      <c r="A194" s="12" t="s">
        <v>1855</v>
      </c>
      <c r="B194" s="5" t="s">
        <v>1900</v>
      </c>
      <c r="C194" s="5" t="s">
        <v>1941</v>
      </c>
      <c r="D194" s="5" t="s">
        <v>1986</v>
      </c>
      <c r="E194" s="5" t="s">
        <v>2031</v>
      </c>
      <c r="F194" s="5" t="s">
        <v>2076</v>
      </c>
      <c r="G194" s="5" t="s">
        <v>2120</v>
      </c>
      <c r="H194" s="5" t="s">
        <v>2165</v>
      </c>
      <c r="I194" s="5" t="s">
        <v>2897</v>
      </c>
      <c r="J194" s="5" t="s">
        <v>3022</v>
      </c>
      <c r="K194" s="5" t="s">
        <v>3149</v>
      </c>
      <c r="L194" s="5" t="s">
        <v>3278</v>
      </c>
      <c r="M194" s="5" t="s">
        <v>3745</v>
      </c>
      <c r="N194" s="5" t="s">
        <v>3851</v>
      </c>
    </row>
    <row r="195" spans="1:14" x14ac:dyDescent="0.25">
      <c r="A195" s="12" t="s">
        <v>1853</v>
      </c>
      <c r="B195" s="5" t="s">
        <v>1898</v>
      </c>
      <c r="C195" s="5" t="s">
        <v>1939</v>
      </c>
      <c r="D195" s="5" t="s">
        <v>1984</v>
      </c>
      <c r="E195" s="5" t="s">
        <v>2029</v>
      </c>
      <c r="F195" s="5" t="s">
        <v>2074</v>
      </c>
      <c r="G195" s="5" t="s">
        <v>2118</v>
      </c>
      <c r="H195" s="5" t="s">
        <v>2163</v>
      </c>
      <c r="I195" s="5" t="s">
        <v>2898</v>
      </c>
      <c r="J195" s="5" t="s">
        <v>3023</v>
      </c>
      <c r="K195" s="5" t="s">
        <v>3150</v>
      </c>
      <c r="L195" s="5" t="s">
        <v>3279</v>
      </c>
      <c r="M195" s="5" t="s">
        <v>3746</v>
      </c>
      <c r="N195" s="5" t="s">
        <v>3852</v>
      </c>
    </row>
    <row r="196" spans="1:14" x14ac:dyDescent="0.25">
      <c r="A196" s="12" t="s">
        <v>1858</v>
      </c>
      <c r="B196" s="5" t="s">
        <v>1903</v>
      </c>
      <c r="C196" s="5" t="s">
        <v>1944</v>
      </c>
      <c r="D196" s="5" t="s">
        <v>1989</v>
      </c>
      <c r="E196" s="5" t="s">
        <v>2034</v>
      </c>
      <c r="F196" s="5" t="s">
        <v>2079</v>
      </c>
      <c r="G196" s="5" t="s">
        <v>2123</v>
      </c>
      <c r="H196" s="5" t="s">
        <v>2168</v>
      </c>
      <c r="I196" s="5" t="s">
        <v>2899</v>
      </c>
      <c r="J196" s="5" t="s">
        <v>3024</v>
      </c>
      <c r="K196" s="5" t="s">
        <v>3151</v>
      </c>
      <c r="L196" s="5" t="s">
        <v>3280</v>
      </c>
      <c r="M196" s="5" t="s">
        <v>3747</v>
      </c>
      <c r="N196" s="5" t="s">
        <v>2899</v>
      </c>
    </row>
    <row r="197" spans="1:14" x14ac:dyDescent="0.25">
      <c r="A197" s="12" t="s">
        <v>330</v>
      </c>
      <c r="B197" s="5" t="s">
        <v>331</v>
      </c>
      <c r="C197" s="5" t="s">
        <v>332</v>
      </c>
      <c r="D197" s="5" t="s">
        <v>333</v>
      </c>
      <c r="E197" s="5" t="s">
        <v>334</v>
      </c>
      <c r="F197" s="5" t="s">
        <v>335</v>
      </c>
      <c r="G197" s="5" t="s">
        <v>336</v>
      </c>
      <c r="H197" s="5" t="s">
        <v>1698</v>
      </c>
      <c r="I197" s="5" t="s">
        <v>2900</v>
      </c>
      <c r="J197" s="5" t="s">
        <v>3025</v>
      </c>
      <c r="K197" s="5" t="s">
        <v>3152</v>
      </c>
      <c r="L197" s="5" t="s">
        <v>3281</v>
      </c>
      <c r="M197" s="5" t="s">
        <v>3748</v>
      </c>
      <c r="N197" s="5" t="s">
        <v>3853</v>
      </c>
    </row>
    <row r="198" spans="1:14" x14ac:dyDescent="0.25">
      <c r="A198" s="12" t="s">
        <v>589</v>
      </c>
      <c r="B198" s="5" t="s">
        <v>1272</v>
      </c>
      <c r="C198" s="5" t="s">
        <v>1343</v>
      </c>
      <c r="D198" s="5" t="s">
        <v>1416</v>
      </c>
      <c r="E198" s="5" t="s">
        <v>1488</v>
      </c>
      <c r="F198" s="5" t="s">
        <v>1561</v>
      </c>
      <c r="G198" s="5" t="s">
        <v>1629</v>
      </c>
      <c r="H198" s="5" t="s">
        <v>1699</v>
      </c>
      <c r="I198" s="5" t="s">
        <v>2901</v>
      </c>
      <c r="J198" s="5" t="s">
        <v>3026</v>
      </c>
      <c r="K198" s="5" t="s">
        <v>3153</v>
      </c>
      <c r="L198" s="5" t="s">
        <v>3282</v>
      </c>
      <c r="M198" s="5" t="s">
        <v>3749</v>
      </c>
      <c r="N198" s="5" t="s">
        <v>3854</v>
      </c>
    </row>
    <row r="199" spans="1:14" x14ac:dyDescent="0.25">
      <c r="A199" s="12" t="s">
        <v>1879</v>
      </c>
      <c r="B199" s="5" t="s">
        <v>1922</v>
      </c>
      <c r="C199" s="5" t="s">
        <v>1965</v>
      </c>
      <c r="D199" s="5" t="s">
        <v>2010</v>
      </c>
      <c r="E199" s="5" t="s">
        <v>2055</v>
      </c>
      <c r="F199" s="5" t="s">
        <v>2100</v>
      </c>
      <c r="G199" s="5" t="s">
        <v>2144</v>
      </c>
      <c r="H199" s="5" t="s">
        <v>2189</v>
      </c>
      <c r="I199" s="5" t="s">
        <v>2902</v>
      </c>
      <c r="J199" s="5" t="s">
        <v>3027</v>
      </c>
      <c r="K199" s="5" t="s">
        <v>3154</v>
      </c>
      <c r="L199" s="5" t="s">
        <v>3283</v>
      </c>
      <c r="M199" s="5" t="s">
        <v>3750</v>
      </c>
      <c r="N199" s="5" t="s">
        <v>3855</v>
      </c>
    </row>
    <row r="200" spans="1:14" x14ac:dyDescent="0.25">
      <c r="A200" s="12" t="s">
        <v>1859</v>
      </c>
      <c r="B200" s="5" t="s">
        <v>1904</v>
      </c>
      <c r="C200" s="5" t="s">
        <v>1945</v>
      </c>
      <c r="D200" s="5" t="s">
        <v>1990</v>
      </c>
      <c r="E200" s="5" t="s">
        <v>2035</v>
      </c>
      <c r="F200" s="5" t="s">
        <v>2080</v>
      </c>
      <c r="G200" s="5" t="s">
        <v>2124</v>
      </c>
      <c r="H200" s="5" t="s">
        <v>2169</v>
      </c>
      <c r="I200" s="5" t="s">
        <v>2903</v>
      </c>
      <c r="J200" s="5" t="s">
        <v>3028</v>
      </c>
      <c r="K200" s="5" t="s">
        <v>3155</v>
      </c>
      <c r="L200" s="5" t="s">
        <v>3284</v>
      </c>
      <c r="M200" s="5" t="s">
        <v>3751</v>
      </c>
      <c r="N200" s="5" t="s">
        <v>3856</v>
      </c>
    </row>
    <row r="201" spans="1:14" x14ac:dyDescent="0.25">
      <c r="A201" s="12" t="s">
        <v>1852</v>
      </c>
      <c r="B201" s="5" t="s">
        <v>1897</v>
      </c>
      <c r="C201" s="5" t="s">
        <v>1938</v>
      </c>
      <c r="D201" s="5" t="s">
        <v>1983</v>
      </c>
      <c r="E201" s="5" t="s">
        <v>2028</v>
      </c>
      <c r="F201" s="5" t="s">
        <v>2073</v>
      </c>
      <c r="G201" s="5" t="s">
        <v>2117</v>
      </c>
      <c r="H201" s="5" t="s">
        <v>2162</v>
      </c>
      <c r="I201" s="5" t="s">
        <v>2904</v>
      </c>
      <c r="J201" s="5" t="s">
        <v>3029</v>
      </c>
      <c r="K201" s="5" t="s">
        <v>3156</v>
      </c>
      <c r="L201" s="5" t="s">
        <v>3285</v>
      </c>
      <c r="M201" s="5" t="s">
        <v>3752</v>
      </c>
      <c r="N201" s="5" t="s">
        <v>3857</v>
      </c>
    </row>
    <row r="202" spans="1:14" x14ac:dyDescent="0.25">
      <c r="A202" s="12" t="s">
        <v>1883</v>
      </c>
      <c r="B202" s="5" t="s">
        <v>1926</v>
      </c>
      <c r="C202" s="5" t="s">
        <v>1969</v>
      </c>
      <c r="D202" s="5" t="s">
        <v>2014</v>
      </c>
      <c r="E202" s="5" t="s">
        <v>2059</v>
      </c>
      <c r="F202" s="5" t="s">
        <v>2104</v>
      </c>
      <c r="G202" s="5" t="s">
        <v>2148</v>
      </c>
      <c r="H202" s="5" t="s">
        <v>2193</v>
      </c>
      <c r="I202" s="5" t="s">
        <v>2905</v>
      </c>
      <c r="J202" s="5" t="s">
        <v>3030</v>
      </c>
      <c r="K202" s="5" t="s">
        <v>3157</v>
      </c>
      <c r="L202" s="5" t="s">
        <v>3286</v>
      </c>
      <c r="M202" s="5" t="s">
        <v>3753</v>
      </c>
      <c r="N202" s="5" t="s">
        <v>3858</v>
      </c>
    </row>
    <row r="203" spans="1:14" x14ac:dyDescent="0.25">
      <c r="A203" s="12" t="s">
        <v>1884</v>
      </c>
      <c r="B203" s="5" t="s">
        <v>1927</v>
      </c>
      <c r="C203" s="5" t="s">
        <v>1970</v>
      </c>
      <c r="D203" s="5" t="s">
        <v>2015</v>
      </c>
      <c r="E203" s="5" t="s">
        <v>2060</v>
      </c>
      <c r="F203" s="5" t="s">
        <v>2105</v>
      </c>
      <c r="G203" s="5" t="s">
        <v>2149</v>
      </c>
      <c r="H203" s="5" t="s">
        <v>2194</v>
      </c>
      <c r="I203" s="5" t="s">
        <v>2906</v>
      </c>
      <c r="J203" s="5" t="s">
        <v>3031</v>
      </c>
      <c r="K203" s="5" t="s">
        <v>3158</v>
      </c>
      <c r="L203" s="5" t="s">
        <v>3287</v>
      </c>
      <c r="M203" s="5" t="s">
        <v>3754</v>
      </c>
      <c r="N203" s="5" t="s">
        <v>3859</v>
      </c>
    </row>
    <row r="204" spans="1:14" x14ac:dyDescent="0.25">
      <c r="A204" s="12" t="s">
        <v>1856</v>
      </c>
      <c r="B204" s="5" t="s">
        <v>1901</v>
      </c>
      <c r="C204" s="5" t="s">
        <v>1942</v>
      </c>
      <c r="D204" s="5" t="s">
        <v>1987</v>
      </c>
      <c r="E204" s="5" t="s">
        <v>2032</v>
      </c>
      <c r="F204" s="5" t="s">
        <v>2077</v>
      </c>
      <c r="G204" s="5" t="s">
        <v>2121</v>
      </c>
      <c r="H204" s="5" t="s">
        <v>2166</v>
      </c>
      <c r="I204" s="5" t="s">
        <v>2907</v>
      </c>
      <c r="J204" s="5" t="s">
        <v>3032</v>
      </c>
      <c r="K204" s="5" t="s">
        <v>3159</v>
      </c>
      <c r="L204" s="5" t="s">
        <v>3288</v>
      </c>
      <c r="M204" s="5" t="s">
        <v>3755</v>
      </c>
      <c r="N204" s="5" t="s">
        <v>3860</v>
      </c>
    </row>
    <row r="205" spans="1:14" x14ac:dyDescent="0.25">
      <c r="A205" s="12" t="s">
        <v>1863</v>
      </c>
      <c r="B205" s="5" t="s">
        <v>1908</v>
      </c>
      <c r="C205" s="5" t="s">
        <v>1949</v>
      </c>
      <c r="D205" s="5" t="s">
        <v>1994</v>
      </c>
      <c r="E205" s="5" t="s">
        <v>2039</v>
      </c>
      <c r="F205" s="5" t="s">
        <v>2084</v>
      </c>
      <c r="G205" s="5" t="s">
        <v>2128</v>
      </c>
      <c r="H205" s="5" t="s">
        <v>2173</v>
      </c>
      <c r="I205" s="5" t="s">
        <v>2908</v>
      </c>
      <c r="J205" s="5" t="s">
        <v>3033</v>
      </c>
      <c r="K205" s="5" t="s">
        <v>3160</v>
      </c>
      <c r="L205" s="5" t="s">
        <v>3289</v>
      </c>
      <c r="M205" s="5" t="s">
        <v>3756</v>
      </c>
      <c r="N205" s="5" t="s">
        <v>3861</v>
      </c>
    </row>
    <row r="206" spans="1:14" x14ac:dyDescent="0.25">
      <c r="A206" s="12" t="s">
        <v>1861</v>
      </c>
      <c r="B206" s="5" t="s">
        <v>1906</v>
      </c>
      <c r="C206" s="5" t="s">
        <v>1947</v>
      </c>
      <c r="D206" s="5" t="s">
        <v>1992</v>
      </c>
      <c r="E206" s="5" t="s">
        <v>2037</v>
      </c>
      <c r="F206" s="5" t="s">
        <v>2082</v>
      </c>
      <c r="G206" s="5" t="s">
        <v>2126</v>
      </c>
      <c r="H206" s="5" t="s">
        <v>2171</v>
      </c>
      <c r="I206" s="5" t="s">
        <v>2909</v>
      </c>
      <c r="J206" s="5" t="s">
        <v>3034</v>
      </c>
      <c r="K206" s="5" t="s">
        <v>3161</v>
      </c>
      <c r="L206" s="5" t="s">
        <v>3290</v>
      </c>
      <c r="M206" s="5" t="s">
        <v>3757</v>
      </c>
      <c r="N206" s="5" t="s">
        <v>3862</v>
      </c>
    </row>
    <row r="207" spans="1:14" x14ac:dyDescent="0.25">
      <c r="A207" s="12" t="s">
        <v>1873</v>
      </c>
      <c r="B207" s="5" t="s">
        <v>1917</v>
      </c>
      <c r="C207" s="5" t="s">
        <v>1959</v>
      </c>
      <c r="D207" s="5" t="s">
        <v>2004</v>
      </c>
      <c r="E207" s="5" t="s">
        <v>2049</v>
      </c>
      <c r="F207" s="5" t="s">
        <v>2094</v>
      </c>
      <c r="G207" s="5" t="s">
        <v>2138</v>
      </c>
      <c r="H207" s="5" t="s">
        <v>2183</v>
      </c>
      <c r="I207" s="5" t="s">
        <v>2910</v>
      </c>
      <c r="J207" s="5" t="s">
        <v>3035</v>
      </c>
      <c r="K207" s="5" t="s">
        <v>3162</v>
      </c>
      <c r="L207" s="5" t="s">
        <v>3291</v>
      </c>
      <c r="M207" s="5" t="s">
        <v>3758</v>
      </c>
      <c r="N207" s="5" t="s">
        <v>3863</v>
      </c>
    </row>
    <row r="208" spans="1:14" x14ac:dyDescent="0.25">
      <c r="A208" s="12" t="s">
        <v>590</v>
      </c>
      <c r="B208" s="5" t="s">
        <v>1273</v>
      </c>
      <c r="C208" s="5" t="s">
        <v>1344</v>
      </c>
      <c r="D208" s="5" t="s">
        <v>1417</v>
      </c>
      <c r="E208" s="5" t="s">
        <v>1489</v>
      </c>
      <c r="F208" s="5" t="s">
        <v>1562</v>
      </c>
      <c r="G208" s="5" t="s">
        <v>1630</v>
      </c>
      <c r="H208" s="5" t="s">
        <v>1700</v>
      </c>
      <c r="I208" s="5" t="s">
        <v>2911</v>
      </c>
      <c r="J208" s="5" t="s">
        <v>3036</v>
      </c>
      <c r="K208" s="5" t="s">
        <v>3163</v>
      </c>
      <c r="L208" s="5" t="s">
        <v>3292</v>
      </c>
      <c r="M208" s="5" t="s">
        <v>3759</v>
      </c>
      <c r="N208" s="5" t="s">
        <v>3864</v>
      </c>
    </row>
    <row r="209" spans="1:14" x14ac:dyDescent="0.25">
      <c r="A209" s="12" t="s">
        <v>1854</v>
      </c>
      <c r="B209" s="5" t="s">
        <v>1899</v>
      </c>
      <c r="C209" s="5" t="s">
        <v>1940</v>
      </c>
      <c r="D209" s="5" t="s">
        <v>1985</v>
      </c>
      <c r="E209" s="5" t="s">
        <v>2030</v>
      </c>
      <c r="F209" s="5" t="s">
        <v>2075</v>
      </c>
      <c r="G209" s="5" t="s">
        <v>2119</v>
      </c>
      <c r="H209" s="5" t="s">
        <v>2164</v>
      </c>
      <c r="I209" s="5" t="s">
        <v>2912</v>
      </c>
      <c r="J209" s="5" t="s">
        <v>3037</v>
      </c>
      <c r="K209" s="5" t="s">
        <v>3164</v>
      </c>
      <c r="L209" s="5" t="s">
        <v>3293</v>
      </c>
      <c r="M209" s="5" t="s">
        <v>3760</v>
      </c>
      <c r="N209" s="5" t="s">
        <v>3865</v>
      </c>
    </row>
    <row r="210" spans="1:14" x14ac:dyDescent="0.25">
      <c r="A210" s="12" t="s">
        <v>1850</v>
      </c>
      <c r="B210" s="5" t="s">
        <v>1895</v>
      </c>
      <c r="C210" s="5" t="s">
        <v>1936</v>
      </c>
      <c r="D210" s="5" t="s">
        <v>1981</v>
      </c>
      <c r="E210" s="5" t="s">
        <v>2026</v>
      </c>
      <c r="F210" s="5" t="s">
        <v>2071</v>
      </c>
      <c r="G210" s="5" t="s">
        <v>2115</v>
      </c>
      <c r="H210" s="5" t="s">
        <v>2160</v>
      </c>
      <c r="I210" s="5" t="s">
        <v>2913</v>
      </c>
      <c r="J210" s="5" t="s">
        <v>3038</v>
      </c>
      <c r="K210" s="5" t="s">
        <v>3165</v>
      </c>
      <c r="L210" s="5" t="s">
        <v>3294</v>
      </c>
      <c r="M210" s="5" t="s">
        <v>3761</v>
      </c>
      <c r="N210" s="5" t="s">
        <v>3866</v>
      </c>
    </row>
    <row r="211" spans="1:14" x14ac:dyDescent="0.25">
      <c r="A211" s="12" t="s">
        <v>591</v>
      </c>
      <c r="B211" s="5" t="s">
        <v>1274</v>
      </c>
      <c r="C211" s="5" t="s">
        <v>1345</v>
      </c>
      <c r="D211" s="5" t="s">
        <v>1418</v>
      </c>
      <c r="E211" s="5" t="s">
        <v>1490</v>
      </c>
      <c r="F211" s="5" t="s">
        <v>1563</v>
      </c>
      <c r="G211" s="5" t="s">
        <v>1631</v>
      </c>
      <c r="H211" s="5" t="s">
        <v>1701</v>
      </c>
      <c r="I211" s="5" t="s">
        <v>2914</v>
      </c>
      <c r="J211" s="5" t="s">
        <v>3039</v>
      </c>
      <c r="K211" s="5" t="s">
        <v>3166</v>
      </c>
      <c r="L211" s="5" t="s">
        <v>3295</v>
      </c>
      <c r="M211" s="5" t="s">
        <v>3762</v>
      </c>
      <c r="N211" s="5" t="s">
        <v>3867</v>
      </c>
    </row>
    <row r="212" spans="1:14" x14ac:dyDescent="0.25">
      <c r="A212" s="12" t="s">
        <v>276</v>
      </c>
      <c r="B212" s="5" t="s">
        <v>1275</v>
      </c>
      <c r="C212" s="5" t="s">
        <v>1346</v>
      </c>
      <c r="D212" s="5" t="s">
        <v>277</v>
      </c>
      <c r="E212" s="5" t="s">
        <v>278</v>
      </c>
      <c r="F212" s="5" t="s">
        <v>279</v>
      </c>
      <c r="G212" s="5" t="s">
        <v>280</v>
      </c>
      <c r="H212" s="5" t="s">
        <v>281</v>
      </c>
      <c r="I212" s="5" t="s">
        <v>2915</v>
      </c>
      <c r="J212" s="5" t="s">
        <v>3040</v>
      </c>
      <c r="K212" s="5" t="s">
        <v>3167</v>
      </c>
      <c r="L212" s="5" t="s">
        <v>3296</v>
      </c>
      <c r="M212" s="5" t="s">
        <v>3763</v>
      </c>
      <c r="N212" s="5" t="s">
        <v>3868</v>
      </c>
    </row>
    <row r="213" spans="1:14" x14ac:dyDescent="0.25">
      <c r="A213" s="12" t="s">
        <v>592</v>
      </c>
      <c r="B213" s="5" t="s">
        <v>1276</v>
      </c>
      <c r="C213" s="5" t="s">
        <v>1347</v>
      </c>
      <c r="D213" s="5" t="s">
        <v>1419</v>
      </c>
      <c r="E213" s="5" t="s">
        <v>1491</v>
      </c>
      <c r="F213" s="5" t="s">
        <v>1564</v>
      </c>
      <c r="G213" s="5" t="s">
        <v>1632</v>
      </c>
      <c r="H213" s="5" t="s">
        <v>1702</v>
      </c>
      <c r="I213" s="5" t="s">
        <v>2916</v>
      </c>
      <c r="J213" s="5" t="s">
        <v>3041</v>
      </c>
      <c r="K213" s="5" t="s">
        <v>3168</v>
      </c>
      <c r="L213" s="5" t="s">
        <v>3297</v>
      </c>
      <c r="M213" s="5" t="s">
        <v>3764</v>
      </c>
      <c r="N213" s="5" t="s">
        <v>3869</v>
      </c>
    </row>
    <row r="214" spans="1:14" x14ac:dyDescent="0.25">
      <c r="A214" s="12" t="s">
        <v>593</v>
      </c>
      <c r="B214" s="5" t="s">
        <v>1277</v>
      </c>
      <c r="C214" s="5" t="s">
        <v>1348</v>
      </c>
      <c r="D214" s="5" t="s">
        <v>1420</v>
      </c>
      <c r="E214" s="5" t="s">
        <v>1492</v>
      </c>
      <c r="F214" s="5" t="s">
        <v>1565</v>
      </c>
      <c r="G214" s="5" t="s">
        <v>1633</v>
      </c>
      <c r="H214" s="5" t="s">
        <v>1703</v>
      </c>
      <c r="I214" s="5" t="s">
        <v>2917</v>
      </c>
      <c r="J214" s="5" t="s">
        <v>3042</v>
      </c>
      <c r="K214" s="5" t="s">
        <v>3169</v>
      </c>
      <c r="L214" s="5" t="s">
        <v>3298</v>
      </c>
      <c r="M214" s="5" t="s">
        <v>3765</v>
      </c>
      <c r="N214" s="5" t="s">
        <v>3870</v>
      </c>
    </row>
    <row r="215" spans="1:14" x14ac:dyDescent="0.25">
      <c r="A215" s="12" t="s">
        <v>594</v>
      </c>
      <c r="B215" s="5" t="s">
        <v>1278</v>
      </c>
      <c r="C215" s="5" t="s">
        <v>1349</v>
      </c>
      <c r="D215" s="5" t="s">
        <v>1421</v>
      </c>
      <c r="E215" s="5" t="s">
        <v>1493</v>
      </c>
      <c r="F215" s="5" t="s">
        <v>1566</v>
      </c>
      <c r="G215" s="5" t="s">
        <v>1634</v>
      </c>
      <c r="H215" s="5" t="s">
        <v>1704</v>
      </c>
      <c r="I215" s="5" t="s">
        <v>2918</v>
      </c>
      <c r="J215" s="5" t="s">
        <v>3043</v>
      </c>
      <c r="K215" s="5" t="s">
        <v>3170</v>
      </c>
      <c r="L215" s="5" t="s">
        <v>3299</v>
      </c>
      <c r="M215" s="5" t="s">
        <v>3766</v>
      </c>
      <c r="N215" s="5" t="s">
        <v>3871</v>
      </c>
    </row>
    <row r="216" spans="1:14" x14ac:dyDescent="0.25">
      <c r="A216" s="12" t="s">
        <v>595</v>
      </c>
      <c r="B216" s="5" t="s">
        <v>1279</v>
      </c>
      <c r="C216" s="5" t="s">
        <v>1350</v>
      </c>
      <c r="D216" s="5" t="s">
        <v>1422</v>
      </c>
      <c r="E216" s="5" t="s">
        <v>1494</v>
      </c>
      <c r="F216" s="5" t="s">
        <v>1567</v>
      </c>
      <c r="G216" s="5" t="s">
        <v>1635</v>
      </c>
      <c r="H216" s="5" t="s">
        <v>1705</v>
      </c>
      <c r="I216" s="5" t="s">
        <v>2919</v>
      </c>
      <c r="J216" s="5" t="s">
        <v>3044</v>
      </c>
      <c r="K216" s="5" t="s">
        <v>3171</v>
      </c>
      <c r="L216" s="5" t="s">
        <v>3300</v>
      </c>
      <c r="M216" s="5" t="s">
        <v>3767</v>
      </c>
      <c r="N216" s="5" t="s">
        <v>3872</v>
      </c>
    </row>
    <row r="217" spans="1:14" x14ac:dyDescent="0.25">
      <c r="A217" s="12" t="s">
        <v>596</v>
      </c>
      <c r="B217" s="5" t="s">
        <v>1280</v>
      </c>
      <c r="C217" s="5" t="s">
        <v>1351</v>
      </c>
      <c r="D217" s="5" t="s">
        <v>1423</v>
      </c>
      <c r="E217" s="5" t="s">
        <v>1495</v>
      </c>
      <c r="F217" s="5" t="s">
        <v>1568</v>
      </c>
      <c r="G217" s="5" t="s">
        <v>1636</v>
      </c>
      <c r="H217" s="5" t="s">
        <v>1706</v>
      </c>
      <c r="I217" s="5" t="s">
        <v>2920</v>
      </c>
      <c r="J217" s="5" t="s">
        <v>3045</v>
      </c>
      <c r="K217" s="5" t="s">
        <v>3172</v>
      </c>
      <c r="L217" s="5" t="s">
        <v>3301</v>
      </c>
      <c r="M217" s="5" t="s">
        <v>3768</v>
      </c>
      <c r="N217" s="5" t="s">
        <v>3873</v>
      </c>
    </row>
    <row r="218" spans="1:14" x14ac:dyDescent="0.25">
      <c r="A218" s="12" t="s">
        <v>597</v>
      </c>
      <c r="B218" s="5" t="s">
        <v>1281</v>
      </c>
      <c r="C218" s="5" t="s">
        <v>1352</v>
      </c>
      <c r="D218" s="5" t="s">
        <v>1424</v>
      </c>
      <c r="E218" s="5" t="s">
        <v>1496</v>
      </c>
      <c r="F218" s="5" t="s">
        <v>1569</v>
      </c>
      <c r="G218" s="5" t="s">
        <v>1637</v>
      </c>
      <c r="H218" s="5" t="s">
        <v>1707</v>
      </c>
      <c r="I218" s="5" t="s">
        <v>2921</v>
      </c>
      <c r="J218" s="5" t="s">
        <v>3046</v>
      </c>
      <c r="K218" s="5" t="s">
        <v>3173</v>
      </c>
      <c r="L218" s="5" t="s">
        <v>3302</v>
      </c>
      <c r="M218" s="5" t="s">
        <v>3769</v>
      </c>
      <c r="N218" s="5" t="s">
        <v>3874</v>
      </c>
    </row>
    <row r="219" spans="1:14" x14ac:dyDescent="0.25">
      <c r="A219" s="12" t="s">
        <v>1835</v>
      </c>
      <c r="B219" s="5" t="s">
        <v>1889</v>
      </c>
      <c r="C219" s="5" t="s">
        <v>1930</v>
      </c>
      <c r="D219" s="5" t="s">
        <v>1975</v>
      </c>
      <c r="E219" s="5" t="s">
        <v>2020</v>
      </c>
      <c r="F219" s="5" t="s">
        <v>2065</v>
      </c>
      <c r="G219" s="5" t="s">
        <v>2110</v>
      </c>
      <c r="H219" s="5" t="s">
        <v>2154</v>
      </c>
      <c r="I219" s="5" t="s">
        <v>2922</v>
      </c>
      <c r="J219" s="5" t="s">
        <v>3047</v>
      </c>
      <c r="K219" s="5" t="s">
        <v>3174</v>
      </c>
      <c r="L219" s="5" t="s">
        <v>3303</v>
      </c>
      <c r="M219" s="5" t="s">
        <v>3770</v>
      </c>
      <c r="N219" s="5" t="s">
        <v>3875</v>
      </c>
    </row>
    <row r="220" spans="1:14" x14ac:dyDescent="0.25">
      <c r="A220" s="12" t="s">
        <v>185</v>
      </c>
      <c r="B220" s="5" t="s">
        <v>1282</v>
      </c>
      <c r="C220" s="5" t="s">
        <v>1353</v>
      </c>
      <c r="D220" s="5" t="s">
        <v>186</v>
      </c>
      <c r="E220" s="5" t="s">
        <v>187</v>
      </c>
      <c r="F220" s="5" t="s">
        <v>188</v>
      </c>
      <c r="G220" s="5" t="s">
        <v>189</v>
      </c>
      <c r="H220" s="5" t="s">
        <v>190</v>
      </c>
      <c r="I220" s="5" t="s">
        <v>2923</v>
      </c>
      <c r="J220" s="5" t="s">
        <v>3048</v>
      </c>
      <c r="K220" s="5" t="s">
        <v>3175</v>
      </c>
      <c r="L220" s="5" t="s">
        <v>3304</v>
      </c>
      <c r="M220" s="5" t="s">
        <v>3771</v>
      </c>
      <c r="N220" s="5" t="s">
        <v>3876</v>
      </c>
    </row>
    <row r="221" spans="1:14" x14ac:dyDescent="0.25">
      <c r="A221" s="12" t="s">
        <v>1885</v>
      </c>
      <c r="B221" s="5" t="s">
        <v>3460</v>
      </c>
      <c r="C221" s="5" t="s">
        <v>1972</v>
      </c>
      <c r="D221" s="5" t="s">
        <v>2017</v>
      </c>
      <c r="E221" s="5" t="s">
        <v>2062</v>
      </c>
      <c r="F221" s="5" t="s">
        <v>2107</v>
      </c>
      <c r="G221" s="5" t="s">
        <v>2151</v>
      </c>
      <c r="H221" s="5" t="s">
        <v>2196</v>
      </c>
      <c r="I221" s="5" t="s">
        <v>2924</v>
      </c>
      <c r="J221" s="5" t="s">
        <v>3049</v>
      </c>
      <c r="K221" s="5" t="s">
        <v>3176</v>
      </c>
      <c r="L221" s="5" t="s">
        <v>3305</v>
      </c>
      <c r="M221" s="5" t="s">
        <v>3772</v>
      </c>
      <c r="N221" s="5" t="s">
        <v>3877</v>
      </c>
    </row>
    <row r="222" spans="1:14" x14ac:dyDescent="0.25">
      <c r="A222" s="12" t="s">
        <v>219</v>
      </c>
      <c r="B222" s="5" t="s">
        <v>220</v>
      </c>
      <c r="C222" s="5" t="s">
        <v>221</v>
      </c>
      <c r="D222" s="5" t="s">
        <v>222</v>
      </c>
      <c r="E222" s="5" t="s">
        <v>223</v>
      </c>
      <c r="F222" s="5" t="s">
        <v>224</v>
      </c>
      <c r="G222" s="5" t="s">
        <v>225</v>
      </c>
      <c r="H222" s="5" t="s">
        <v>226</v>
      </c>
      <c r="I222" s="5" t="s">
        <v>2925</v>
      </c>
      <c r="J222" s="5" t="s">
        <v>3050</v>
      </c>
      <c r="K222" s="5" t="s">
        <v>3177</v>
      </c>
      <c r="L222" s="5" t="s">
        <v>3306</v>
      </c>
      <c r="M222" s="5" t="s">
        <v>3773</v>
      </c>
      <c r="N222" s="5" t="s">
        <v>3878</v>
      </c>
    </row>
    <row r="223" spans="1:14" x14ac:dyDescent="0.25">
      <c r="A223" s="12" t="s">
        <v>598</v>
      </c>
      <c r="B223" s="5" t="s">
        <v>1283</v>
      </c>
      <c r="C223" s="5" t="s">
        <v>1354</v>
      </c>
      <c r="D223" s="5" t="s">
        <v>1425</v>
      </c>
      <c r="E223" s="5" t="s">
        <v>1497</v>
      </c>
      <c r="F223" s="5" t="s">
        <v>1570</v>
      </c>
      <c r="G223" s="5" t="s">
        <v>1638</v>
      </c>
      <c r="H223" s="5" t="s">
        <v>1708</v>
      </c>
      <c r="I223" s="5" t="s">
        <v>2926</v>
      </c>
      <c r="J223" s="5" t="s">
        <v>3051</v>
      </c>
      <c r="K223" s="5" t="s">
        <v>3178</v>
      </c>
      <c r="L223" s="5" t="s">
        <v>3307</v>
      </c>
      <c r="M223" s="5" t="s">
        <v>3774</v>
      </c>
      <c r="N223" s="5" t="s">
        <v>3879</v>
      </c>
    </row>
    <row r="224" spans="1:14" x14ac:dyDescent="0.25">
      <c r="A224" s="12" t="s">
        <v>599</v>
      </c>
      <c r="B224" s="5" t="s">
        <v>1284</v>
      </c>
      <c r="C224" s="5" t="s">
        <v>1355</v>
      </c>
      <c r="D224" s="5" t="s">
        <v>1426</v>
      </c>
      <c r="E224" s="5" t="s">
        <v>1498</v>
      </c>
      <c r="F224" s="5" t="s">
        <v>1571</v>
      </c>
      <c r="G224" s="5" t="s">
        <v>1639</v>
      </c>
      <c r="H224" s="5" t="s">
        <v>1709</v>
      </c>
      <c r="I224" s="5" t="s">
        <v>2927</v>
      </c>
      <c r="J224" s="5" t="s">
        <v>3052</v>
      </c>
      <c r="K224" s="5" t="s">
        <v>3179</v>
      </c>
      <c r="L224" s="5" t="s">
        <v>3308</v>
      </c>
      <c r="M224" s="5" t="s">
        <v>3775</v>
      </c>
      <c r="N224" s="5" t="s">
        <v>3880</v>
      </c>
    </row>
    <row r="225" spans="1:14" x14ac:dyDescent="0.25">
      <c r="A225" s="12" t="s">
        <v>14</v>
      </c>
      <c r="B225" s="5" t="s">
        <v>1285</v>
      </c>
      <c r="C225" s="5" t="s">
        <v>1356</v>
      </c>
      <c r="D225" s="5" t="s">
        <v>1427</v>
      </c>
      <c r="E225" s="5" t="s">
        <v>1499</v>
      </c>
      <c r="F225" s="5" t="s">
        <v>1572</v>
      </c>
      <c r="G225" s="5" t="s">
        <v>1640</v>
      </c>
      <c r="H225" s="5" t="s">
        <v>1710</v>
      </c>
      <c r="I225" s="5" t="s">
        <v>2928</v>
      </c>
      <c r="J225" s="5" t="s">
        <v>3053</v>
      </c>
      <c r="K225" s="5" t="s">
        <v>3180</v>
      </c>
      <c r="L225" s="5" t="s">
        <v>3309</v>
      </c>
      <c r="M225" s="5" t="s">
        <v>3776</v>
      </c>
      <c r="N225" s="5" t="s">
        <v>3881</v>
      </c>
    </row>
    <row r="226" spans="1:14" x14ac:dyDescent="0.25">
      <c r="A226" s="12" t="s">
        <v>600</v>
      </c>
      <c r="B226" s="5" t="s">
        <v>1888</v>
      </c>
      <c r="C226" s="5" t="s">
        <v>1357</v>
      </c>
      <c r="D226" s="5" t="s">
        <v>1428</v>
      </c>
      <c r="E226" s="5" t="s">
        <v>1500</v>
      </c>
      <c r="F226" s="5" t="s">
        <v>1573</v>
      </c>
      <c r="G226" s="5" t="s">
        <v>1641</v>
      </c>
      <c r="H226" s="5" t="s">
        <v>1711</v>
      </c>
      <c r="I226" s="5" t="s">
        <v>2929</v>
      </c>
      <c r="J226" s="5" t="s">
        <v>3054</v>
      </c>
      <c r="K226" s="5" t="s">
        <v>3181</v>
      </c>
      <c r="L226" s="5" t="s">
        <v>3310</v>
      </c>
      <c r="M226" s="5" t="s">
        <v>3777</v>
      </c>
      <c r="N226" s="5" t="s">
        <v>3882</v>
      </c>
    </row>
    <row r="227" spans="1:14" x14ac:dyDescent="0.25">
      <c r="A227" s="12" t="s">
        <v>245</v>
      </c>
      <c r="B227" s="5" t="s">
        <v>246</v>
      </c>
      <c r="C227" s="5" t="s">
        <v>247</v>
      </c>
      <c r="D227" s="5" t="s">
        <v>248</v>
      </c>
      <c r="E227" s="5" t="s">
        <v>249</v>
      </c>
      <c r="F227" s="5" t="s">
        <v>250</v>
      </c>
      <c r="G227" s="5" t="s">
        <v>251</v>
      </c>
      <c r="H227" s="5" t="s">
        <v>252</v>
      </c>
      <c r="I227" s="5" t="s">
        <v>2930</v>
      </c>
      <c r="J227" s="5" t="s">
        <v>3055</v>
      </c>
      <c r="K227" s="5" t="s">
        <v>3182</v>
      </c>
      <c r="L227" s="5" t="s">
        <v>3311</v>
      </c>
      <c r="M227" s="5" t="s">
        <v>3778</v>
      </c>
      <c r="N227" s="5" t="s">
        <v>3883</v>
      </c>
    </row>
    <row r="228" spans="1:14" x14ac:dyDescent="0.25">
      <c r="A228" s="12" t="s">
        <v>307</v>
      </c>
      <c r="B228" s="5" t="s">
        <v>308</v>
      </c>
      <c r="C228" s="5" t="s">
        <v>309</v>
      </c>
      <c r="D228" s="5" t="s">
        <v>310</v>
      </c>
      <c r="E228" s="5" t="s">
        <v>311</v>
      </c>
      <c r="F228" s="5" t="s">
        <v>312</v>
      </c>
      <c r="G228" s="5" t="s">
        <v>313</v>
      </c>
      <c r="H228" s="5" t="s">
        <v>314</v>
      </c>
      <c r="I228" s="5" t="s">
        <v>2931</v>
      </c>
      <c r="J228" s="5" t="s">
        <v>3056</v>
      </c>
      <c r="K228" s="5" t="s">
        <v>3183</v>
      </c>
      <c r="L228" s="5" t="s">
        <v>3312</v>
      </c>
      <c r="M228" s="5" t="s">
        <v>3779</v>
      </c>
      <c r="N228" s="5" t="s">
        <v>2931</v>
      </c>
    </row>
    <row r="229" spans="1:14" x14ac:dyDescent="0.25">
      <c r="A229" s="12" t="s">
        <v>2</v>
      </c>
      <c r="B229" s="5" t="s">
        <v>140</v>
      </c>
      <c r="C229" s="5" t="s">
        <v>141</v>
      </c>
      <c r="D229" s="5" t="s">
        <v>142</v>
      </c>
      <c r="E229" s="5" t="s">
        <v>143</v>
      </c>
      <c r="F229" s="5" t="s">
        <v>144</v>
      </c>
      <c r="G229" s="5" t="s">
        <v>142</v>
      </c>
      <c r="H229" s="5" t="s">
        <v>145</v>
      </c>
      <c r="I229" s="5" t="s">
        <v>2932</v>
      </c>
      <c r="J229" s="5" t="s">
        <v>3057</v>
      </c>
      <c r="K229" s="5" t="s">
        <v>3184</v>
      </c>
      <c r="L229" s="5" t="s">
        <v>3313</v>
      </c>
      <c r="M229" s="5" t="s">
        <v>3780</v>
      </c>
      <c r="N229" s="5" t="s">
        <v>2932</v>
      </c>
    </row>
    <row r="230" spans="1:14" x14ac:dyDescent="0.25">
      <c r="A230" s="12" t="s">
        <v>1875</v>
      </c>
      <c r="B230" s="5" t="s">
        <v>1919</v>
      </c>
      <c r="C230" s="5" t="s">
        <v>1961</v>
      </c>
      <c r="D230" s="5" t="s">
        <v>2006</v>
      </c>
      <c r="E230" s="5" t="s">
        <v>2051</v>
      </c>
      <c r="F230" s="5" t="s">
        <v>2096</v>
      </c>
      <c r="G230" s="5" t="s">
        <v>2140</v>
      </c>
      <c r="H230" s="5" t="s">
        <v>2185</v>
      </c>
      <c r="I230" s="5" t="s">
        <v>2933</v>
      </c>
      <c r="J230" s="5" t="s">
        <v>3058</v>
      </c>
      <c r="K230" s="5" t="s">
        <v>3185</v>
      </c>
      <c r="L230" s="5" t="s">
        <v>3314</v>
      </c>
      <c r="M230" s="5" t="s">
        <v>3781</v>
      </c>
      <c r="N230" s="5" t="s">
        <v>3884</v>
      </c>
    </row>
    <row r="231" spans="1:14" x14ac:dyDescent="0.25">
      <c r="A231" s="12" t="s">
        <v>601</v>
      </c>
      <c r="B231" s="5" t="s">
        <v>1286</v>
      </c>
      <c r="C231" s="5" t="s">
        <v>1358</v>
      </c>
      <c r="D231" s="5" t="s">
        <v>1429</v>
      </c>
      <c r="E231" s="5" t="s">
        <v>1501</v>
      </c>
      <c r="F231" s="5" t="s">
        <v>1574</v>
      </c>
      <c r="G231" s="5" t="s">
        <v>1642</v>
      </c>
      <c r="H231" s="5" t="s">
        <v>1712</v>
      </c>
      <c r="I231" s="5" t="s">
        <v>2934</v>
      </c>
      <c r="J231" s="5" t="s">
        <v>3059</v>
      </c>
      <c r="K231" s="5" t="s">
        <v>3186</v>
      </c>
      <c r="L231" s="5" t="s">
        <v>3315</v>
      </c>
      <c r="M231" s="5" t="s">
        <v>3782</v>
      </c>
      <c r="N231" s="5" t="s">
        <v>3885</v>
      </c>
    </row>
    <row r="232" spans="1:14" x14ac:dyDescent="0.25">
      <c r="A232" s="12" t="s">
        <v>602</v>
      </c>
      <c r="B232" s="5" t="s">
        <v>1287</v>
      </c>
      <c r="C232" s="5" t="s">
        <v>1359</v>
      </c>
      <c r="D232" s="5" t="s">
        <v>1430</v>
      </c>
      <c r="E232" s="5" t="s">
        <v>1502</v>
      </c>
      <c r="F232" s="5" t="s">
        <v>1575</v>
      </c>
      <c r="G232" s="5" t="s">
        <v>1643</v>
      </c>
      <c r="H232" s="5" t="s">
        <v>1713</v>
      </c>
      <c r="I232" s="5" t="s">
        <v>2935</v>
      </c>
      <c r="J232" s="5" t="s">
        <v>3060</v>
      </c>
      <c r="K232" s="5" t="s">
        <v>3187</v>
      </c>
      <c r="L232" s="5" t="s">
        <v>3316</v>
      </c>
      <c r="M232" s="5" t="s">
        <v>3783</v>
      </c>
      <c r="N232" s="5" t="s">
        <v>3886</v>
      </c>
    </row>
    <row r="233" spans="1:14" x14ac:dyDescent="0.25">
      <c r="A233" s="12" t="s">
        <v>603</v>
      </c>
      <c r="B233" s="5" t="s">
        <v>1288</v>
      </c>
      <c r="C233" s="5" t="s">
        <v>1360</v>
      </c>
      <c r="D233" s="5" t="s">
        <v>1431</v>
      </c>
      <c r="E233" s="5" t="s">
        <v>1503</v>
      </c>
      <c r="F233" s="5" t="s">
        <v>1576</v>
      </c>
      <c r="G233" s="5" t="s">
        <v>1644</v>
      </c>
      <c r="H233" s="5" t="s">
        <v>1714</v>
      </c>
      <c r="I233" s="5" t="s">
        <v>2936</v>
      </c>
      <c r="J233" s="5" t="s">
        <v>3061</v>
      </c>
      <c r="K233" s="5" t="s">
        <v>3188</v>
      </c>
      <c r="L233" s="5" t="s">
        <v>3317</v>
      </c>
      <c r="M233" s="5" t="s">
        <v>3784</v>
      </c>
      <c r="N233" s="5" t="s">
        <v>3887</v>
      </c>
    </row>
    <row r="234" spans="1:14" x14ac:dyDescent="0.25">
      <c r="A234" s="12" t="s">
        <v>604</v>
      </c>
      <c r="B234" s="5" t="s">
        <v>1289</v>
      </c>
      <c r="C234" s="5" t="s">
        <v>1361</v>
      </c>
      <c r="D234" s="5" t="s">
        <v>1432</v>
      </c>
      <c r="E234" s="5" t="s">
        <v>1504</v>
      </c>
      <c r="F234" s="5" t="s">
        <v>1577</v>
      </c>
      <c r="G234" s="5" t="s">
        <v>1645</v>
      </c>
      <c r="H234" s="5" t="s">
        <v>1715</v>
      </c>
      <c r="I234" s="5" t="s">
        <v>2937</v>
      </c>
      <c r="J234" s="5" t="s">
        <v>3062</v>
      </c>
      <c r="K234" s="5" t="s">
        <v>3189</v>
      </c>
      <c r="L234" s="5" t="s">
        <v>3318</v>
      </c>
      <c r="M234" s="5" t="s">
        <v>3785</v>
      </c>
      <c r="N234" s="5" t="s">
        <v>3888</v>
      </c>
    </row>
    <row r="235" spans="1:14" x14ac:dyDescent="0.25">
      <c r="A235" s="12" t="s">
        <v>17</v>
      </c>
      <c r="B235" s="5" t="s">
        <v>1290</v>
      </c>
      <c r="C235" s="5" t="s">
        <v>1362</v>
      </c>
      <c r="D235" s="5" t="s">
        <v>1433</v>
      </c>
      <c r="E235" s="5" t="s">
        <v>1505</v>
      </c>
      <c r="F235" s="5" t="s">
        <v>1578</v>
      </c>
      <c r="G235" s="5" t="s">
        <v>1646</v>
      </c>
      <c r="H235" s="5" t="s">
        <v>1716</v>
      </c>
      <c r="I235" s="5" t="s">
        <v>2938</v>
      </c>
      <c r="J235" s="5" t="s">
        <v>3063</v>
      </c>
      <c r="K235" s="5" t="s">
        <v>3190</v>
      </c>
      <c r="L235" s="5" t="s">
        <v>3319</v>
      </c>
      <c r="M235" s="5" t="s">
        <v>3786</v>
      </c>
      <c r="N235" s="5" t="s">
        <v>2938</v>
      </c>
    </row>
    <row r="236" spans="1:14" x14ac:dyDescent="0.25">
      <c r="A236" s="12" t="s">
        <v>605</v>
      </c>
      <c r="B236" s="5" t="s">
        <v>1291</v>
      </c>
      <c r="C236" s="5" t="s">
        <v>1363</v>
      </c>
      <c r="D236" s="5" t="s">
        <v>1434</v>
      </c>
      <c r="E236" s="5" t="s">
        <v>1506</v>
      </c>
      <c r="F236" s="5" t="s">
        <v>1579</v>
      </c>
      <c r="G236" s="5" t="s">
        <v>605</v>
      </c>
      <c r="H236" s="5" t="s">
        <v>605</v>
      </c>
      <c r="I236" s="5" t="s">
        <v>2939</v>
      </c>
      <c r="J236" s="5" t="s">
        <v>3064</v>
      </c>
      <c r="K236" s="5" t="s">
        <v>3191</v>
      </c>
      <c r="L236" s="5" t="s">
        <v>3320</v>
      </c>
      <c r="M236" s="5" t="s">
        <v>605</v>
      </c>
      <c r="N236" s="5" t="s">
        <v>3889</v>
      </c>
    </row>
    <row r="237" spans="1:14" x14ac:dyDescent="0.25">
      <c r="A237" s="12" t="s">
        <v>606</v>
      </c>
      <c r="B237" s="5" t="s">
        <v>1292</v>
      </c>
      <c r="C237" s="5" t="s">
        <v>606</v>
      </c>
      <c r="D237" s="5" t="s">
        <v>1435</v>
      </c>
      <c r="E237" s="5" t="s">
        <v>1507</v>
      </c>
      <c r="F237" s="5" t="s">
        <v>1580</v>
      </c>
      <c r="G237" s="5" t="s">
        <v>606</v>
      </c>
      <c r="H237" s="5" t="s">
        <v>1717</v>
      </c>
      <c r="I237" s="5" t="s">
        <v>2940</v>
      </c>
      <c r="J237" s="5" t="s">
        <v>3065</v>
      </c>
      <c r="K237" s="5" t="s">
        <v>3192</v>
      </c>
      <c r="L237" s="5" t="s">
        <v>3321</v>
      </c>
      <c r="M237" s="5" t="s">
        <v>3787</v>
      </c>
      <c r="N237" s="5" t="s">
        <v>3890</v>
      </c>
    </row>
    <row r="238" spans="1:14" x14ac:dyDescent="0.25">
      <c r="A238" s="12" t="s">
        <v>340</v>
      </c>
      <c r="B238" s="5" t="s">
        <v>1293</v>
      </c>
      <c r="C238" s="5" t="s">
        <v>340</v>
      </c>
      <c r="D238" s="5" t="s">
        <v>399</v>
      </c>
      <c r="E238" s="5" t="s">
        <v>418</v>
      </c>
      <c r="F238" s="5" t="s">
        <v>435</v>
      </c>
      <c r="G238" s="5" t="s">
        <v>340</v>
      </c>
      <c r="H238" s="5" t="s">
        <v>340</v>
      </c>
      <c r="I238" s="5" t="s">
        <v>340</v>
      </c>
      <c r="J238" s="5" t="s">
        <v>2334</v>
      </c>
      <c r="K238" s="5" t="s">
        <v>2358</v>
      </c>
      <c r="L238" s="5" t="s">
        <v>2383</v>
      </c>
      <c r="M238" s="5" t="s">
        <v>3788</v>
      </c>
      <c r="N238" s="5" t="s">
        <v>3891</v>
      </c>
    </row>
    <row r="239" spans="1:14" x14ac:dyDescent="0.25">
      <c r="A239" s="12" t="s">
        <v>607</v>
      </c>
      <c r="B239" s="5" t="s">
        <v>1831</v>
      </c>
      <c r="C239" s="5" t="s">
        <v>1364</v>
      </c>
      <c r="D239" s="5" t="s">
        <v>1436</v>
      </c>
      <c r="E239" s="5" t="s">
        <v>1508</v>
      </c>
      <c r="F239" s="5" t="s">
        <v>1581</v>
      </c>
      <c r="G239" s="5" t="s">
        <v>1647</v>
      </c>
      <c r="H239" s="5" t="s">
        <v>1718</v>
      </c>
      <c r="I239" s="5" t="s">
        <v>2941</v>
      </c>
      <c r="J239" s="5" t="s">
        <v>3066</v>
      </c>
      <c r="K239" s="5" t="s">
        <v>3193</v>
      </c>
      <c r="L239" s="5" t="s">
        <v>3322</v>
      </c>
      <c r="M239" s="5" t="s">
        <v>3789</v>
      </c>
      <c r="N239" s="5" t="s">
        <v>3892</v>
      </c>
    </row>
    <row r="240" spans="1:14" x14ac:dyDescent="0.25">
      <c r="A240" s="12" t="s">
        <v>20</v>
      </c>
      <c r="B240" s="5" t="s">
        <v>1294</v>
      </c>
      <c r="C240" s="5" t="s">
        <v>1365</v>
      </c>
      <c r="D240" s="5" t="s">
        <v>1437</v>
      </c>
      <c r="E240" s="5" t="s">
        <v>1509</v>
      </c>
      <c r="F240" s="5" t="s">
        <v>1582</v>
      </c>
      <c r="G240" s="5" t="s">
        <v>1648</v>
      </c>
      <c r="H240" s="5" t="s">
        <v>1719</v>
      </c>
      <c r="I240" s="5" t="s">
        <v>2942</v>
      </c>
      <c r="J240" s="5" t="s">
        <v>3067</v>
      </c>
      <c r="K240" s="5" t="s">
        <v>3194</v>
      </c>
      <c r="L240" s="5" t="s">
        <v>3323</v>
      </c>
      <c r="M240" s="5" t="s">
        <v>3790</v>
      </c>
      <c r="N240" s="5" t="s">
        <v>3893</v>
      </c>
    </row>
    <row r="241" spans="1:14" x14ac:dyDescent="0.25">
      <c r="A241" s="12" t="s">
        <v>253</v>
      </c>
      <c r="B241" s="5" t="s">
        <v>254</v>
      </c>
      <c r="C241" s="5" t="s">
        <v>255</v>
      </c>
      <c r="D241" s="5" t="s">
        <v>256</v>
      </c>
      <c r="E241" s="5" t="s">
        <v>1510</v>
      </c>
      <c r="F241" s="5" t="s">
        <v>257</v>
      </c>
      <c r="G241" s="5" t="s">
        <v>258</v>
      </c>
      <c r="H241" s="5" t="s">
        <v>259</v>
      </c>
      <c r="I241" s="5" t="s">
        <v>3426</v>
      </c>
      <c r="J241" s="5" t="s">
        <v>3392</v>
      </c>
      <c r="K241" s="5" t="s">
        <v>3358</v>
      </c>
      <c r="L241" s="5" t="s">
        <v>3324</v>
      </c>
      <c r="M241" s="5" t="s">
        <v>3929</v>
      </c>
      <c r="N241" s="5" t="s">
        <v>3894</v>
      </c>
    </row>
    <row r="242" spans="1:14" x14ac:dyDescent="0.25">
      <c r="A242" s="12" t="s">
        <v>608</v>
      </c>
      <c r="B242" s="5" t="s">
        <v>1830</v>
      </c>
      <c r="C242" s="5" t="s">
        <v>1366</v>
      </c>
      <c r="D242" s="5" t="s">
        <v>1438</v>
      </c>
      <c r="E242" s="5" t="s">
        <v>1511</v>
      </c>
      <c r="F242" s="5" t="s">
        <v>1583</v>
      </c>
      <c r="G242" s="5" t="s">
        <v>1649</v>
      </c>
      <c r="H242" s="5" t="s">
        <v>1720</v>
      </c>
      <c r="I242" s="5" t="s">
        <v>3427</v>
      </c>
      <c r="J242" s="5" t="s">
        <v>3393</v>
      </c>
      <c r="K242" s="5" t="s">
        <v>3359</v>
      </c>
      <c r="L242" s="5" t="s">
        <v>3325</v>
      </c>
      <c r="M242" s="5" t="s">
        <v>3930</v>
      </c>
      <c r="N242" s="5" t="s">
        <v>3895</v>
      </c>
    </row>
    <row r="243" spans="1:14" x14ac:dyDescent="0.25">
      <c r="A243" s="12" t="s">
        <v>609</v>
      </c>
      <c r="B243" s="5" t="s">
        <v>1295</v>
      </c>
      <c r="C243" s="5" t="s">
        <v>1367</v>
      </c>
      <c r="D243" s="5" t="s">
        <v>1439</v>
      </c>
      <c r="E243" s="5" t="s">
        <v>1512</v>
      </c>
      <c r="F243" s="5" t="s">
        <v>1584</v>
      </c>
      <c r="G243" s="5" t="s">
        <v>1650</v>
      </c>
      <c r="H243" s="5" t="s">
        <v>1721</v>
      </c>
      <c r="I243" s="5" t="s">
        <v>3428</v>
      </c>
      <c r="J243" s="5" t="s">
        <v>3394</v>
      </c>
      <c r="K243" s="5" t="s">
        <v>3360</v>
      </c>
      <c r="L243" s="5" t="s">
        <v>3326</v>
      </c>
      <c r="M243" s="5" t="s">
        <v>3931</v>
      </c>
      <c r="N243" s="5" t="s">
        <v>3896</v>
      </c>
    </row>
    <row r="244" spans="1:14" x14ac:dyDescent="0.25">
      <c r="A244" s="12" t="s">
        <v>610</v>
      </c>
      <c r="B244" s="5" t="s">
        <v>1296</v>
      </c>
      <c r="C244" s="5" t="s">
        <v>1368</v>
      </c>
      <c r="D244" s="5" t="s">
        <v>1440</v>
      </c>
      <c r="E244" s="5" t="s">
        <v>1513</v>
      </c>
      <c r="F244" s="5" t="s">
        <v>1585</v>
      </c>
      <c r="G244" s="5" t="s">
        <v>1651</v>
      </c>
      <c r="H244" s="5" t="s">
        <v>1722</v>
      </c>
      <c r="I244" s="5" t="s">
        <v>3429</v>
      </c>
      <c r="J244" s="5" t="s">
        <v>3395</v>
      </c>
      <c r="K244" s="5" t="s">
        <v>3361</v>
      </c>
      <c r="L244" s="5" t="s">
        <v>3327</v>
      </c>
      <c r="M244" s="5" t="s">
        <v>3932</v>
      </c>
      <c r="N244" s="5" t="s">
        <v>3897</v>
      </c>
    </row>
    <row r="245" spans="1:14" x14ac:dyDescent="0.25">
      <c r="A245" s="12" t="s">
        <v>611</v>
      </c>
      <c r="B245" s="5" t="s">
        <v>1297</v>
      </c>
      <c r="C245" s="5" t="s">
        <v>1369</v>
      </c>
      <c r="D245" s="5" t="s">
        <v>1441</v>
      </c>
      <c r="E245" s="5" t="s">
        <v>1514</v>
      </c>
      <c r="F245" s="5" t="s">
        <v>1586</v>
      </c>
      <c r="G245" s="5" t="s">
        <v>1652</v>
      </c>
      <c r="H245" s="5" t="s">
        <v>1723</v>
      </c>
      <c r="I245" s="5" t="s">
        <v>3430</v>
      </c>
      <c r="J245" s="5" t="s">
        <v>3396</v>
      </c>
      <c r="K245" s="5" t="s">
        <v>3362</v>
      </c>
      <c r="L245" s="5" t="s">
        <v>3328</v>
      </c>
      <c r="M245" s="5" t="s">
        <v>3933</v>
      </c>
      <c r="N245" s="5" t="s">
        <v>3898</v>
      </c>
    </row>
    <row r="246" spans="1:14" x14ac:dyDescent="0.25">
      <c r="A246" s="12" t="s">
        <v>612</v>
      </c>
      <c r="B246" s="5" t="s">
        <v>1298</v>
      </c>
      <c r="C246" s="5" t="s">
        <v>1370</v>
      </c>
      <c r="D246" s="5" t="s">
        <v>1442</v>
      </c>
      <c r="E246" s="5" t="s">
        <v>1515</v>
      </c>
      <c r="F246" s="5" t="s">
        <v>1587</v>
      </c>
      <c r="G246" s="5" t="s">
        <v>1653</v>
      </c>
      <c r="H246" s="5" t="s">
        <v>1724</v>
      </c>
      <c r="I246" s="5" t="s">
        <v>3431</v>
      </c>
      <c r="J246" s="5" t="s">
        <v>3397</v>
      </c>
      <c r="K246" s="5" t="s">
        <v>3363</v>
      </c>
      <c r="L246" s="5" t="s">
        <v>3329</v>
      </c>
      <c r="M246" s="5" t="s">
        <v>3934</v>
      </c>
      <c r="N246" s="5" t="s">
        <v>3899</v>
      </c>
    </row>
    <row r="247" spans="1:14" x14ac:dyDescent="0.25">
      <c r="A247" s="12" t="s">
        <v>613</v>
      </c>
      <c r="B247" s="5" t="s">
        <v>1299</v>
      </c>
      <c r="C247" s="5" t="s">
        <v>1371</v>
      </c>
      <c r="D247" s="5" t="s">
        <v>1443</v>
      </c>
      <c r="E247" s="5" t="s">
        <v>1516</v>
      </c>
      <c r="F247" s="5" t="s">
        <v>1588</v>
      </c>
      <c r="G247" s="5" t="s">
        <v>1654</v>
      </c>
      <c r="H247" s="5" t="s">
        <v>1725</v>
      </c>
      <c r="I247" s="5" t="s">
        <v>3432</v>
      </c>
      <c r="J247" s="5" t="s">
        <v>3398</v>
      </c>
      <c r="K247" s="5" t="s">
        <v>3364</v>
      </c>
      <c r="L247" s="5" t="s">
        <v>3330</v>
      </c>
      <c r="M247" s="5" t="s">
        <v>3935</v>
      </c>
      <c r="N247" s="5" t="s">
        <v>3900</v>
      </c>
    </row>
    <row r="248" spans="1:14" x14ac:dyDescent="0.25">
      <c r="A248" s="12" t="s">
        <v>614</v>
      </c>
      <c r="B248" s="5" t="s">
        <v>1300</v>
      </c>
      <c r="C248" s="5" t="s">
        <v>1372</v>
      </c>
      <c r="D248" s="5" t="s">
        <v>1444</v>
      </c>
      <c r="E248" s="5" t="s">
        <v>1517</v>
      </c>
      <c r="F248" s="5" t="s">
        <v>1589</v>
      </c>
      <c r="G248" s="5" t="s">
        <v>1655</v>
      </c>
      <c r="H248" s="5" t="s">
        <v>1726</v>
      </c>
      <c r="I248" s="5" t="s">
        <v>3433</v>
      </c>
      <c r="J248" s="5" t="s">
        <v>3399</v>
      </c>
      <c r="K248" s="5" t="s">
        <v>3365</v>
      </c>
      <c r="L248" s="5" t="s">
        <v>3331</v>
      </c>
      <c r="M248" s="5" t="s">
        <v>3936</v>
      </c>
      <c r="N248" s="5" t="s">
        <v>3901</v>
      </c>
    </row>
    <row r="249" spans="1:14" x14ac:dyDescent="0.25">
      <c r="A249" s="12" t="s">
        <v>302</v>
      </c>
      <c r="B249" s="5" t="s">
        <v>1301</v>
      </c>
      <c r="C249" s="5" t="s">
        <v>303</v>
      </c>
      <c r="D249" s="5" t="s">
        <v>1445</v>
      </c>
      <c r="E249" s="5" t="s">
        <v>1518</v>
      </c>
      <c r="F249" s="5" t="s">
        <v>304</v>
      </c>
      <c r="G249" s="5" t="s">
        <v>305</v>
      </c>
      <c r="H249" s="5" t="s">
        <v>306</v>
      </c>
      <c r="I249" s="5" t="s">
        <v>3434</v>
      </c>
      <c r="J249" s="5" t="s">
        <v>3400</v>
      </c>
      <c r="K249" s="5" t="s">
        <v>3366</v>
      </c>
      <c r="L249" s="5" t="s">
        <v>3332</v>
      </c>
      <c r="M249" s="5" t="s">
        <v>3937</v>
      </c>
      <c r="N249" s="5" t="s">
        <v>3902</v>
      </c>
    </row>
    <row r="250" spans="1:14" x14ac:dyDescent="0.25">
      <c r="A250" s="12" t="s">
        <v>615</v>
      </c>
      <c r="B250" s="5" t="s">
        <v>1302</v>
      </c>
      <c r="C250" s="5" t="s">
        <v>1373</v>
      </c>
      <c r="D250" s="5" t="s">
        <v>1446</v>
      </c>
      <c r="E250" s="5" t="s">
        <v>1519</v>
      </c>
      <c r="F250" s="5" t="s">
        <v>1590</v>
      </c>
      <c r="G250" s="5" t="s">
        <v>1656</v>
      </c>
      <c r="H250" s="5" t="s">
        <v>1727</v>
      </c>
      <c r="I250" s="5" t="s">
        <v>3435</v>
      </c>
      <c r="J250" s="5" t="s">
        <v>3401</v>
      </c>
      <c r="K250" s="5" t="s">
        <v>3367</v>
      </c>
      <c r="L250" s="5" t="s">
        <v>3333</v>
      </c>
      <c r="M250" s="5" t="s">
        <v>3938</v>
      </c>
      <c r="N250" s="5" t="s">
        <v>3903</v>
      </c>
    </row>
    <row r="251" spans="1:14" x14ac:dyDescent="0.25">
      <c r="A251" s="12" t="s">
        <v>616</v>
      </c>
      <c r="B251" s="5" t="s">
        <v>1832</v>
      </c>
      <c r="C251" s="5" t="s">
        <v>1374</v>
      </c>
      <c r="D251" s="5" t="s">
        <v>1447</v>
      </c>
      <c r="E251" s="5" t="s">
        <v>1520</v>
      </c>
      <c r="F251" s="5" t="s">
        <v>1591</v>
      </c>
      <c r="G251" s="5" t="s">
        <v>1657</v>
      </c>
      <c r="H251" s="5" t="s">
        <v>1728</v>
      </c>
      <c r="I251" s="5" t="s">
        <v>3436</v>
      </c>
      <c r="J251" s="5" t="s">
        <v>3402</v>
      </c>
      <c r="K251" s="5" t="s">
        <v>3368</v>
      </c>
      <c r="L251" s="5" t="s">
        <v>3334</v>
      </c>
      <c r="M251" s="5" t="s">
        <v>3939</v>
      </c>
      <c r="N251" s="5" t="s">
        <v>3904</v>
      </c>
    </row>
    <row r="252" spans="1:14" x14ac:dyDescent="0.25">
      <c r="A252" s="12" t="s">
        <v>1847</v>
      </c>
      <c r="B252" s="5" t="s">
        <v>1928</v>
      </c>
      <c r="C252" s="5" t="s">
        <v>1971</v>
      </c>
      <c r="D252" s="5" t="s">
        <v>2016</v>
      </c>
      <c r="E252" s="5" t="s">
        <v>2061</v>
      </c>
      <c r="F252" s="5" t="s">
        <v>2106</v>
      </c>
      <c r="G252" s="5" t="s">
        <v>2150</v>
      </c>
      <c r="H252" s="5" t="s">
        <v>2195</v>
      </c>
      <c r="I252" s="5" t="s">
        <v>3437</v>
      </c>
      <c r="J252" s="5" t="s">
        <v>3403</v>
      </c>
      <c r="K252" s="5" t="s">
        <v>3369</v>
      </c>
      <c r="L252" s="5" t="s">
        <v>3335</v>
      </c>
      <c r="M252" s="5" t="s">
        <v>3940</v>
      </c>
      <c r="N252" s="5" t="s">
        <v>3905</v>
      </c>
    </row>
    <row r="253" spans="1:14" x14ac:dyDescent="0.25">
      <c r="A253" s="12" t="s">
        <v>1887</v>
      </c>
      <c r="B253" s="5" t="s">
        <v>1929</v>
      </c>
      <c r="C253" s="5" t="s">
        <v>1974</v>
      </c>
      <c r="D253" s="5" t="s">
        <v>2019</v>
      </c>
      <c r="E253" s="5" t="s">
        <v>2064</v>
      </c>
      <c r="F253" s="5" t="s">
        <v>2109</v>
      </c>
      <c r="G253" s="5" t="s">
        <v>2153</v>
      </c>
      <c r="H253" s="5" t="s">
        <v>2198</v>
      </c>
      <c r="I253" s="5" t="s">
        <v>3438</v>
      </c>
      <c r="J253" s="5" t="s">
        <v>3404</v>
      </c>
      <c r="K253" s="5" t="s">
        <v>3370</v>
      </c>
      <c r="L253" s="5" t="s">
        <v>3336</v>
      </c>
      <c r="M253" s="5" t="s">
        <v>3941</v>
      </c>
      <c r="N253" s="5" t="s">
        <v>3906</v>
      </c>
    </row>
    <row r="254" spans="1:14" x14ac:dyDescent="0.25">
      <c r="A254" s="12" t="s">
        <v>617</v>
      </c>
      <c r="B254" s="5" t="s">
        <v>1303</v>
      </c>
      <c r="C254" s="5" t="s">
        <v>1375</v>
      </c>
      <c r="D254" s="5" t="s">
        <v>1448</v>
      </c>
      <c r="E254" s="5" t="s">
        <v>1521</v>
      </c>
      <c r="F254" s="5" t="s">
        <v>1592</v>
      </c>
      <c r="G254" s="5" t="s">
        <v>1658</v>
      </c>
      <c r="H254" s="5" t="s">
        <v>1729</v>
      </c>
      <c r="I254" s="5" t="s">
        <v>3439</v>
      </c>
      <c r="J254" s="5" t="s">
        <v>3405</v>
      </c>
      <c r="K254" s="5" t="s">
        <v>3371</v>
      </c>
      <c r="L254" s="5" t="s">
        <v>3337</v>
      </c>
      <c r="M254" s="5" t="s">
        <v>3942</v>
      </c>
      <c r="N254" s="5" t="s">
        <v>3907</v>
      </c>
    </row>
    <row r="255" spans="1:14" x14ac:dyDescent="0.25">
      <c r="A255" s="12" t="s">
        <v>87</v>
      </c>
      <c r="B255" s="5" t="s">
        <v>374</v>
      </c>
      <c r="C255" s="5" t="s">
        <v>88</v>
      </c>
      <c r="D255" s="5" t="s">
        <v>89</v>
      </c>
      <c r="E255" s="5" t="s">
        <v>90</v>
      </c>
      <c r="F255" s="5" t="s">
        <v>91</v>
      </c>
      <c r="G255" s="5" t="s">
        <v>92</v>
      </c>
      <c r="H255" s="5" t="s">
        <v>93</v>
      </c>
      <c r="I255" s="5" t="s">
        <v>2332</v>
      </c>
      <c r="J255" s="5" t="s">
        <v>2356</v>
      </c>
      <c r="K255" s="5" t="s">
        <v>2381</v>
      </c>
      <c r="L255" s="5" t="s">
        <v>2405</v>
      </c>
      <c r="M255" s="5" t="s">
        <v>3943</v>
      </c>
      <c r="N255" s="5" t="s">
        <v>3908</v>
      </c>
    </row>
    <row r="256" spans="1:14" x14ac:dyDescent="0.25">
      <c r="A256" s="12" t="s">
        <v>618</v>
      </c>
      <c r="B256" s="5" t="s">
        <v>1304</v>
      </c>
      <c r="C256" s="5" t="s">
        <v>1376</v>
      </c>
      <c r="D256" s="5" t="s">
        <v>1449</v>
      </c>
      <c r="E256" s="5" t="s">
        <v>1522</v>
      </c>
      <c r="F256" s="5" t="s">
        <v>1593</v>
      </c>
      <c r="G256" s="5" t="s">
        <v>1659</v>
      </c>
      <c r="H256" s="5" t="s">
        <v>1730</v>
      </c>
      <c r="I256" s="5" t="s">
        <v>3440</v>
      </c>
      <c r="J256" s="5" t="s">
        <v>3406</v>
      </c>
      <c r="K256" s="5" t="s">
        <v>3372</v>
      </c>
      <c r="L256" s="5" t="s">
        <v>3338</v>
      </c>
      <c r="M256" s="5" t="s">
        <v>3944</v>
      </c>
      <c r="N256" s="5" t="s">
        <v>3909</v>
      </c>
    </row>
    <row r="257" spans="1:14" x14ac:dyDescent="0.25">
      <c r="A257" s="12" t="s">
        <v>619</v>
      </c>
      <c r="B257" s="5" t="s">
        <v>1305</v>
      </c>
      <c r="C257" s="5" t="s">
        <v>1377</v>
      </c>
      <c r="D257" s="5" t="s">
        <v>1450</v>
      </c>
      <c r="E257" s="5" t="s">
        <v>1523</v>
      </c>
      <c r="F257" s="5" t="s">
        <v>1594</v>
      </c>
      <c r="G257" s="5" t="s">
        <v>1660</v>
      </c>
      <c r="H257" s="5" t="s">
        <v>1731</v>
      </c>
      <c r="I257" s="5" t="s">
        <v>3441</v>
      </c>
      <c r="J257" s="5" t="s">
        <v>3407</v>
      </c>
      <c r="K257" s="5" t="s">
        <v>3373</v>
      </c>
      <c r="L257" s="5" t="s">
        <v>3339</v>
      </c>
      <c r="M257" s="5" t="s">
        <v>3945</v>
      </c>
      <c r="N257" s="5" t="s">
        <v>3910</v>
      </c>
    </row>
    <row r="258" spans="1:14" x14ac:dyDescent="0.25">
      <c r="A258" s="12" t="s">
        <v>620</v>
      </c>
      <c r="B258" s="5" t="s">
        <v>1306</v>
      </c>
      <c r="C258" s="5" t="s">
        <v>1378</v>
      </c>
      <c r="D258" s="5" t="s">
        <v>1451</v>
      </c>
      <c r="E258" s="5" t="s">
        <v>1524</v>
      </c>
      <c r="F258" s="5" t="s">
        <v>1595</v>
      </c>
      <c r="G258" s="5" t="s">
        <v>1661</v>
      </c>
      <c r="H258" s="5" t="s">
        <v>1732</v>
      </c>
      <c r="I258" s="5" t="s">
        <v>3442</v>
      </c>
      <c r="J258" s="5" t="s">
        <v>3408</v>
      </c>
      <c r="K258" s="5" t="s">
        <v>3374</v>
      </c>
      <c r="L258" s="5" t="s">
        <v>3340</v>
      </c>
      <c r="M258" s="5" t="s">
        <v>3946</v>
      </c>
      <c r="N258" s="5" t="s">
        <v>3911</v>
      </c>
    </row>
    <row r="259" spans="1:14" x14ac:dyDescent="0.25">
      <c r="A259" s="12" t="s">
        <v>621</v>
      </c>
      <c r="B259" s="5" t="s">
        <v>1307</v>
      </c>
      <c r="C259" s="5" t="s">
        <v>1379</v>
      </c>
      <c r="D259" s="5" t="s">
        <v>1452</v>
      </c>
      <c r="E259" s="5" t="s">
        <v>1525</v>
      </c>
      <c r="F259" s="5" t="s">
        <v>1596</v>
      </c>
      <c r="G259" s="5" t="s">
        <v>1662</v>
      </c>
      <c r="H259" s="5" t="s">
        <v>1733</v>
      </c>
      <c r="I259" s="5" t="s">
        <v>3443</v>
      </c>
      <c r="J259" s="5" t="s">
        <v>3409</v>
      </c>
      <c r="K259" s="5" t="s">
        <v>3375</v>
      </c>
      <c r="L259" s="5" t="s">
        <v>3341</v>
      </c>
      <c r="M259" s="5" t="s">
        <v>3947</v>
      </c>
      <c r="N259" s="5" t="s">
        <v>3912</v>
      </c>
    </row>
    <row r="260" spans="1:14" x14ac:dyDescent="0.25">
      <c r="A260" s="12" t="s">
        <v>622</v>
      </c>
      <c r="B260" s="5" t="s">
        <v>1308</v>
      </c>
      <c r="C260" s="5" t="s">
        <v>1380</v>
      </c>
      <c r="D260" s="5" t="s">
        <v>1453</v>
      </c>
      <c r="E260" s="5" t="s">
        <v>1526</v>
      </c>
      <c r="F260" s="5" t="s">
        <v>1597</v>
      </c>
      <c r="G260" s="5" t="s">
        <v>1663</v>
      </c>
      <c r="H260" s="5" t="s">
        <v>1734</v>
      </c>
      <c r="I260" s="5" t="s">
        <v>3444</v>
      </c>
      <c r="J260" s="5" t="s">
        <v>3410</v>
      </c>
      <c r="K260" s="5" t="s">
        <v>3376</v>
      </c>
      <c r="L260" s="5" t="s">
        <v>3342</v>
      </c>
      <c r="M260" s="5" t="s">
        <v>3948</v>
      </c>
      <c r="N260" s="5" t="s">
        <v>3913</v>
      </c>
    </row>
    <row r="261" spans="1:14" x14ac:dyDescent="0.25">
      <c r="A261" s="12" t="s">
        <v>623</v>
      </c>
      <c r="B261" s="5" t="s">
        <v>1309</v>
      </c>
      <c r="C261" s="5" t="s">
        <v>1381</v>
      </c>
      <c r="D261" s="5" t="s">
        <v>1454</v>
      </c>
      <c r="E261" s="5" t="s">
        <v>1527</v>
      </c>
      <c r="F261" s="5" t="s">
        <v>1598</v>
      </c>
      <c r="G261" s="5" t="s">
        <v>1664</v>
      </c>
      <c r="H261" s="5" t="s">
        <v>1735</v>
      </c>
      <c r="I261" s="5" t="s">
        <v>3445</v>
      </c>
      <c r="J261" s="5" t="s">
        <v>3411</v>
      </c>
      <c r="K261" s="5" t="s">
        <v>3377</v>
      </c>
      <c r="L261" s="5" t="s">
        <v>3343</v>
      </c>
      <c r="M261" s="5" t="s">
        <v>3949</v>
      </c>
      <c r="N261" s="5" t="s">
        <v>3914</v>
      </c>
    </row>
    <row r="262" spans="1:14" x14ac:dyDescent="0.25">
      <c r="A262" s="12" t="s">
        <v>624</v>
      </c>
      <c r="B262" s="5" t="s">
        <v>1810</v>
      </c>
      <c r="C262" s="5" t="s">
        <v>1798</v>
      </c>
      <c r="D262" s="5" t="s">
        <v>1785</v>
      </c>
      <c r="E262" s="5" t="s">
        <v>1773</v>
      </c>
      <c r="F262" s="5" t="s">
        <v>1761</v>
      </c>
      <c r="G262" s="5" t="s">
        <v>1748</v>
      </c>
      <c r="H262" s="5" t="s">
        <v>1741</v>
      </c>
      <c r="I262" s="5" t="s">
        <v>3446</v>
      </c>
      <c r="J262" s="5" t="s">
        <v>3412</v>
      </c>
      <c r="K262" s="5" t="s">
        <v>3378</v>
      </c>
      <c r="L262" s="5" t="s">
        <v>3344</v>
      </c>
      <c r="M262" s="5" t="s">
        <v>3950</v>
      </c>
      <c r="N262" s="5" t="s">
        <v>3915</v>
      </c>
    </row>
    <row r="263" spans="1:14" x14ac:dyDescent="0.25">
      <c r="A263" s="12" t="s">
        <v>625</v>
      </c>
      <c r="B263" s="5" t="s">
        <v>1811</v>
      </c>
      <c r="C263" s="5" t="s">
        <v>1799</v>
      </c>
      <c r="D263" s="5" t="s">
        <v>1786</v>
      </c>
      <c r="E263" s="5" t="s">
        <v>1774</v>
      </c>
      <c r="F263" s="5" t="s">
        <v>1762</v>
      </c>
      <c r="G263" s="5" t="s">
        <v>1749</v>
      </c>
      <c r="H263" s="5" t="s">
        <v>1742</v>
      </c>
      <c r="I263" s="5" t="s">
        <v>3447</v>
      </c>
      <c r="J263" s="5" t="s">
        <v>3413</v>
      </c>
      <c r="K263" s="5" t="s">
        <v>3379</v>
      </c>
      <c r="L263" s="5" t="s">
        <v>3345</v>
      </c>
      <c r="M263" s="5" t="s">
        <v>3951</v>
      </c>
      <c r="N263" s="5" t="s">
        <v>3916</v>
      </c>
    </row>
    <row r="264" spans="1:14" x14ac:dyDescent="0.25">
      <c r="A264" s="12" t="s">
        <v>626</v>
      </c>
      <c r="B264" s="5" t="s">
        <v>1812</v>
      </c>
      <c r="C264" s="5" t="s">
        <v>1800</v>
      </c>
      <c r="D264" s="5" t="s">
        <v>1787</v>
      </c>
      <c r="E264" s="5" t="s">
        <v>1775</v>
      </c>
      <c r="F264" s="5" t="s">
        <v>1763</v>
      </c>
      <c r="G264" s="5" t="s">
        <v>1750</v>
      </c>
      <c r="H264" s="5" t="s">
        <v>1743</v>
      </c>
      <c r="I264" s="5" t="s">
        <v>3448</v>
      </c>
      <c r="J264" s="5" t="s">
        <v>3414</v>
      </c>
      <c r="K264" s="5" t="s">
        <v>3380</v>
      </c>
      <c r="L264" s="5" t="s">
        <v>3346</v>
      </c>
      <c r="M264" s="5" t="s">
        <v>3952</v>
      </c>
      <c r="N264" s="5" t="s">
        <v>3917</v>
      </c>
    </row>
    <row r="265" spans="1:14" x14ac:dyDescent="0.25">
      <c r="A265" s="12" t="s">
        <v>627</v>
      </c>
      <c r="B265" s="5" t="s">
        <v>1813</v>
      </c>
      <c r="C265" s="5" t="s">
        <v>1801</v>
      </c>
      <c r="D265" s="5" t="s">
        <v>1788</v>
      </c>
      <c r="E265" s="5" t="s">
        <v>1776</v>
      </c>
      <c r="F265" s="5" t="s">
        <v>1764</v>
      </c>
      <c r="G265" s="5" t="s">
        <v>1751</v>
      </c>
      <c r="H265" s="5" t="s">
        <v>1744</v>
      </c>
      <c r="I265" s="5" t="s">
        <v>3449</v>
      </c>
      <c r="J265" s="5" t="s">
        <v>3415</v>
      </c>
      <c r="K265" s="5" t="s">
        <v>3381</v>
      </c>
      <c r="L265" s="5" t="s">
        <v>3347</v>
      </c>
      <c r="M265" s="5" t="s">
        <v>3953</v>
      </c>
      <c r="N265" s="5" t="s">
        <v>3918</v>
      </c>
    </row>
    <row r="266" spans="1:14" x14ac:dyDescent="0.25">
      <c r="A266" s="12" t="s">
        <v>628</v>
      </c>
      <c r="B266" s="5" t="s">
        <v>1814</v>
      </c>
      <c r="C266" s="5" t="s">
        <v>1802</v>
      </c>
      <c r="D266" s="5" t="s">
        <v>1789</v>
      </c>
      <c r="E266" s="5" t="s">
        <v>1777</v>
      </c>
      <c r="F266" s="5" t="s">
        <v>1765</v>
      </c>
      <c r="G266" s="5" t="s">
        <v>1752</v>
      </c>
      <c r="H266" s="5" t="s">
        <v>1745</v>
      </c>
      <c r="I266" s="5" t="s">
        <v>3450</v>
      </c>
      <c r="J266" s="5" t="s">
        <v>3416</v>
      </c>
      <c r="K266" s="5" t="s">
        <v>3382</v>
      </c>
      <c r="L266" s="5" t="s">
        <v>3348</v>
      </c>
      <c r="M266" s="5" t="s">
        <v>3954</v>
      </c>
      <c r="N266" s="5" t="s">
        <v>3919</v>
      </c>
    </row>
    <row r="267" spans="1:14" x14ac:dyDescent="0.25">
      <c r="A267" s="12" t="s">
        <v>629</v>
      </c>
      <c r="B267" s="5" t="s">
        <v>1846</v>
      </c>
      <c r="C267" s="5" t="s">
        <v>1803</v>
      </c>
      <c r="D267" s="5" t="s">
        <v>1790</v>
      </c>
      <c r="E267" s="5" t="s">
        <v>1778</v>
      </c>
      <c r="F267" s="5" t="s">
        <v>1766</v>
      </c>
      <c r="G267" s="5" t="s">
        <v>1753</v>
      </c>
      <c r="H267" s="5" t="s">
        <v>1746</v>
      </c>
      <c r="I267" s="5" t="s">
        <v>3451</v>
      </c>
      <c r="J267" s="5" t="s">
        <v>3417</v>
      </c>
      <c r="K267" s="5" t="s">
        <v>3383</v>
      </c>
      <c r="L267" s="5" t="s">
        <v>3349</v>
      </c>
      <c r="M267" s="5" t="s">
        <v>3955</v>
      </c>
      <c r="N267" s="5" t="s">
        <v>3920</v>
      </c>
    </row>
    <row r="268" spans="1:14" x14ac:dyDescent="0.25">
      <c r="A268" s="12" t="s">
        <v>630</v>
      </c>
      <c r="B268" s="5" t="s">
        <v>1815</v>
      </c>
      <c r="C268" s="5" t="s">
        <v>1804</v>
      </c>
      <c r="D268" s="5" t="s">
        <v>1791</v>
      </c>
      <c r="E268" s="5" t="s">
        <v>1779</v>
      </c>
      <c r="F268" s="5" t="s">
        <v>1767</v>
      </c>
      <c r="G268" s="5" t="s">
        <v>1754</v>
      </c>
      <c r="H268" s="5" t="s">
        <v>1747</v>
      </c>
      <c r="I268" s="5" t="s">
        <v>3452</v>
      </c>
      <c r="J268" s="5" t="s">
        <v>3418</v>
      </c>
      <c r="K268" s="5" t="s">
        <v>3384</v>
      </c>
      <c r="L268" s="5" t="s">
        <v>3350</v>
      </c>
      <c r="M268" s="5" t="s">
        <v>3956</v>
      </c>
      <c r="N268" s="5" t="s">
        <v>3921</v>
      </c>
    </row>
    <row r="269" spans="1:14" x14ac:dyDescent="0.25">
      <c r="A269" s="12" t="s">
        <v>13</v>
      </c>
      <c r="B269" s="5" t="s">
        <v>161</v>
      </c>
      <c r="C269" s="5" t="s">
        <v>162</v>
      </c>
      <c r="D269" s="5" t="s">
        <v>1792</v>
      </c>
      <c r="E269" s="5" t="s">
        <v>163</v>
      </c>
      <c r="F269" s="5" t="s">
        <v>4019</v>
      </c>
      <c r="G269" s="5" t="s">
        <v>1755</v>
      </c>
      <c r="H269" s="5" t="s">
        <v>164</v>
      </c>
      <c r="I269" s="5" t="s">
        <v>3453</v>
      </c>
      <c r="J269" s="5" t="s">
        <v>3419</v>
      </c>
      <c r="K269" s="5" t="s">
        <v>3385</v>
      </c>
      <c r="L269" s="5" t="s">
        <v>3351</v>
      </c>
      <c r="M269" s="5" t="s">
        <v>3957</v>
      </c>
      <c r="N269" s="5" t="s">
        <v>3922</v>
      </c>
    </row>
    <row r="270" spans="1:14" x14ac:dyDescent="0.25">
      <c r="A270" s="12" t="s">
        <v>631</v>
      </c>
      <c r="B270" s="5" t="s">
        <v>1816</v>
      </c>
      <c r="C270" s="5" t="s">
        <v>1805</v>
      </c>
      <c r="D270" s="5" t="s">
        <v>1793</v>
      </c>
      <c r="E270" s="5" t="s">
        <v>1780</v>
      </c>
      <c r="F270" s="5" t="s">
        <v>1768</v>
      </c>
      <c r="G270" s="5" t="s">
        <v>1756</v>
      </c>
      <c r="H270" s="5" t="s">
        <v>1736</v>
      </c>
      <c r="I270" s="5" t="s">
        <v>3454</v>
      </c>
      <c r="J270" s="5" t="s">
        <v>3420</v>
      </c>
      <c r="K270" s="5" t="s">
        <v>3386</v>
      </c>
      <c r="L270" s="5" t="s">
        <v>3352</v>
      </c>
      <c r="M270" s="5" t="s">
        <v>3958</v>
      </c>
      <c r="N270" s="5" t="s">
        <v>3923</v>
      </c>
    </row>
    <row r="271" spans="1:14" x14ac:dyDescent="0.25">
      <c r="A271" s="12" t="s">
        <v>32</v>
      </c>
      <c r="B271" s="5" t="s">
        <v>1820</v>
      </c>
      <c r="C271" s="5" t="s">
        <v>1806</v>
      </c>
      <c r="D271" s="5" t="s">
        <v>1794</v>
      </c>
      <c r="E271" s="5" t="s">
        <v>1781</v>
      </c>
      <c r="F271" s="5" t="s">
        <v>1769</v>
      </c>
      <c r="G271" s="5" t="s">
        <v>1757</v>
      </c>
      <c r="H271" s="5" t="s">
        <v>1737</v>
      </c>
      <c r="I271" s="5" t="s">
        <v>3455</v>
      </c>
      <c r="J271" s="5" t="s">
        <v>3421</v>
      </c>
      <c r="K271" s="5" t="s">
        <v>3387</v>
      </c>
      <c r="L271" s="5" t="s">
        <v>3353</v>
      </c>
      <c r="M271" s="5" t="s">
        <v>3959</v>
      </c>
      <c r="N271" s="5" t="s">
        <v>3924</v>
      </c>
    </row>
    <row r="272" spans="1:14" x14ac:dyDescent="0.25">
      <c r="A272" s="12" t="s">
        <v>28</v>
      </c>
      <c r="B272" s="5" t="s">
        <v>1819</v>
      </c>
      <c r="C272" s="5" t="s">
        <v>1807</v>
      </c>
      <c r="D272" s="5" t="s">
        <v>1795</v>
      </c>
      <c r="E272" s="5" t="s">
        <v>1782</v>
      </c>
      <c r="F272" s="5" t="s">
        <v>1770</v>
      </c>
      <c r="G272" s="5" t="s">
        <v>1758</v>
      </c>
      <c r="H272" s="5" t="s">
        <v>1738</v>
      </c>
      <c r="I272" s="5" t="s">
        <v>3456</v>
      </c>
      <c r="J272" s="5" t="s">
        <v>3422</v>
      </c>
      <c r="K272" s="5" t="s">
        <v>3388</v>
      </c>
      <c r="L272" s="5" t="s">
        <v>3354</v>
      </c>
      <c r="M272" s="5" t="s">
        <v>3960</v>
      </c>
      <c r="N272" s="5" t="s">
        <v>3925</v>
      </c>
    </row>
    <row r="273" spans="1:14" x14ac:dyDescent="0.25">
      <c r="A273" s="12" t="s">
        <v>632</v>
      </c>
      <c r="B273" s="5" t="s">
        <v>1817</v>
      </c>
      <c r="C273" s="5" t="s">
        <v>1808</v>
      </c>
      <c r="D273" s="5" t="s">
        <v>1796</v>
      </c>
      <c r="E273" s="5" t="s">
        <v>1783</v>
      </c>
      <c r="F273" s="5" t="s">
        <v>1771</v>
      </c>
      <c r="G273" s="5" t="s">
        <v>1759</v>
      </c>
      <c r="H273" s="5" t="s">
        <v>1739</v>
      </c>
      <c r="I273" s="5" t="s">
        <v>3457</v>
      </c>
      <c r="J273" s="5" t="s">
        <v>3423</v>
      </c>
      <c r="K273" s="5" t="s">
        <v>3389</v>
      </c>
      <c r="L273" s="5" t="s">
        <v>3355</v>
      </c>
      <c r="M273" s="5" t="s">
        <v>3961</v>
      </c>
      <c r="N273" s="5" t="s">
        <v>3926</v>
      </c>
    </row>
    <row r="274" spans="1:14" x14ac:dyDescent="0.25">
      <c r="A274" s="12" t="s">
        <v>633</v>
      </c>
      <c r="B274" s="5" t="s">
        <v>1818</v>
      </c>
      <c r="C274" s="5" t="s">
        <v>1809</v>
      </c>
      <c r="D274" s="5" t="s">
        <v>1797</v>
      </c>
      <c r="E274" s="5" t="s">
        <v>1784</v>
      </c>
      <c r="F274" s="5" t="s">
        <v>1772</v>
      </c>
      <c r="G274" s="5" t="s">
        <v>1760</v>
      </c>
      <c r="H274" s="5" t="s">
        <v>1740</v>
      </c>
      <c r="I274" s="5" t="s">
        <v>3458</v>
      </c>
      <c r="J274" s="5" t="s">
        <v>3424</v>
      </c>
      <c r="K274" s="5" t="s">
        <v>3390</v>
      </c>
      <c r="L274" s="5" t="s">
        <v>3356</v>
      </c>
      <c r="M274" s="5" t="s">
        <v>3962</v>
      </c>
      <c r="N274" s="5" t="s">
        <v>3927</v>
      </c>
    </row>
    <row r="275" spans="1:14" x14ac:dyDescent="0.25">
      <c r="A275" s="12" t="s">
        <v>2299</v>
      </c>
      <c r="B275" s="5" t="s">
        <v>2304</v>
      </c>
      <c r="C275" s="5" t="s">
        <v>2305</v>
      </c>
      <c r="D275" s="5" t="s">
        <v>2306</v>
      </c>
      <c r="E275" s="5" t="s">
        <v>2307</v>
      </c>
      <c r="F275" s="5" t="s">
        <v>2308</v>
      </c>
      <c r="G275" s="5" t="s">
        <v>2309</v>
      </c>
      <c r="H275" s="5" t="s">
        <v>2310</v>
      </c>
      <c r="I275" s="5" t="s">
        <v>3459</v>
      </c>
      <c r="J275" s="5" t="s">
        <v>3425</v>
      </c>
      <c r="K275" s="5" t="s">
        <v>3391</v>
      </c>
      <c r="L275" s="5" t="s">
        <v>3357</v>
      </c>
      <c r="M275" s="5" t="s">
        <v>3963</v>
      </c>
      <c r="N275" s="5" t="s">
        <v>3928</v>
      </c>
    </row>
    <row r="276" spans="1:14" x14ac:dyDescent="0.25">
      <c r="A276" s="12" t="s">
        <v>4003</v>
      </c>
      <c r="B276" s="5" t="s">
        <v>4004</v>
      </c>
      <c r="C276" s="5" t="s">
        <v>4007</v>
      </c>
      <c r="D276" s="5" t="s">
        <v>4010</v>
      </c>
      <c r="E276" s="5" t="s">
        <v>4013</v>
      </c>
      <c r="F276" s="5" t="s">
        <v>4016</v>
      </c>
      <c r="G276" s="5" t="s">
        <v>4020</v>
      </c>
      <c r="H276" s="5" t="s">
        <v>4023</v>
      </c>
      <c r="I276" s="5" t="s">
        <v>4026</v>
      </c>
      <c r="J276" s="5" t="s">
        <v>4029</v>
      </c>
      <c r="K276" s="5" t="s">
        <v>4032</v>
      </c>
      <c r="L276" s="5" t="s">
        <v>4035</v>
      </c>
      <c r="M276" s="5" t="s">
        <v>4038</v>
      </c>
      <c r="N276" s="5" t="s">
        <v>4041</v>
      </c>
    </row>
    <row r="277" spans="1:14" x14ac:dyDescent="0.25">
      <c r="A277" s="12" t="s">
        <v>3998</v>
      </c>
      <c r="B277" s="5" t="s">
        <v>4006</v>
      </c>
      <c r="C277" s="5" t="s">
        <v>4008</v>
      </c>
      <c r="D277" s="5" t="s">
        <v>4011</v>
      </c>
      <c r="E277" s="5" t="s">
        <v>4014</v>
      </c>
      <c r="F277" s="5" t="s">
        <v>4017</v>
      </c>
      <c r="G277" s="5" t="s">
        <v>4021</v>
      </c>
      <c r="H277" s="5" t="s">
        <v>4024</v>
      </c>
      <c r="I277" s="5" t="s">
        <v>4027</v>
      </c>
      <c r="J277" s="5" t="s">
        <v>4030</v>
      </c>
      <c r="K277" s="5" t="s">
        <v>4033</v>
      </c>
      <c r="L277" s="5" t="s">
        <v>4036</v>
      </c>
      <c r="M277" s="5" t="s">
        <v>4039</v>
      </c>
      <c r="N277" s="5" t="s">
        <v>4042</v>
      </c>
    </row>
    <row r="278" spans="1:14" x14ac:dyDescent="0.25">
      <c r="A278" s="12" t="s">
        <v>3999</v>
      </c>
      <c r="B278" s="5" t="s">
        <v>4005</v>
      </c>
      <c r="C278" s="5" t="s">
        <v>4009</v>
      </c>
      <c r="D278" s="5" t="s">
        <v>4012</v>
      </c>
      <c r="E278" s="5" t="s">
        <v>4015</v>
      </c>
      <c r="F278" s="5" t="s">
        <v>4018</v>
      </c>
      <c r="G278" s="5" t="s">
        <v>4022</v>
      </c>
      <c r="H278" s="5" t="s">
        <v>4025</v>
      </c>
      <c r="I278" s="5" t="s">
        <v>4028</v>
      </c>
      <c r="J278" s="5" t="s">
        <v>4031</v>
      </c>
      <c r="K278" s="5" t="s">
        <v>4034</v>
      </c>
      <c r="L278" s="5" t="s">
        <v>4037</v>
      </c>
      <c r="M278" s="5" t="s">
        <v>4040</v>
      </c>
      <c r="N278" s="5" t="s">
        <v>4043</v>
      </c>
    </row>
    <row r="279" spans="1:14" x14ac:dyDescent="0.25">
      <c r="A279" s="12" t="s">
        <v>4044</v>
      </c>
      <c r="B279" s="16" t="s">
        <v>4056</v>
      </c>
      <c r="C279" s="16" t="s">
        <v>4055</v>
      </c>
      <c r="D279" s="16" t="s">
        <v>4054</v>
      </c>
      <c r="E279" s="16" t="s">
        <v>4053</v>
      </c>
      <c r="F279" s="16" t="s">
        <v>4052</v>
      </c>
      <c r="G279" s="16" t="s">
        <v>4051</v>
      </c>
      <c r="H279" s="16" t="s">
        <v>4050</v>
      </c>
      <c r="I279" s="16" t="s">
        <v>4045</v>
      </c>
      <c r="J279" s="16" t="s">
        <v>4049</v>
      </c>
      <c r="K279" s="16" t="s">
        <v>4048</v>
      </c>
      <c r="L279" s="16" t="s">
        <v>4047</v>
      </c>
      <c r="M279" s="16" t="s">
        <v>4046</v>
      </c>
      <c r="N279" s="16" t="s">
        <v>4045</v>
      </c>
    </row>
    <row r="280" spans="1:14" x14ac:dyDescent="0.25">
      <c r="A280" s="12" t="s">
        <v>4073</v>
      </c>
      <c r="B280" s="16" t="s">
        <v>4075</v>
      </c>
      <c r="C280" s="16" t="s">
        <v>4074</v>
      </c>
      <c r="D280" s="16" t="s">
        <v>4076</v>
      </c>
      <c r="E280" s="16" t="s">
        <v>4077</v>
      </c>
      <c r="F280" s="16" t="s">
        <v>4078</v>
      </c>
      <c r="G280" s="16" t="s">
        <v>4079</v>
      </c>
      <c r="H280" s="16" t="s">
        <v>4080</v>
      </c>
      <c r="I280" s="16" t="s">
        <v>4081</v>
      </c>
      <c r="J280" s="16" t="s">
        <v>4082</v>
      </c>
      <c r="K280" s="16" t="s">
        <v>4083</v>
      </c>
      <c r="L280" s="16" t="s">
        <v>4084</v>
      </c>
      <c r="M280" s="16" t="s">
        <v>4085</v>
      </c>
      <c r="N280" s="16" t="s">
        <v>4086</v>
      </c>
    </row>
    <row r="281" spans="1:14" x14ac:dyDescent="0.25">
      <c r="A281" s="12" t="s">
        <v>4102</v>
      </c>
      <c r="B281" s="16" t="s">
        <v>4205</v>
      </c>
      <c r="C281" s="16" t="s">
        <v>4197</v>
      </c>
      <c r="D281" s="16" t="s">
        <v>4189</v>
      </c>
      <c r="E281" s="16" t="s">
        <v>4181</v>
      </c>
      <c r="F281" s="16" t="s">
        <v>4173</v>
      </c>
      <c r="G281" s="16" t="s">
        <v>4165</v>
      </c>
      <c r="H281" s="16" t="s">
        <v>4157</v>
      </c>
      <c r="I281" s="16" t="s">
        <v>4150</v>
      </c>
      <c r="J281" s="16" t="s">
        <v>4142</v>
      </c>
      <c r="K281" s="16" t="s">
        <v>4134</v>
      </c>
      <c r="L281" s="16" t="s">
        <v>4126</v>
      </c>
      <c r="M281" s="16" t="s">
        <v>4118</v>
      </c>
      <c r="N281" s="16" t="s">
        <v>4110</v>
      </c>
    </row>
    <row r="282" spans="1:14" x14ac:dyDescent="0.25">
      <c r="A282" s="12" t="s">
        <v>4103</v>
      </c>
      <c r="B282" s="16" t="s">
        <v>4206</v>
      </c>
      <c r="C282" s="16" t="s">
        <v>4198</v>
      </c>
      <c r="D282" s="16" t="s">
        <v>4190</v>
      </c>
      <c r="E282" s="16" t="s">
        <v>4182</v>
      </c>
      <c r="F282" s="16" t="s">
        <v>4174</v>
      </c>
      <c r="G282" s="16" t="s">
        <v>4166</v>
      </c>
      <c r="H282" s="16" t="s">
        <v>4158</v>
      </c>
      <c r="I282" s="16" t="s">
        <v>4111</v>
      </c>
      <c r="J282" s="16" t="s">
        <v>4143</v>
      </c>
      <c r="K282" s="16" t="s">
        <v>4135</v>
      </c>
      <c r="L282" s="16" t="s">
        <v>4127</v>
      </c>
      <c r="M282" s="16" t="s">
        <v>4119</v>
      </c>
      <c r="N282" s="16" t="s">
        <v>4111</v>
      </c>
    </row>
    <row r="283" spans="1:14" x14ac:dyDescent="0.25">
      <c r="A283" s="12" t="s">
        <v>4104</v>
      </c>
      <c r="B283" s="16" t="s">
        <v>4207</v>
      </c>
      <c r="C283" s="16" t="s">
        <v>4199</v>
      </c>
      <c r="D283" s="16" t="s">
        <v>4191</v>
      </c>
      <c r="E283" s="16" t="s">
        <v>4183</v>
      </c>
      <c r="F283" s="16" t="s">
        <v>4175</v>
      </c>
      <c r="G283" s="16" t="s">
        <v>4167</v>
      </c>
      <c r="H283" s="16" t="s">
        <v>4159</v>
      </c>
      <c r="I283" s="16" t="s">
        <v>4151</v>
      </c>
      <c r="J283" s="16" t="s">
        <v>4144</v>
      </c>
      <c r="K283" s="16" t="s">
        <v>4136</v>
      </c>
      <c r="L283" s="16" t="s">
        <v>4128</v>
      </c>
      <c r="M283" s="16" t="s">
        <v>4120</v>
      </c>
      <c r="N283" s="16" t="s">
        <v>4112</v>
      </c>
    </row>
    <row r="284" spans="1:14" x14ac:dyDescent="0.25">
      <c r="A284" s="12" t="s">
        <v>4105</v>
      </c>
      <c r="B284" s="16" t="s">
        <v>4208</v>
      </c>
      <c r="C284" s="16" t="s">
        <v>4200</v>
      </c>
      <c r="D284" s="16" t="s">
        <v>4192</v>
      </c>
      <c r="E284" s="16" t="s">
        <v>4184</v>
      </c>
      <c r="F284" s="16" t="s">
        <v>4176</v>
      </c>
      <c r="G284" s="16" t="s">
        <v>4168</v>
      </c>
      <c r="H284" s="16" t="s">
        <v>4160</v>
      </c>
      <c r="I284" s="16" t="s">
        <v>4152</v>
      </c>
      <c r="J284" s="16" t="s">
        <v>4145</v>
      </c>
      <c r="K284" s="16" t="s">
        <v>4137</v>
      </c>
      <c r="L284" s="16" t="s">
        <v>4129</v>
      </c>
      <c r="M284" s="16" t="s">
        <v>4121</v>
      </c>
      <c r="N284" s="16" t="s">
        <v>4113</v>
      </c>
    </row>
    <row r="285" spans="1:14" x14ac:dyDescent="0.25">
      <c r="A285" s="12" t="s">
        <v>4106</v>
      </c>
      <c r="B285" s="16" t="s">
        <v>4209</v>
      </c>
      <c r="C285" s="16" t="s">
        <v>4201</v>
      </c>
      <c r="D285" s="16" t="s">
        <v>4193</v>
      </c>
      <c r="E285" s="16" t="s">
        <v>4185</v>
      </c>
      <c r="F285" s="16" t="s">
        <v>4177</v>
      </c>
      <c r="G285" s="16" t="s">
        <v>4169</v>
      </c>
      <c r="H285" s="16" t="s">
        <v>4161</v>
      </c>
      <c r="I285" s="16" t="s">
        <v>4153</v>
      </c>
      <c r="J285" s="16" t="s">
        <v>4146</v>
      </c>
      <c r="K285" s="16" t="s">
        <v>4138</v>
      </c>
      <c r="L285" s="16" t="s">
        <v>4130</v>
      </c>
      <c r="M285" s="16" t="s">
        <v>4122</v>
      </c>
      <c r="N285" s="16" t="s">
        <v>4114</v>
      </c>
    </row>
    <row r="286" spans="1:14" x14ac:dyDescent="0.25">
      <c r="A286" s="12" t="s">
        <v>4107</v>
      </c>
      <c r="B286" s="16" t="s">
        <v>4210</v>
      </c>
      <c r="C286" s="16" t="s">
        <v>4202</v>
      </c>
      <c r="D286" s="16" t="s">
        <v>4194</v>
      </c>
      <c r="E286" s="16" t="s">
        <v>4186</v>
      </c>
      <c r="F286" s="16" t="s">
        <v>4178</v>
      </c>
      <c r="G286" s="16" t="s">
        <v>4170</v>
      </c>
      <c r="H286" s="16" t="s">
        <v>4162</v>
      </c>
      <c r="I286" s="16" t="s">
        <v>4154</v>
      </c>
      <c r="J286" s="16" t="s">
        <v>4147</v>
      </c>
      <c r="K286" s="16" t="s">
        <v>4139</v>
      </c>
      <c r="L286" s="16" t="s">
        <v>4131</v>
      </c>
      <c r="M286" s="16" t="s">
        <v>4123</v>
      </c>
      <c r="N286" s="16" t="s">
        <v>4115</v>
      </c>
    </row>
    <row r="287" spans="1:14" x14ac:dyDescent="0.25">
      <c r="A287" s="12" t="s">
        <v>4108</v>
      </c>
      <c r="B287" s="16" t="s">
        <v>4211</v>
      </c>
      <c r="C287" s="16" t="s">
        <v>4203</v>
      </c>
      <c r="D287" s="16" t="s">
        <v>4195</v>
      </c>
      <c r="E287" s="16" t="s">
        <v>4187</v>
      </c>
      <c r="F287" s="16" t="s">
        <v>4179</v>
      </c>
      <c r="G287" s="16" t="s">
        <v>4171</v>
      </c>
      <c r="H287" s="16" t="s">
        <v>4163</v>
      </c>
      <c r="I287" s="16" t="s">
        <v>4155</v>
      </c>
      <c r="J287" s="16" t="s">
        <v>4148</v>
      </c>
      <c r="K287" s="16" t="s">
        <v>4140</v>
      </c>
      <c r="L287" s="16" t="s">
        <v>4132</v>
      </c>
      <c r="M287" s="16" t="s">
        <v>4124</v>
      </c>
      <c r="N287" s="16" t="s">
        <v>4116</v>
      </c>
    </row>
    <row r="288" spans="1:14" x14ac:dyDescent="0.25">
      <c r="A288" s="12" t="s">
        <v>4109</v>
      </c>
      <c r="B288" s="16" t="s">
        <v>4212</v>
      </c>
      <c r="C288" s="16" t="s">
        <v>4204</v>
      </c>
      <c r="D288" s="16" t="s">
        <v>4196</v>
      </c>
      <c r="E288" s="16" t="s">
        <v>4188</v>
      </c>
      <c r="F288" s="16" t="s">
        <v>4180</v>
      </c>
      <c r="G288" s="16" t="s">
        <v>4172</v>
      </c>
      <c r="H288" s="16" t="s">
        <v>4164</v>
      </c>
      <c r="I288" s="16" t="s">
        <v>4156</v>
      </c>
      <c r="J288" s="16" t="s">
        <v>4149</v>
      </c>
      <c r="K288" s="16" t="s">
        <v>4141</v>
      </c>
      <c r="L288" s="16" t="s">
        <v>4133</v>
      </c>
      <c r="M288" s="16" t="s">
        <v>4125</v>
      </c>
      <c r="N288" s="16" t="s">
        <v>4117</v>
      </c>
    </row>
    <row r="289" spans="1:14" x14ac:dyDescent="0.25">
      <c r="A289" s="12" t="s">
        <v>4213</v>
      </c>
      <c r="B289" s="16" t="s">
        <v>4219</v>
      </c>
      <c r="C289" s="16" t="s">
        <v>4221</v>
      </c>
      <c r="D289" s="16" t="s">
        <v>4225</v>
      </c>
      <c r="E289" s="16" t="s">
        <v>4229</v>
      </c>
      <c r="F289" s="16" t="s">
        <v>4233</v>
      </c>
      <c r="G289" s="16" t="s">
        <v>4236</v>
      </c>
      <c r="H289" s="16" t="s">
        <v>4240</v>
      </c>
      <c r="I289" s="16" t="s">
        <v>4244</v>
      </c>
      <c r="J289" s="16" t="s">
        <v>4248</v>
      </c>
      <c r="K289" s="16" t="s">
        <v>4252</v>
      </c>
      <c r="L289" s="16" t="s">
        <v>4256</v>
      </c>
      <c r="M289" s="16" t="s">
        <v>4260</v>
      </c>
      <c r="N289" s="16" t="s">
        <v>4264</v>
      </c>
    </row>
    <row r="290" spans="1:14" x14ac:dyDescent="0.25">
      <c r="A290" s="12" t="s">
        <v>4214</v>
      </c>
      <c r="B290" s="16" t="s">
        <v>4220</v>
      </c>
      <c r="C290" s="16" t="s">
        <v>4222</v>
      </c>
      <c r="D290" s="16" t="s">
        <v>4226</v>
      </c>
      <c r="E290" s="16" t="s">
        <v>4230</v>
      </c>
      <c r="F290" s="16" t="s">
        <v>4230</v>
      </c>
      <c r="G290" s="16" t="s">
        <v>4237</v>
      </c>
      <c r="H290" s="16" t="s">
        <v>4241</v>
      </c>
      <c r="I290" s="16" t="s">
        <v>4245</v>
      </c>
      <c r="J290" s="16" t="s">
        <v>4249</v>
      </c>
      <c r="K290" s="16" t="s">
        <v>4253</v>
      </c>
      <c r="L290" s="16" t="s">
        <v>4257</v>
      </c>
      <c r="M290" s="16" t="s">
        <v>4261</v>
      </c>
      <c r="N290" s="16" t="s">
        <v>4257</v>
      </c>
    </row>
    <row r="291" spans="1:14" x14ac:dyDescent="0.25">
      <c r="A291" s="12" t="s">
        <v>4215</v>
      </c>
      <c r="B291" s="16" t="s">
        <v>4217</v>
      </c>
      <c r="C291" s="16" t="s">
        <v>4223</v>
      </c>
      <c r="D291" s="16" t="s">
        <v>4227</v>
      </c>
      <c r="E291" s="16" t="s">
        <v>4231</v>
      </c>
      <c r="F291" s="16" t="s">
        <v>4234</v>
      </c>
      <c r="G291" s="16" t="s">
        <v>4238</v>
      </c>
      <c r="H291" s="16" t="s">
        <v>4242</v>
      </c>
      <c r="I291" s="16" t="s">
        <v>4246</v>
      </c>
      <c r="J291" s="16" t="s">
        <v>4250</v>
      </c>
      <c r="K291" s="16" t="s">
        <v>4254</v>
      </c>
      <c r="L291" s="16" t="s">
        <v>4258</v>
      </c>
      <c r="M291" s="16" t="s">
        <v>4262</v>
      </c>
      <c r="N291" s="16" t="s">
        <v>4265</v>
      </c>
    </row>
    <row r="292" spans="1:14" x14ac:dyDescent="0.25">
      <c r="A292" s="12" t="s">
        <v>4216</v>
      </c>
      <c r="B292" s="16" t="s">
        <v>4218</v>
      </c>
      <c r="C292" s="16" t="s">
        <v>4224</v>
      </c>
      <c r="D292" s="16" t="s">
        <v>4228</v>
      </c>
      <c r="E292" s="16" t="s">
        <v>4232</v>
      </c>
      <c r="F292" s="16" t="s">
        <v>4235</v>
      </c>
      <c r="G292" s="16" t="s">
        <v>4239</v>
      </c>
      <c r="H292" s="16" t="s">
        <v>4243</v>
      </c>
      <c r="I292" s="16" t="s">
        <v>4247</v>
      </c>
      <c r="J292" s="16" t="s">
        <v>4251</v>
      </c>
      <c r="K292" s="16" t="s">
        <v>4255</v>
      </c>
      <c r="L292" s="16" t="s">
        <v>4259</v>
      </c>
      <c r="M292" s="16" t="s">
        <v>4263</v>
      </c>
      <c r="N292" s="16" t="s">
        <v>4266</v>
      </c>
    </row>
  </sheetData>
  <sortState xmlns:xlrd2="http://schemas.microsoft.com/office/spreadsheetml/2017/richdata2" ref="A2:H274">
    <sortCondition ref="A2:A274"/>
  </sortState>
  <hyperlinks>
    <hyperlink ref="B272" r:id="rId1" xr:uid="{00000000-0004-0000-0300-000000000000}"/>
  </hyperlinks>
  <pageMargins left="0.7" right="0.7" top="0.75" bottom="0.75" header="0.3" footer="0.3"/>
  <pageSetup paperSize="9"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B35DE-2F8D-4A61-AA4F-7C94561F7A15}">
  <dimension ref="A1:L737"/>
  <sheetViews>
    <sheetView tabSelected="1" topLeftCell="A699" workbookViewId="0">
      <selection activeCell="D737" sqref="D737"/>
    </sheetView>
  </sheetViews>
  <sheetFormatPr baseColWidth="10" defaultRowHeight="15" x14ac:dyDescent="0.25"/>
  <cols>
    <col min="1" max="1" width="13.85546875" bestFit="1" customWidth="1"/>
    <col min="2" max="2" width="47.85546875" customWidth="1"/>
    <col min="3" max="3" width="37.5703125" customWidth="1"/>
    <col min="4" max="4" width="18.7109375" customWidth="1"/>
    <col min="5" max="5" width="17.140625" customWidth="1"/>
    <col min="6" max="6" width="41.28515625" customWidth="1"/>
    <col min="7" max="7" width="33.85546875" customWidth="1"/>
    <col min="8" max="8" width="38.140625" customWidth="1"/>
    <col min="9" max="9" width="16.7109375" bestFit="1" customWidth="1"/>
    <col min="10" max="10" width="18.140625" bestFit="1" customWidth="1"/>
    <col min="11" max="11" width="19.28515625" bestFit="1" customWidth="1"/>
    <col min="12" max="12" width="5.7109375" bestFit="1" customWidth="1"/>
  </cols>
  <sheetData>
    <row r="1" spans="1:12" x14ac:dyDescent="0.25">
      <c r="A1" s="70" t="s">
        <v>882</v>
      </c>
      <c r="B1" s="30" t="s">
        <v>193</v>
      </c>
      <c r="C1" s="30" t="s">
        <v>831</v>
      </c>
      <c r="D1" s="30" t="s">
        <v>880</v>
      </c>
      <c r="E1" s="30" t="s">
        <v>887</v>
      </c>
      <c r="F1" s="30" t="s">
        <v>1426</v>
      </c>
      <c r="G1" s="30" t="s">
        <v>1425</v>
      </c>
      <c r="H1" s="30" t="s">
        <v>892</v>
      </c>
      <c r="I1" s="30" t="s">
        <v>1406</v>
      </c>
      <c r="J1" s="30" t="s">
        <v>1390</v>
      </c>
      <c r="K1" s="30" t="s">
        <v>850</v>
      </c>
      <c r="L1" s="30" t="s">
        <v>200</v>
      </c>
    </row>
    <row r="2" spans="1:12" x14ac:dyDescent="0.25">
      <c r="A2" s="71">
        <v>0</v>
      </c>
      <c r="B2" t="s">
        <v>4335</v>
      </c>
      <c r="C2" s="97" t="s">
        <v>5138</v>
      </c>
      <c r="D2" s="96">
        <v>-12.072199100000001</v>
      </c>
      <c r="E2" s="96">
        <v>-77.002365100000006</v>
      </c>
      <c r="F2" s="73">
        <v>0.375</v>
      </c>
      <c r="G2" s="73">
        <v>0.75</v>
      </c>
      <c r="H2" s="36" t="s">
        <v>1412</v>
      </c>
      <c r="I2" s="37">
        <v>0</v>
      </c>
      <c r="J2" s="36">
        <v>0</v>
      </c>
      <c r="K2" s="36">
        <v>0</v>
      </c>
      <c r="L2" s="36">
        <v>0</v>
      </c>
    </row>
    <row r="3" spans="1:12" x14ac:dyDescent="0.25">
      <c r="A3" s="23">
        <v>1</v>
      </c>
      <c r="B3" t="s">
        <v>4336</v>
      </c>
      <c r="C3" s="97" t="s">
        <v>5138</v>
      </c>
      <c r="D3" s="96">
        <v>-12.072199100000001</v>
      </c>
      <c r="E3" s="96">
        <v>-77.002365100000006</v>
      </c>
      <c r="F3" s="74">
        <v>0.375</v>
      </c>
      <c r="G3" s="74">
        <v>0.75</v>
      </c>
      <c r="H3" s="44" t="s">
        <v>1412</v>
      </c>
      <c r="I3" s="45">
        <v>0</v>
      </c>
      <c r="J3" s="44">
        <v>0</v>
      </c>
      <c r="K3" s="44">
        <v>0</v>
      </c>
      <c r="L3" s="44">
        <v>0</v>
      </c>
    </row>
    <row r="4" spans="1:12" ht="15.75" thickBot="1" x14ac:dyDescent="0.3">
      <c r="A4" s="23">
        <v>2</v>
      </c>
      <c r="B4" t="s">
        <v>4337</v>
      </c>
      <c r="C4" s="97" t="s">
        <v>5138</v>
      </c>
      <c r="D4" s="96" t="s">
        <v>5022</v>
      </c>
      <c r="E4" s="96" t="s">
        <v>5080</v>
      </c>
      <c r="F4" s="75">
        <v>0.375</v>
      </c>
      <c r="G4" s="75">
        <v>0.75</v>
      </c>
      <c r="H4" s="44" t="s">
        <v>1412</v>
      </c>
      <c r="I4" s="45">
        <v>0</v>
      </c>
      <c r="J4" s="44">
        <v>0</v>
      </c>
      <c r="K4" s="44">
        <v>0</v>
      </c>
      <c r="L4" s="44">
        <v>0</v>
      </c>
    </row>
    <row r="5" spans="1:12" ht="15.75" thickTop="1" x14ac:dyDescent="0.25">
      <c r="A5" s="20">
        <v>3</v>
      </c>
      <c r="B5" t="s">
        <v>4337</v>
      </c>
      <c r="C5" s="97" t="s">
        <v>5138</v>
      </c>
      <c r="D5" s="96">
        <v>-12.064364599999999</v>
      </c>
      <c r="E5" s="96">
        <v>-76.960468000000006</v>
      </c>
      <c r="F5" s="76">
        <v>0.375</v>
      </c>
      <c r="G5" s="76">
        <v>0.75</v>
      </c>
      <c r="H5" s="31" t="s">
        <v>891</v>
      </c>
      <c r="I5" s="34">
        <v>8.3333333333333329E-2</v>
      </c>
      <c r="J5" s="31"/>
      <c r="K5" s="31">
        <v>0</v>
      </c>
      <c r="L5" s="31">
        <v>0</v>
      </c>
    </row>
    <row r="6" spans="1:12" x14ac:dyDescent="0.25">
      <c r="A6" s="23">
        <v>4</v>
      </c>
      <c r="B6" t="s">
        <v>4337</v>
      </c>
      <c r="C6" s="97" t="s">
        <v>5138</v>
      </c>
      <c r="D6" s="96">
        <v>-11.9711029</v>
      </c>
      <c r="E6" s="96">
        <v>-76.753427500000001</v>
      </c>
      <c r="F6" s="75">
        <v>0.375</v>
      </c>
      <c r="G6" s="75">
        <v>0.75</v>
      </c>
      <c r="H6" s="32" t="s">
        <v>891</v>
      </c>
      <c r="I6" s="35">
        <v>8.3333333333333329E-2</v>
      </c>
      <c r="J6" s="32"/>
      <c r="K6" s="32">
        <v>0</v>
      </c>
      <c r="L6" s="32">
        <v>0</v>
      </c>
    </row>
    <row r="7" spans="1:12" x14ac:dyDescent="0.25">
      <c r="A7" s="23">
        <v>5</v>
      </c>
      <c r="B7" t="s">
        <v>4338</v>
      </c>
      <c r="C7" s="97" t="s">
        <v>5138</v>
      </c>
      <c r="D7" s="96" t="s">
        <v>5023</v>
      </c>
      <c r="E7" s="96" t="s">
        <v>5081</v>
      </c>
      <c r="F7" s="74">
        <v>0.375</v>
      </c>
      <c r="G7" s="74">
        <v>0.75</v>
      </c>
      <c r="H7" s="33" t="s">
        <v>891</v>
      </c>
      <c r="I7" s="77">
        <v>5.5555555555555552E-2</v>
      </c>
      <c r="J7" s="33"/>
      <c r="K7" s="33">
        <v>0</v>
      </c>
      <c r="L7" s="33">
        <v>0</v>
      </c>
    </row>
    <row r="8" spans="1:12" x14ac:dyDescent="0.25">
      <c r="A8" s="23">
        <v>6</v>
      </c>
      <c r="B8" t="s">
        <v>4339</v>
      </c>
      <c r="C8" s="97" t="s">
        <v>5138</v>
      </c>
      <c r="D8" s="96">
        <v>-12.076704899999999</v>
      </c>
      <c r="E8" s="96">
        <v>-77.088834000000006</v>
      </c>
      <c r="F8" s="75">
        <v>0.375</v>
      </c>
      <c r="G8" s="75">
        <v>0.75</v>
      </c>
      <c r="H8" s="32" t="s">
        <v>891</v>
      </c>
      <c r="I8" s="35">
        <v>0.16666666666666666</v>
      </c>
      <c r="J8" s="32"/>
      <c r="K8" s="32">
        <v>0</v>
      </c>
      <c r="L8" s="32">
        <v>0</v>
      </c>
    </row>
    <row r="9" spans="1:12" x14ac:dyDescent="0.25">
      <c r="A9" s="23">
        <v>7</v>
      </c>
      <c r="B9" t="s">
        <v>4340</v>
      </c>
      <c r="C9" s="97" t="s">
        <v>5138</v>
      </c>
      <c r="D9" s="96">
        <v>-12.0598008</v>
      </c>
      <c r="E9" s="96">
        <v>-77.073287399999998</v>
      </c>
      <c r="F9" s="74">
        <v>0.375</v>
      </c>
      <c r="G9" s="74">
        <v>0.75</v>
      </c>
      <c r="H9" s="33" t="s">
        <v>891</v>
      </c>
      <c r="I9" s="77">
        <v>5.5555555555555552E-2</v>
      </c>
      <c r="J9" s="33"/>
      <c r="K9" s="33">
        <v>0</v>
      </c>
      <c r="L9" s="33">
        <v>0</v>
      </c>
    </row>
    <row r="10" spans="1:12" x14ac:dyDescent="0.25">
      <c r="A10" s="23">
        <v>8</v>
      </c>
      <c r="B10" t="s">
        <v>4341</v>
      </c>
      <c r="C10" s="97" t="s">
        <v>5138</v>
      </c>
      <c r="D10" s="96" t="s">
        <v>5024</v>
      </c>
      <c r="E10" s="96" t="s">
        <v>5082</v>
      </c>
      <c r="F10" s="75">
        <v>0.375</v>
      </c>
      <c r="G10" s="75">
        <v>0.75</v>
      </c>
      <c r="H10" s="32" t="s">
        <v>891</v>
      </c>
      <c r="I10" s="35">
        <v>5.5555555555555552E-2</v>
      </c>
      <c r="J10" s="32"/>
      <c r="K10" s="32">
        <v>0</v>
      </c>
      <c r="L10" s="32">
        <v>0</v>
      </c>
    </row>
    <row r="11" spans="1:12" x14ac:dyDescent="0.25">
      <c r="A11" s="23">
        <v>9</v>
      </c>
      <c r="B11" t="s">
        <v>4342</v>
      </c>
      <c r="C11" s="97" t="s">
        <v>5138</v>
      </c>
      <c r="D11" s="96">
        <v>-11.9744805</v>
      </c>
      <c r="E11" s="96">
        <v>-77.002573999999996</v>
      </c>
      <c r="F11" s="74">
        <v>0.375</v>
      </c>
      <c r="G11" s="74">
        <v>0.75</v>
      </c>
      <c r="H11" s="33" t="s">
        <v>891</v>
      </c>
      <c r="I11" s="77">
        <v>5.5555555555555552E-2</v>
      </c>
      <c r="J11" s="33"/>
      <c r="K11" s="33">
        <v>0</v>
      </c>
      <c r="L11" s="33">
        <v>0</v>
      </c>
    </row>
    <row r="12" spans="1:12" x14ac:dyDescent="0.25">
      <c r="A12" s="23">
        <v>10</v>
      </c>
      <c r="B12" t="s">
        <v>4343</v>
      </c>
      <c r="C12" s="97" t="s">
        <v>5138</v>
      </c>
      <c r="D12" s="96">
        <v>-12.1167728</v>
      </c>
      <c r="E12" s="96">
        <v>-77.029634099999996</v>
      </c>
      <c r="F12" s="75">
        <v>0.375</v>
      </c>
      <c r="G12" s="75">
        <v>0.75</v>
      </c>
      <c r="H12" s="32" t="s">
        <v>891</v>
      </c>
      <c r="I12" s="35">
        <v>5.5555555555555552E-2</v>
      </c>
      <c r="J12" s="32"/>
      <c r="K12" s="32">
        <v>0</v>
      </c>
      <c r="L12" s="32">
        <v>0</v>
      </c>
    </row>
    <row r="13" spans="1:12" x14ac:dyDescent="0.25">
      <c r="A13" s="23">
        <v>11</v>
      </c>
      <c r="B13" t="s">
        <v>4344</v>
      </c>
      <c r="C13" s="97" t="s">
        <v>5138</v>
      </c>
      <c r="D13" s="96">
        <v>-12.092487800000001</v>
      </c>
      <c r="E13" s="96">
        <v>-77.031754800000002</v>
      </c>
      <c r="F13" s="74">
        <v>0.375</v>
      </c>
      <c r="G13" s="74">
        <v>0.75</v>
      </c>
      <c r="H13" s="33" t="s">
        <v>891</v>
      </c>
      <c r="I13" s="77">
        <v>5.5555555555555552E-2</v>
      </c>
      <c r="J13" s="33"/>
      <c r="K13" s="33">
        <v>0</v>
      </c>
      <c r="L13" s="33">
        <v>0</v>
      </c>
    </row>
    <row r="14" spans="1:12" x14ac:dyDescent="0.25">
      <c r="A14" s="23">
        <v>12</v>
      </c>
      <c r="B14" t="s">
        <v>4345</v>
      </c>
      <c r="C14" s="97" t="s">
        <v>5138</v>
      </c>
      <c r="D14" s="96">
        <v>-12.074638200000001</v>
      </c>
      <c r="E14" s="96">
        <v>-76.963822199999996</v>
      </c>
      <c r="F14" s="75">
        <v>0.375</v>
      </c>
      <c r="G14" s="75">
        <v>0.75</v>
      </c>
      <c r="H14" s="32" t="s">
        <v>891</v>
      </c>
      <c r="I14" s="35">
        <v>5.5555555555555552E-2</v>
      </c>
      <c r="J14" s="32"/>
      <c r="K14" s="32">
        <v>0</v>
      </c>
      <c r="L14" s="32">
        <v>0</v>
      </c>
    </row>
    <row r="15" spans="1:12" x14ac:dyDescent="0.25">
      <c r="A15" s="23">
        <v>13</v>
      </c>
      <c r="B15" t="s">
        <v>4346</v>
      </c>
      <c r="C15" s="97" t="s">
        <v>5138</v>
      </c>
      <c r="D15" s="96">
        <v>-12.1089684</v>
      </c>
      <c r="E15" s="96">
        <v>-77.0303124</v>
      </c>
      <c r="F15" s="74">
        <v>0.375</v>
      </c>
      <c r="G15" s="74">
        <v>0.75</v>
      </c>
      <c r="H15" s="33" t="s">
        <v>891</v>
      </c>
      <c r="I15" s="77">
        <v>5.5555555555555552E-2</v>
      </c>
      <c r="J15" s="33"/>
      <c r="K15" s="33">
        <v>0</v>
      </c>
      <c r="L15" s="33">
        <v>0</v>
      </c>
    </row>
    <row r="16" spans="1:12" x14ac:dyDescent="0.25">
      <c r="A16" s="23">
        <v>14</v>
      </c>
      <c r="B16" t="s">
        <v>4347</v>
      </c>
      <c r="C16" s="97" t="s">
        <v>5138</v>
      </c>
      <c r="D16" s="96">
        <v>-12.077358500000001</v>
      </c>
      <c r="E16" s="96">
        <v>-76.9178268</v>
      </c>
      <c r="F16" s="75">
        <v>0.375</v>
      </c>
      <c r="G16" s="75">
        <v>0.75</v>
      </c>
      <c r="H16" s="32" t="s">
        <v>891</v>
      </c>
      <c r="I16" s="35">
        <v>5.5555555555555552E-2</v>
      </c>
      <c r="J16" s="32"/>
      <c r="K16" s="32">
        <v>0</v>
      </c>
      <c r="L16" s="32">
        <v>0</v>
      </c>
    </row>
    <row r="17" spans="1:12" x14ac:dyDescent="0.25">
      <c r="A17" s="23">
        <v>15</v>
      </c>
      <c r="B17" t="s">
        <v>4348</v>
      </c>
      <c r="C17" s="97" t="s">
        <v>5138</v>
      </c>
      <c r="D17" s="96" t="s">
        <v>5025</v>
      </c>
      <c r="E17" s="96" t="s">
        <v>5083</v>
      </c>
      <c r="F17" s="74">
        <v>0.375</v>
      </c>
      <c r="G17" s="74">
        <v>0.75</v>
      </c>
      <c r="H17" s="33" t="s">
        <v>891</v>
      </c>
      <c r="I17" s="77">
        <v>5.5555555555555552E-2</v>
      </c>
      <c r="J17" s="33"/>
      <c r="K17" s="33">
        <v>0</v>
      </c>
      <c r="L17" s="33">
        <v>0</v>
      </c>
    </row>
    <row r="18" spans="1:12" x14ac:dyDescent="0.25">
      <c r="A18" s="23">
        <v>16</v>
      </c>
      <c r="B18" t="s">
        <v>4349</v>
      </c>
      <c r="C18" s="97" t="s">
        <v>5138</v>
      </c>
      <c r="D18" s="96" t="s">
        <v>5026</v>
      </c>
      <c r="E18" s="96" t="s">
        <v>5084</v>
      </c>
      <c r="F18" s="75">
        <v>0.375</v>
      </c>
      <c r="G18" s="75">
        <v>0.75</v>
      </c>
      <c r="H18" s="32" t="s">
        <v>891</v>
      </c>
      <c r="I18" s="35">
        <v>5.5555555555555552E-2</v>
      </c>
      <c r="J18" s="32"/>
      <c r="K18" s="32">
        <v>0</v>
      </c>
      <c r="L18" s="32">
        <v>0</v>
      </c>
    </row>
    <row r="19" spans="1:12" x14ac:dyDescent="0.25">
      <c r="A19" s="23">
        <v>17</v>
      </c>
      <c r="B19" t="s">
        <v>4350</v>
      </c>
      <c r="C19" s="97" t="s">
        <v>5138</v>
      </c>
      <c r="D19" s="96" t="s">
        <v>5027</v>
      </c>
      <c r="E19" s="96" t="s">
        <v>5085</v>
      </c>
      <c r="F19" s="74">
        <v>0.375</v>
      </c>
      <c r="G19" s="74">
        <v>0.75</v>
      </c>
      <c r="H19" s="33" t="s">
        <v>891</v>
      </c>
      <c r="I19" s="77">
        <v>5.5555555555555552E-2</v>
      </c>
      <c r="J19" s="33"/>
      <c r="K19" s="33">
        <v>0</v>
      </c>
      <c r="L19" s="33">
        <v>0</v>
      </c>
    </row>
    <row r="20" spans="1:12" x14ac:dyDescent="0.25">
      <c r="A20" s="23">
        <v>18</v>
      </c>
      <c r="B20" t="s">
        <v>4351</v>
      </c>
      <c r="C20" s="97" t="s">
        <v>5138</v>
      </c>
      <c r="D20" s="96" t="s">
        <v>5028</v>
      </c>
      <c r="E20" s="96" t="s">
        <v>5086</v>
      </c>
      <c r="F20" s="75">
        <v>0.375</v>
      </c>
      <c r="G20" s="75">
        <v>0.75</v>
      </c>
      <c r="H20" s="32" t="s">
        <v>891</v>
      </c>
      <c r="I20" s="35">
        <v>5.5555555555555552E-2</v>
      </c>
      <c r="J20" s="32"/>
      <c r="K20" s="32">
        <v>0</v>
      </c>
      <c r="L20" s="32">
        <v>0</v>
      </c>
    </row>
    <row r="21" spans="1:12" x14ac:dyDescent="0.25">
      <c r="A21" s="23">
        <v>19</v>
      </c>
      <c r="B21" t="s">
        <v>4352</v>
      </c>
      <c r="C21" s="97" t="s">
        <v>5138</v>
      </c>
      <c r="D21" s="96" t="s">
        <v>5029</v>
      </c>
      <c r="E21" s="96" t="s">
        <v>5087</v>
      </c>
      <c r="F21" s="74">
        <v>0.375</v>
      </c>
      <c r="G21" s="74">
        <v>0.75</v>
      </c>
      <c r="H21" s="33" t="s">
        <v>891</v>
      </c>
      <c r="I21" s="77">
        <v>5.5555555555555552E-2</v>
      </c>
      <c r="J21" s="33"/>
      <c r="K21" s="33">
        <v>0</v>
      </c>
      <c r="L21" s="33">
        <v>0</v>
      </c>
    </row>
    <row r="22" spans="1:12" x14ac:dyDescent="0.25">
      <c r="A22" s="23">
        <v>20</v>
      </c>
      <c r="B22" t="s">
        <v>4296</v>
      </c>
      <c r="C22" s="97" t="s">
        <v>5138</v>
      </c>
      <c r="D22" s="96" t="s">
        <v>5030</v>
      </c>
      <c r="E22" s="96" t="s">
        <v>5088</v>
      </c>
      <c r="F22" s="75">
        <v>0.375</v>
      </c>
      <c r="G22" s="75">
        <v>0.75</v>
      </c>
      <c r="H22" s="32" t="s">
        <v>891</v>
      </c>
      <c r="I22" s="35">
        <v>5.5555555555555552E-2</v>
      </c>
      <c r="J22" s="32"/>
      <c r="K22" s="32">
        <v>0</v>
      </c>
      <c r="L22" s="32">
        <v>0</v>
      </c>
    </row>
    <row r="23" spans="1:12" x14ac:dyDescent="0.25">
      <c r="B23" t="s">
        <v>4353</v>
      </c>
      <c r="C23" s="97" t="s">
        <v>5138</v>
      </c>
      <c r="D23" s="96">
        <v>-12.1027734</v>
      </c>
      <c r="E23" s="96">
        <v>-77.0583855</v>
      </c>
    </row>
    <row r="24" spans="1:12" x14ac:dyDescent="0.25">
      <c r="B24" t="s">
        <v>4354</v>
      </c>
      <c r="C24" s="97" t="s">
        <v>5138</v>
      </c>
      <c r="D24" s="96">
        <v>-12.017741300000001</v>
      </c>
      <c r="E24" s="96">
        <v>-76.893715499999999</v>
      </c>
    </row>
    <row r="25" spans="1:12" x14ac:dyDescent="0.25">
      <c r="B25" t="s">
        <v>4355</v>
      </c>
      <c r="C25" s="97" t="s">
        <v>5138</v>
      </c>
      <c r="D25" s="96">
        <v>-12.074953799999999</v>
      </c>
      <c r="E25" s="96">
        <v>-77.079664899999997</v>
      </c>
    </row>
    <row r="26" spans="1:12" x14ac:dyDescent="0.25">
      <c r="B26" t="s">
        <v>4356</v>
      </c>
      <c r="C26" s="97" t="s">
        <v>5138</v>
      </c>
      <c r="D26" s="96">
        <v>-12.109162299999999</v>
      </c>
      <c r="E26" s="96">
        <v>-77.016314100000002</v>
      </c>
    </row>
    <row r="27" spans="1:12" x14ac:dyDescent="0.25">
      <c r="B27" t="s">
        <v>4357</v>
      </c>
      <c r="C27" s="97" t="s">
        <v>5138</v>
      </c>
      <c r="D27" s="96">
        <v>-12.2197491</v>
      </c>
      <c r="E27" s="96">
        <v>-76.916686299999995</v>
      </c>
    </row>
    <row r="28" spans="1:12" x14ac:dyDescent="0.25">
      <c r="B28" t="s">
        <v>4358</v>
      </c>
      <c r="C28" s="97" t="s">
        <v>5138</v>
      </c>
      <c r="D28" s="96">
        <v>-12.111637399999999</v>
      </c>
      <c r="E28" s="96">
        <v>-76.990944999999996</v>
      </c>
    </row>
    <row r="29" spans="1:12" x14ac:dyDescent="0.25">
      <c r="B29" t="s">
        <v>4359</v>
      </c>
      <c r="C29" s="97" t="s">
        <v>5138</v>
      </c>
      <c r="D29" s="96" t="s">
        <v>5032</v>
      </c>
      <c r="E29" s="96" t="s">
        <v>5090</v>
      </c>
    </row>
    <row r="30" spans="1:12" x14ac:dyDescent="0.25">
      <c r="B30" t="s">
        <v>4360</v>
      </c>
      <c r="C30" s="97" t="s">
        <v>5138</v>
      </c>
      <c r="D30" s="96">
        <v>-12.097560700000001</v>
      </c>
      <c r="E30" s="96">
        <v>-77.017736200000002</v>
      </c>
    </row>
    <row r="31" spans="1:12" x14ac:dyDescent="0.25">
      <c r="B31" t="s">
        <v>4361</v>
      </c>
      <c r="C31" s="97" t="s">
        <v>5138</v>
      </c>
      <c r="D31" s="96" t="s">
        <v>5033</v>
      </c>
      <c r="E31" s="96" t="s">
        <v>5091</v>
      </c>
    </row>
    <row r="32" spans="1:12" x14ac:dyDescent="0.25">
      <c r="B32" t="s">
        <v>4362</v>
      </c>
      <c r="C32" s="97" t="s">
        <v>5138</v>
      </c>
      <c r="D32" s="96">
        <v>-13.0780312</v>
      </c>
      <c r="E32" s="96">
        <v>-76.386988799999997</v>
      </c>
    </row>
    <row r="33" spans="2:5" x14ac:dyDescent="0.25">
      <c r="B33" t="s">
        <v>4363</v>
      </c>
      <c r="C33" s="97" t="s">
        <v>5138</v>
      </c>
      <c r="D33" s="96" t="s">
        <v>5034</v>
      </c>
      <c r="E33" s="96" t="s">
        <v>5092</v>
      </c>
    </row>
    <row r="34" spans="2:5" x14ac:dyDescent="0.25">
      <c r="B34" t="s">
        <v>4364</v>
      </c>
      <c r="C34" s="97" t="s">
        <v>5138</v>
      </c>
      <c r="D34" s="96">
        <v>-11.500321599999999</v>
      </c>
      <c r="E34" s="96">
        <v>-77.2211085</v>
      </c>
    </row>
    <row r="35" spans="2:5" x14ac:dyDescent="0.25">
      <c r="B35" t="s">
        <v>4365</v>
      </c>
      <c r="C35" s="97" t="s">
        <v>5138</v>
      </c>
      <c r="D35" s="96" t="s">
        <v>5031</v>
      </c>
      <c r="E35" s="96" t="s">
        <v>5089</v>
      </c>
    </row>
    <row r="36" spans="2:5" x14ac:dyDescent="0.25">
      <c r="B36" t="s">
        <v>4366</v>
      </c>
      <c r="C36" s="97" t="s">
        <v>5138</v>
      </c>
      <c r="D36" s="96">
        <v>-12.012760016259801</v>
      </c>
      <c r="E36" s="96">
        <v>-77.109545689687906</v>
      </c>
    </row>
    <row r="37" spans="2:5" x14ac:dyDescent="0.25">
      <c r="B37" t="s">
        <v>4367</v>
      </c>
      <c r="C37" s="97" t="s">
        <v>5138</v>
      </c>
      <c r="D37" s="96">
        <v>-12.1106014</v>
      </c>
      <c r="E37" s="96">
        <v>-76.979857300000006</v>
      </c>
    </row>
    <row r="38" spans="2:5" x14ac:dyDescent="0.25">
      <c r="B38" t="s">
        <v>4367</v>
      </c>
      <c r="C38" s="97" t="s">
        <v>5138</v>
      </c>
      <c r="D38" s="96">
        <v>-12.1392349</v>
      </c>
      <c r="E38" s="96">
        <v>-76.993678500000001</v>
      </c>
    </row>
    <row r="39" spans="2:5" x14ac:dyDescent="0.25">
      <c r="B39" t="s">
        <v>4368</v>
      </c>
      <c r="C39" s="97" t="s">
        <v>5138</v>
      </c>
      <c r="D39" s="96">
        <v>-12.0782083</v>
      </c>
      <c r="E39" s="96">
        <v>-77.084587799999994</v>
      </c>
    </row>
    <row r="40" spans="2:5" x14ac:dyDescent="0.25">
      <c r="B40" t="s">
        <v>4369</v>
      </c>
      <c r="C40" s="97" t="s">
        <v>5138</v>
      </c>
      <c r="D40" s="96">
        <v>-12.091587499999999</v>
      </c>
      <c r="E40" s="96">
        <v>-77.025427100000002</v>
      </c>
    </row>
    <row r="41" spans="2:5" x14ac:dyDescent="0.25">
      <c r="B41" t="s">
        <v>4370</v>
      </c>
      <c r="C41" s="97" t="s">
        <v>5138</v>
      </c>
      <c r="D41" s="96">
        <v>-12.132578199999999</v>
      </c>
      <c r="E41" s="96">
        <v>-77.030224099999998</v>
      </c>
    </row>
    <row r="42" spans="2:5" x14ac:dyDescent="0.25">
      <c r="B42" t="s">
        <v>4371</v>
      </c>
      <c r="C42" s="97" t="s">
        <v>5138</v>
      </c>
      <c r="D42" s="96">
        <v>-12.302735</v>
      </c>
      <c r="E42" s="96">
        <v>-76.783086699999998</v>
      </c>
    </row>
    <row r="43" spans="2:5" x14ac:dyDescent="0.25">
      <c r="B43" t="s">
        <v>4372</v>
      </c>
      <c r="C43" s="97" t="s">
        <v>5138</v>
      </c>
      <c r="D43" s="96">
        <v>-12.0086092</v>
      </c>
      <c r="E43" s="96">
        <v>-76.363728499999993</v>
      </c>
    </row>
    <row r="44" spans="2:5" x14ac:dyDescent="0.25">
      <c r="B44" t="s">
        <v>4373</v>
      </c>
      <c r="C44" s="97" t="s">
        <v>5138</v>
      </c>
      <c r="D44" s="96">
        <v>-12.0302171</v>
      </c>
      <c r="E44" s="96">
        <v>-77.094819700000002</v>
      </c>
    </row>
    <row r="45" spans="2:5" x14ac:dyDescent="0.25">
      <c r="B45" t="s">
        <v>4374</v>
      </c>
      <c r="C45" s="97" t="s">
        <v>5138</v>
      </c>
      <c r="D45" s="96">
        <v>-12.1624433</v>
      </c>
      <c r="E45" s="96">
        <v>-76.962668399999998</v>
      </c>
    </row>
    <row r="46" spans="2:5" x14ac:dyDescent="0.25">
      <c r="B46" t="s">
        <v>4375</v>
      </c>
      <c r="C46" s="97" t="s">
        <v>5138</v>
      </c>
      <c r="D46" s="96">
        <v>-12.1624433</v>
      </c>
      <c r="E46" s="96">
        <v>-76.962668399999998</v>
      </c>
    </row>
    <row r="47" spans="2:5" x14ac:dyDescent="0.25">
      <c r="B47" t="s">
        <v>4376</v>
      </c>
      <c r="C47" s="97" t="s">
        <v>5138</v>
      </c>
      <c r="D47" s="96">
        <v>-12.1635449</v>
      </c>
      <c r="E47" s="96">
        <v>-76.946402899999995</v>
      </c>
    </row>
    <row r="48" spans="2:5" x14ac:dyDescent="0.25">
      <c r="B48" t="s">
        <v>4377</v>
      </c>
      <c r="C48" s="97" t="s">
        <v>5138</v>
      </c>
      <c r="D48" s="96">
        <v>-12.1400446</v>
      </c>
      <c r="E48" s="96">
        <v>-76.993006300000005</v>
      </c>
    </row>
    <row r="49" spans="2:5" x14ac:dyDescent="0.25">
      <c r="B49" t="s">
        <v>4378</v>
      </c>
      <c r="C49" s="97" t="s">
        <v>5138</v>
      </c>
      <c r="D49" s="96">
        <v>-11.993200099999999</v>
      </c>
      <c r="E49" s="96">
        <v>-77.063687400000006</v>
      </c>
    </row>
    <row r="50" spans="2:5" x14ac:dyDescent="0.25">
      <c r="B50" t="s">
        <v>4379</v>
      </c>
      <c r="C50" s="97" t="s">
        <v>5138</v>
      </c>
      <c r="D50" s="96">
        <v>-12.097251</v>
      </c>
      <c r="E50" s="96">
        <v>-76.994886699999995</v>
      </c>
    </row>
    <row r="51" spans="2:5" x14ac:dyDescent="0.25">
      <c r="B51" t="s">
        <v>4380</v>
      </c>
      <c r="C51" s="97" t="s">
        <v>5138</v>
      </c>
      <c r="D51" s="96">
        <v>-12.120328300000001</v>
      </c>
      <c r="E51" s="96">
        <v>-77.031078800000003</v>
      </c>
    </row>
    <row r="52" spans="2:5" x14ac:dyDescent="0.25">
      <c r="B52" t="s">
        <v>4381</v>
      </c>
      <c r="C52" s="97" t="s">
        <v>5138</v>
      </c>
      <c r="D52" s="96">
        <v>-12.046419800000001</v>
      </c>
      <c r="E52" s="96">
        <v>-76.9684606</v>
      </c>
    </row>
    <row r="53" spans="2:5" x14ac:dyDescent="0.25">
      <c r="B53" t="s">
        <v>4382</v>
      </c>
      <c r="C53" s="97" t="s">
        <v>5138</v>
      </c>
      <c r="D53" s="96">
        <v>-12.1040542</v>
      </c>
      <c r="E53" s="96">
        <v>-76.962905699999993</v>
      </c>
    </row>
    <row r="54" spans="2:5" x14ac:dyDescent="0.25">
      <c r="B54" t="s">
        <v>4383</v>
      </c>
      <c r="C54" s="97" t="s">
        <v>5138</v>
      </c>
      <c r="D54" s="96">
        <v>-12.156504</v>
      </c>
      <c r="E54" s="96">
        <v>-76.989894000000007</v>
      </c>
    </row>
    <row r="55" spans="2:5" x14ac:dyDescent="0.25">
      <c r="B55" t="s">
        <v>4384</v>
      </c>
      <c r="C55" s="97" t="s">
        <v>5138</v>
      </c>
      <c r="D55" s="96">
        <v>-12.078779000000001</v>
      </c>
      <c r="E55" s="96">
        <v>-76.929876699999994</v>
      </c>
    </row>
    <row r="56" spans="2:5" x14ac:dyDescent="0.25">
      <c r="B56" t="s">
        <v>4385</v>
      </c>
      <c r="C56" s="97" t="s">
        <v>5138</v>
      </c>
      <c r="D56" s="96" t="s">
        <v>5035</v>
      </c>
      <c r="E56" s="96" t="s">
        <v>5093</v>
      </c>
    </row>
    <row r="57" spans="2:5" x14ac:dyDescent="0.25">
      <c r="B57" t="s">
        <v>4386</v>
      </c>
      <c r="C57" s="97" t="s">
        <v>5138</v>
      </c>
      <c r="D57" s="96" t="s">
        <v>5035</v>
      </c>
      <c r="E57" s="96" t="s">
        <v>5093</v>
      </c>
    </row>
    <row r="58" spans="2:5" x14ac:dyDescent="0.25">
      <c r="B58" t="s">
        <v>4387</v>
      </c>
      <c r="C58" s="97" t="s">
        <v>5138</v>
      </c>
      <c r="D58" s="96" t="s">
        <v>5036</v>
      </c>
      <c r="E58" s="96" t="s">
        <v>5094</v>
      </c>
    </row>
    <row r="59" spans="2:5" x14ac:dyDescent="0.25">
      <c r="B59" t="s">
        <v>4388</v>
      </c>
      <c r="C59" s="97" t="s">
        <v>5138</v>
      </c>
      <c r="D59" s="96" t="s">
        <v>5037</v>
      </c>
      <c r="E59" s="96" t="s">
        <v>5095</v>
      </c>
    </row>
    <row r="60" spans="2:5" x14ac:dyDescent="0.25">
      <c r="B60" t="s">
        <v>4297</v>
      </c>
      <c r="C60" s="97" t="s">
        <v>5138</v>
      </c>
      <c r="D60" s="96" t="s">
        <v>5038</v>
      </c>
      <c r="E60" s="96" t="s">
        <v>5096</v>
      </c>
    </row>
    <row r="61" spans="2:5" x14ac:dyDescent="0.25">
      <c r="B61" t="s">
        <v>4389</v>
      </c>
      <c r="C61" s="97" t="s">
        <v>5138</v>
      </c>
      <c r="D61" s="96" t="s">
        <v>5039</v>
      </c>
      <c r="E61" s="96" t="s">
        <v>5097</v>
      </c>
    </row>
    <row r="62" spans="2:5" x14ac:dyDescent="0.25">
      <c r="B62" t="s">
        <v>4390</v>
      </c>
      <c r="C62" s="97" t="s">
        <v>5138</v>
      </c>
      <c r="D62" s="96" t="s">
        <v>5040</v>
      </c>
      <c r="E62" s="96" t="s">
        <v>5098</v>
      </c>
    </row>
    <row r="63" spans="2:5" x14ac:dyDescent="0.25">
      <c r="B63" t="s">
        <v>4391</v>
      </c>
      <c r="C63" s="97" t="s">
        <v>5138</v>
      </c>
      <c r="D63" s="96" t="s">
        <v>5041</v>
      </c>
      <c r="E63" s="96" t="s">
        <v>5099</v>
      </c>
    </row>
    <row r="64" spans="2:5" x14ac:dyDescent="0.25">
      <c r="B64" t="s">
        <v>4392</v>
      </c>
      <c r="C64" s="97" t="s">
        <v>5138</v>
      </c>
      <c r="D64" s="96" t="s">
        <v>5042</v>
      </c>
      <c r="E64" s="96" t="s">
        <v>5100</v>
      </c>
    </row>
    <row r="65" spans="2:5" x14ac:dyDescent="0.25">
      <c r="B65" t="s">
        <v>4393</v>
      </c>
      <c r="C65" s="97" t="s">
        <v>5138</v>
      </c>
      <c r="D65" s="96" t="s">
        <v>5043</v>
      </c>
      <c r="E65" s="96" t="s">
        <v>5101</v>
      </c>
    </row>
    <row r="66" spans="2:5" x14ac:dyDescent="0.25">
      <c r="B66" t="s">
        <v>4394</v>
      </c>
      <c r="C66" s="97" t="s">
        <v>5138</v>
      </c>
      <c r="D66" s="96" t="s">
        <v>5044</v>
      </c>
      <c r="E66" s="96" t="s">
        <v>5102</v>
      </c>
    </row>
    <row r="67" spans="2:5" x14ac:dyDescent="0.25">
      <c r="B67" t="s">
        <v>4395</v>
      </c>
      <c r="C67" s="97" t="s">
        <v>5138</v>
      </c>
      <c r="D67" s="96" t="s">
        <v>5045</v>
      </c>
      <c r="E67" s="96" t="s">
        <v>5103</v>
      </c>
    </row>
    <row r="68" spans="2:5" x14ac:dyDescent="0.25">
      <c r="B68" t="s">
        <v>4396</v>
      </c>
      <c r="C68" s="97" t="s">
        <v>5138</v>
      </c>
      <c r="D68" s="96" t="s">
        <v>5046</v>
      </c>
      <c r="E68" s="96" t="s">
        <v>5104</v>
      </c>
    </row>
    <row r="69" spans="2:5" x14ac:dyDescent="0.25">
      <c r="B69" t="s">
        <v>4397</v>
      </c>
      <c r="C69" s="97" t="s">
        <v>5138</v>
      </c>
      <c r="D69" s="96" t="s">
        <v>5047</v>
      </c>
      <c r="E69" s="96" t="s">
        <v>5105</v>
      </c>
    </row>
    <row r="70" spans="2:5" x14ac:dyDescent="0.25">
      <c r="B70" t="s">
        <v>4398</v>
      </c>
      <c r="C70" s="97" t="s">
        <v>5138</v>
      </c>
      <c r="D70" s="96" t="s">
        <v>5048</v>
      </c>
      <c r="E70" s="96" t="s">
        <v>5106</v>
      </c>
    </row>
    <row r="71" spans="2:5" x14ac:dyDescent="0.25">
      <c r="B71" t="s">
        <v>4399</v>
      </c>
      <c r="C71" s="97" t="s">
        <v>5138</v>
      </c>
      <c r="D71" s="96" t="s">
        <v>5049</v>
      </c>
      <c r="E71" s="96" t="s">
        <v>5107</v>
      </c>
    </row>
    <row r="72" spans="2:5" x14ac:dyDescent="0.25">
      <c r="B72" t="s">
        <v>4400</v>
      </c>
      <c r="C72" s="97" t="s">
        <v>5138</v>
      </c>
      <c r="D72" s="96">
        <v>-12.1427</v>
      </c>
      <c r="E72" s="96">
        <v>-77.017899999999997</v>
      </c>
    </row>
    <row r="73" spans="2:5" x14ac:dyDescent="0.25">
      <c r="B73" t="s">
        <v>4401</v>
      </c>
      <c r="C73" s="97" t="s">
        <v>5138</v>
      </c>
      <c r="D73" s="96" t="s">
        <v>5031</v>
      </c>
      <c r="E73" s="96" t="s">
        <v>5089</v>
      </c>
    </row>
    <row r="74" spans="2:5" x14ac:dyDescent="0.25">
      <c r="B74" t="s">
        <v>4401</v>
      </c>
      <c r="C74" s="97" t="s">
        <v>5138</v>
      </c>
      <c r="D74" s="96">
        <v>-12.073449699999999</v>
      </c>
      <c r="E74" s="96">
        <v>-77.016289900000004</v>
      </c>
    </row>
    <row r="75" spans="2:5" x14ac:dyDescent="0.25">
      <c r="B75" t="s">
        <v>4402</v>
      </c>
      <c r="C75" s="97" t="s">
        <v>5138</v>
      </c>
      <c r="D75" s="96" t="s">
        <v>5050</v>
      </c>
      <c r="E75" s="96" t="s">
        <v>5108</v>
      </c>
    </row>
    <row r="76" spans="2:5" x14ac:dyDescent="0.25">
      <c r="B76" t="s">
        <v>4403</v>
      </c>
      <c r="C76" s="97" t="s">
        <v>5138</v>
      </c>
      <c r="D76" s="96" t="s">
        <v>5051</v>
      </c>
      <c r="E76" s="96" t="s">
        <v>5109</v>
      </c>
    </row>
    <row r="77" spans="2:5" x14ac:dyDescent="0.25">
      <c r="B77" t="s">
        <v>4404</v>
      </c>
      <c r="C77" s="97" t="s">
        <v>5138</v>
      </c>
      <c r="D77" s="96" t="s">
        <v>5052</v>
      </c>
      <c r="E77" s="96" t="s">
        <v>5110</v>
      </c>
    </row>
    <row r="78" spans="2:5" x14ac:dyDescent="0.25">
      <c r="B78" t="s">
        <v>4405</v>
      </c>
      <c r="C78" s="97" t="s">
        <v>5138</v>
      </c>
      <c r="D78" s="96" t="s">
        <v>5053</v>
      </c>
      <c r="E78" s="96" t="s">
        <v>5111</v>
      </c>
    </row>
    <row r="79" spans="2:5" x14ac:dyDescent="0.25">
      <c r="B79" t="s">
        <v>4406</v>
      </c>
      <c r="C79" s="97" t="s">
        <v>5138</v>
      </c>
      <c r="D79" s="96" t="s">
        <v>5054</v>
      </c>
      <c r="E79" s="96" t="s">
        <v>5112</v>
      </c>
    </row>
    <row r="80" spans="2:5" x14ac:dyDescent="0.25">
      <c r="B80" t="s">
        <v>4407</v>
      </c>
      <c r="C80" s="97" t="s">
        <v>5138</v>
      </c>
      <c r="D80" s="96" t="s">
        <v>5055</v>
      </c>
      <c r="E80" s="96" t="s">
        <v>5113</v>
      </c>
    </row>
    <row r="81" spans="2:5" x14ac:dyDescent="0.25">
      <c r="B81" t="s">
        <v>4408</v>
      </c>
      <c r="C81" s="97" t="s">
        <v>5138</v>
      </c>
      <c r="D81" s="96" t="s">
        <v>5056</v>
      </c>
      <c r="E81" s="96" t="s">
        <v>5114</v>
      </c>
    </row>
    <row r="82" spans="2:5" x14ac:dyDescent="0.25">
      <c r="B82" t="s">
        <v>4409</v>
      </c>
      <c r="C82" s="97" t="s">
        <v>5138</v>
      </c>
      <c r="D82" s="96" t="s">
        <v>5057</v>
      </c>
      <c r="E82" s="96" t="s">
        <v>5115</v>
      </c>
    </row>
    <row r="83" spans="2:5" x14ac:dyDescent="0.25">
      <c r="B83" t="s">
        <v>4410</v>
      </c>
      <c r="C83" s="97" t="s">
        <v>5138</v>
      </c>
      <c r="D83" s="96" t="s">
        <v>5058</v>
      </c>
      <c r="E83" s="96" t="s">
        <v>5116</v>
      </c>
    </row>
    <row r="84" spans="2:5" x14ac:dyDescent="0.25">
      <c r="B84" t="s">
        <v>4411</v>
      </c>
      <c r="C84" s="97" t="s">
        <v>5138</v>
      </c>
      <c r="D84" s="96" t="s">
        <v>5059</v>
      </c>
      <c r="E84" s="96" t="s">
        <v>5117</v>
      </c>
    </row>
    <row r="85" spans="2:5" x14ac:dyDescent="0.25">
      <c r="B85" t="s">
        <v>4412</v>
      </c>
      <c r="C85" s="97" t="s">
        <v>5138</v>
      </c>
      <c r="D85" s="96" t="s">
        <v>5060</v>
      </c>
      <c r="E85" s="96" t="s">
        <v>5118</v>
      </c>
    </row>
    <row r="86" spans="2:5" x14ac:dyDescent="0.25">
      <c r="B86" t="s">
        <v>4413</v>
      </c>
      <c r="C86" s="97" t="s">
        <v>5138</v>
      </c>
      <c r="D86" s="96" t="s">
        <v>5061</v>
      </c>
      <c r="E86" s="96" t="s">
        <v>5119</v>
      </c>
    </row>
    <row r="87" spans="2:5" x14ac:dyDescent="0.25">
      <c r="B87" t="s">
        <v>4414</v>
      </c>
      <c r="C87" s="97" t="s">
        <v>5138</v>
      </c>
      <c r="D87" s="96" t="s">
        <v>5062</v>
      </c>
      <c r="E87" s="96" t="s">
        <v>5120</v>
      </c>
    </row>
    <row r="88" spans="2:5" x14ac:dyDescent="0.25">
      <c r="B88" t="s">
        <v>4415</v>
      </c>
      <c r="C88" s="97" t="s">
        <v>5138</v>
      </c>
      <c r="D88" s="96" t="s">
        <v>5063</v>
      </c>
      <c r="E88" s="96" t="s">
        <v>5121</v>
      </c>
    </row>
    <row r="89" spans="2:5" x14ac:dyDescent="0.25">
      <c r="B89" t="s">
        <v>4416</v>
      </c>
      <c r="C89" s="97" t="s">
        <v>5138</v>
      </c>
      <c r="D89" s="96" t="s">
        <v>5031</v>
      </c>
      <c r="E89" s="96" t="s">
        <v>5089</v>
      </c>
    </row>
    <row r="90" spans="2:5" x14ac:dyDescent="0.25">
      <c r="B90" t="s">
        <v>4417</v>
      </c>
      <c r="C90" s="97" t="s">
        <v>5138</v>
      </c>
      <c r="D90" s="96" t="s">
        <v>5053</v>
      </c>
      <c r="E90" s="96" t="s">
        <v>5111</v>
      </c>
    </row>
    <row r="91" spans="2:5" x14ac:dyDescent="0.25">
      <c r="B91" t="s">
        <v>4418</v>
      </c>
      <c r="C91" s="97" t="s">
        <v>5138</v>
      </c>
      <c r="D91" s="96" t="s">
        <v>5064</v>
      </c>
      <c r="E91" s="96" t="s">
        <v>5122</v>
      </c>
    </row>
    <row r="92" spans="2:5" x14ac:dyDescent="0.25">
      <c r="B92" t="s">
        <v>4419</v>
      </c>
      <c r="C92" s="97" t="s">
        <v>5138</v>
      </c>
      <c r="D92" s="96" t="s">
        <v>5065</v>
      </c>
      <c r="E92" s="96" t="s">
        <v>5123</v>
      </c>
    </row>
    <row r="93" spans="2:5" x14ac:dyDescent="0.25">
      <c r="B93" t="s">
        <v>4420</v>
      </c>
      <c r="C93" s="97" t="s">
        <v>5138</v>
      </c>
      <c r="D93" s="96" t="s">
        <v>5066</v>
      </c>
      <c r="E93" s="96" t="s">
        <v>5124</v>
      </c>
    </row>
    <row r="94" spans="2:5" x14ac:dyDescent="0.25">
      <c r="B94" t="s">
        <v>4421</v>
      </c>
      <c r="C94" s="97" t="s">
        <v>5138</v>
      </c>
      <c r="D94" s="96" t="s">
        <v>5067</v>
      </c>
      <c r="E94" s="96" t="s">
        <v>5125</v>
      </c>
    </row>
    <row r="95" spans="2:5" x14ac:dyDescent="0.25">
      <c r="B95" t="s">
        <v>4422</v>
      </c>
      <c r="C95" s="97" t="s">
        <v>5138</v>
      </c>
      <c r="D95" s="96" t="s">
        <v>5068</v>
      </c>
      <c r="E95" s="96" t="s">
        <v>5126</v>
      </c>
    </row>
    <row r="96" spans="2:5" x14ac:dyDescent="0.25">
      <c r="B96" t="s">
        <v>4423</v>
      </c>
      <c r="C96" s="97" t="s">
        <v>5138</v>
      </c>
      <c r="D96" s="96" t="s">
        <v>5069</v>
      </c>
      <c r="E96" s="96" t="s">
        <v>5127</v>
      </c>
    </row>
    <row r="97" spans="2:5" x14ac:dyDescent="0.25">
      <c r="B97" t="s">
        <v>4424</v>
      </c>
      <c r="C97" s="97" t="s">
        <v>5138</v>
      </c>
      <c r="D97" s="96">
        <v>-12.0910817</v>
      </c>
      <c r="E97" s="96">
        <v>-77.028469700000002</v>
      </c>
    </row>
    <row r="98" spans="2:5" x14ac:dyDescent="0.25">
      <c r="B98" t="s">
        <v>4425</v>
      </c>
      <c r="C98" s="97" t="s">
        <v>5138</v>
      </c>
      <c r="D98" s="96" t="s">
        <v>5070</v>
      </c>
      <c r="E98" s="96" t="s">
        <v>5128</v>
      </c>
    </row>
    <row r="99" spans="2:5" x14ac:dyDescent="0.25">
      <c r="B99" t="s">
        <v>4426</v>
      </c>
      <c r="C99" s="97" t="s">
        <v>5138</v>
      </c>
      <c r="D99" s="96" t="s">
        <v>5071</v>
      </c>
      <c r="E99" s="96" t="s">
        <v>5129</v>
      </c>
    </row>
    <row r="100" spans="2:5" x14ac:dyDescent="0.25">
      <c r="B100" t="s">
        <v>4427</v>
      </c>
      <c r="C100" s="97" t="s">
        <v>5138</v>
      </c>
      <c r="D100" s="96">
        <v>-12.111719300000001</v>
      </c>
      <c r="E100" s="96">
        <v>-77.037665099999998</v>
      </c>
    </row>
    <row r="101" spans="2:5" x14ac:dyDescent="0.25">
      <c r="B101" t="s">
        <v>4299</v>
      </c>
      <c r="C101" s="97" t="s">
        <v>5138</v>
      </c>
      <c r="D101" s="96" t="s">
        <v>5072</v>
      </c>
      <c r="E101" s="96" t="s">
        <v>5130</v>
      </c>
    </row>
    <row r="102" spans="2:5" x14ac:dyDescent="0.25">
      <c r="B102" t="s">
        <v>4428</v>
      </c>
      <c r="C102" s="97" t="s">
        <v>5138</v>
      </c>
      <c r="D102" s="96" t="s">
        <v>5073</v>
      </c>
      <c r="E102" s="96" t="s">
        <v>5131</v>
      </c>
    </row>
    <row r="103" spans="2:5" x14ac:dyDescent="0.25">
      <c r="B103" t="s">
        <v>4429</v>
      </c>
      <c r="C103" s="97" t="s">
        <v>5138</v>
      </c>
      <c r="D103" s="96" t="s">
        <v>5074</v>
      </c>
      <c r="E103" s="96" t="s">
        <v>5132</v>
      </c>
    </row>
    <row r="104" spans="2:5" x14ac:dyDescent="0.25">
      <c r="B104" t="s">
        <v>4430</v>
      </c>
      <c r="C104" s="97" t="s">
        <v>5138</v>
      </c>
      <c r="D104" s="96" t="s">
        <v>5075</v>
      </c>
      <c r="E104" s="96" t="s">
        <v>5133</v>
      </c>
    </row>
    <row r="105" spans="2:5" x14ac:dyDescent="0.25">
      <c r="B105" t="s">
        <v>4431</v>
      </c>
      <c r="C105" s="97" t="s">
        <v>5138</v>
      </c>
      <c r="D105" s="96">
        <v>-11.9912878</v>
      </c>
      <c r="E105" s="96">
        <v>-77.081681000000003</v>
      </c>
    </row>
    <row r="106" spans="2:5" x14ac:dyDescent="0.25">
      <c r="B106" t="s">
        <v>4431</v>
      </c>
      <c r="C106" s="97" t="s">
        <v>5138</v>
      </c>
      <c r="D106" s="96">
        <v>-12.322824199999999</v>
      </c>
      <c r="E106" s="96">
        <v>-76.827059599999998</v>
      </c>
    </row>
    <row r="107" spans="2:5" x14ac:dyDescent="0.25">
      <c r="B107" t="s">
        <v>4431</v>
      </c>
      <c r="C107" s="97" t="s">
        <v>5138</v>
      </c>
      <c r="D107" s="96">
        <v>-12.254175999999999</v>
      </c>
      <c r="E107" s="96">
        <v>-76.9043025</v>
      </c>
    </row>
    <row r="108" spans="2:5" x14ac:dyDescent="0.25">
      <c r="B108" t="s">
        <v>4431</v>
      </c>
      <c r="C108" s="97" t="s">
        <v>5138</v>
      </c>
      <c r="D108" s="96">
        <v>-12.1023703</v>
      </c>
      <c r="E108" s="96">
        <v>-77.020990999999995</v>
      </c>
    </row>
    <row r="109" spans="2:5" x14ac:dyDescent="0.25">
      <c r="B109" t="s">
        <v>4431</v>
      </c>
      <c r="C109" s="97" t="s">
        <v>5138</v>
      </c>
      <c r="D109" s="96">
        <v>-12.1225968</v>
      </c>
      <c r="E109" s="96">
        <v>-77.011129400000002</v>
      </c>
    </row>
    <row r="110" spans="2:5" x14ac:dyDescent="0.25">
      <c r="B110" t="s">
        <v>4431</v>
      </c>
      <c r="C110" s="97" t="s">
        <v>5138</v>
      </c>
      <c r="D110" s="96">
        <v>-12.119406400000001</v>
      </c>
      <c r="E110" s="96">
        <v>-77.025200400000003</v>
      </c>
    </row>
    <row r="111" spans="2:5" x14ac:dyDescent="0.25">
      <c r="B111" t="s">
        <v>4431</v>
      </c>
      <c r="C111" s="97" t="s">
        <v>5138</v>
      </c>
      <c r="D111" s="96">
        <v>-12.1927246</v>
      </c>
      <c r="E111" s="96">
        <v>-77.0037691</v>
      </c>
    </row>
    <row r="112" spans="2:5" x14ac:dyDescent="0.25">
      <c r="B112" t="s">
        <v>4431</v>
      </c>
      <c r="C112" s="97" t="s">
        <v>5138</v>
      </c>
      <c r="D112" s="96">
        <v>-12.103123999999999</v>
      </c>
      <c r="E112" s="96">
        <v>-77.014674999999997</v>
      </c>
    </row>
    <row r="113" spans="2:5" x14ac:dyDescent="0.25">
      <c r="B113" t="s">
        <v>4431</v>
      </c>
      <c r="C113" s="97" t="s">
        <v>5138</v>
      </c>
      <c r="D113" s="96">
        <v>-12.092117</v>
      </c>
      <c r="E113" s="96">
        <v>-77.013354300000003</v>
      </c>
    </row>
    <row r="114" spans="2:5" x14ac:dyDescent="0.25">
      <c r="B114" t="s">
        <v>4432</v>
      </c>
      <c r="C114" s="97" t="s">
        <v>5138</v>
      </c>
      <c r="D114" s="96">
        <v>-12.1253174</v>
      </c>
      <c r="E114" s="96">
        <v>-76.977627499999997</v>
      </c>
    </row>
    <row r="115" spans="2:5" x14ac:dyDescent="0.25">
      <c r="B115" t="s">
        <v>4433</v>
      </c>
      <c r="C115" s="97" t="s">
        <v>5138</v>
      </c>
      <c r="D115" s="96">
        <v>-12.1079484</v>
      </c>
      <c r="E115" s="96">
        <v>-76.976936800000004</v>
      </c>
    </row>
    <row r="116" spans="2:5" x14ac:dyDescent="0.25">
      <c r="B116" t="s">
        <v>4434</v>
      </c>
      <c r="C116" s="97" t="s">
        <v>5138</v>
      </c>
      <c r="D116" s="96">
        <v>-12.117464500000001</v>
      </c>
      <c r="E116" s="96">
        <v>-77.044055599999993</v>
      </c>
    </row>
    <row r="117" spans="2:5" x14ac:dyDescent="0.25">
      <c r="B117" t="s">
        <v>4435</v>
      </c>
      <c r="C117" s="97" t="s">
        <v>5138</v>
      </c>
      <c r="D117" s="96">
        <v>-12.049024299999999</v>
      </c>
      <c r="E117" s="96">
        <v>-77.0009771</v>
      </c>
    </row>
    <row r="118" spans="2:5" x14ac:dyDescent="0.25">
      <c r="B118" t="s">
        <v>4436</v>
      </c>
      <c r="C118" s="97" t="s">
        <v>5138</v>
      </c>
      <c r="D118" s="96">
        <v>-12.071557</v>
      </c>
      <c r="E118" s="96">
        <v>-76.993381200000002</v>
      </c>
    </row>
    <row r="119" spans="2:5" x14ac:dyDescent="0.25">
      <c r="B119" t="s">
        <v>4300</v>
      </c>
      <c r="C119" s="97" t="s">
        <v>5138</v>
      </c>
      <c r="D119" s="96">
        <v>-12.1015119</v>
      </c>
      <c r="E119" s="96">
        <v>-76.970847000000006</v>
      </c>
    </row>
    <row r="120" spans="2:5" x14ac:dyDescent="0.25">
      <c r="B120" t="s">
        <v>4437</v>
      </c>
      <c r="C120" s="97" t="s">
        <v>5138</v>
      </c>
      <c r="D120" s="96">
        <v>-11.9864835</v>
      </c>
      <c r="E120" s="96">
        <v>-77.007659500000003</v>
      </c>
    </row>
    <row r="121" spans="2:5" x14ac:dyDescent="0.25">
      <c r="B121" t="s">
        <v>4438</v>
      </c>
      <c r="C121" s="97" t="s">
        <v>5138</v>
      </c>
      <c r="D121" s="96">
        <v>-12.088949700000001</v>
      </c>
      <c r="E121" s="96">
        <v>-77.070774900000004</v>
      </c>
    </row>
    <row r="122" spans="2:5" x14ac:dyDescent="0.25">
      <c r="B122" t="s">
        <v>4439</v>
      </c>
      <c r="C122" s="97" t="s">
        <v>5138</v>
      </c>
      <c r="D122" s="96">
        <v>-12.1103535</v>
      </c>
      <c r="E122" s="96">
        <v>-76.985031300000003</v>
      </c>
    </row>
    <row r="123" spans="2:5" x14ac:dyDescent="0.25">
      <c r="B123" t="s">
        <v>4440</v>
      </c>
      <c r="C123" s="97" t="s">
        <v>5138</v>
      </c>
      <c r="D123" s="96">
        <v>-12.1345785</v>
      </c>
      <c r="E123" s="96">
        <v>-77.026387900000003</v>
      </c>
    </row>
    <row r="124" spans="2:5" x14ac:dyDescent="0.25">
      <c r="B124" t="s">
        <v>4441</v>
      </c>
      <c r="C124" s="97" t="s">
        <v>5138</v>
      </c>
      <c r="D124" s="96">
        <v>-12.0993824</v>
      </c>
      <c r="E124" s="96">
        <v>-76.970111900000006</v>
      </c>
    </row>
    <row r="125" spans="2:5" x14ac:dyDescent="0.25">
      <c r="B125" t="s">
        <v>4442</v>
      </c>
      <c r="C125" s="97" t="s">
        <v>5138</v>
      </c>
      <c r="D125" s="96">
        <v>-12.126336999999999</v>
      </c>
      <c r="E125" s="96">
        <v>-77.018081100000003</v>
      </c>
    </row>
    <row r="126" spans="2:5" x14ac:dyDescent="0.25">
      <c r="B126" t="s">
        <v>4443</v>
      </c>
      <c r="C126" s="97" t="s">
        <v>5138</v>
      </c>
      <c r="D126" s="96">
        <v>-12.107037999999999</v>
      </c>
      <c r="E126" s="96">
        <v>-77.0392765</v>
      </c>
    </row>
    <row r="127" spans="2:5" x14ac:dyDescent="0.25">
      <c r="B127" t="s">
        <v>4444</v>
      </c>
      <c r="C127" s="97" t="s">
        <v>5138</v>
      </c>
      <c r="D127" s="96">
        <v>-12.0975783</v>
      </c>
      <c r="E127" s="96">
        <v>-77.038275799999994</v>
      </c>
    </row>
    <row r="128" spans="2:5" x14ac:dyDescent="0.25">
      <c r="B128" t="s">
        <v>4444</v>
      </c>
      <c r="C128" s="97" t="s">
        <v>5138</v>
      </c>
      <c r="D128" s="96" t="s">
        <v>5076</v>
      </c>
      <c r="E128" s="96" t="s">
        <v>5134</v>
      </c>
    </row>
    <row r="129" spans="2:5" x14ac:dyDescent="0.25">
      <c r="B129" t="s">
        <v>4445</v>
      </c>
      <c r="C129" s="97" t="s">
        <v>5138</v>
      </c>
      <c r="D129" s="96">
        <v>-12.181077507515599</v>
      </c>
      <c r="E129" s="96">
        <v>-76.992136206230597</v>
      </c>
    </row>
    <row r="130" spans="2:5" x14ac:dyDescent="0.25">
      <c r="B130" t="s">
        <v>4446</v>
      </c>
      <c r="C130" s="97" t="s">
        <v>5138</v>
      </c>
      <c r="D130" s="96">
        <v>-12.1070802</v>
      </c>
      <c r="E130" s="96">
        <v>-77.038525399999997</v>
      </c>
    </row>
    <row r="131" spans="2:5" x14ac:dyDescent="0.25">
      <c r="B131" t="s">
        <v>4447</v>
      </c>
      <c r="C131" s="97" t="s">
        <v>5138</v>
      </c>
      <c r="D131" s="96">
        <v>-12.0638469</v>
      </c>
      <c r="E131" s="96">
        <v>-77.097462899999996</v>
      </c>
    </row>
    <row r="132" spans="2:5" x14ac:dyDescent="0.25">
      <c r="B132" t="s">
        <v>4301</v>
      </c>
      <c r="C132" s="97" t="s">
        <v>5138</v>
      </c>
      <c r="D132" s="96">
        <v>-12.0112668</v>
      </c>
      <c r="E132" s="96">
        <v>-77.071693199999999</v>
      </c>
    </row>
    <row r="133" spans="2:5" x14ac:dyDescent="0.25">
      <c r="B133" t="s">
        <v>4302</v>
      </c>
      <c r="C133" s="97" t="s">
        <v>5138</v>
      </c>
      <c r="D133" s="96">
        <v>-12.0977646</v>
      </c>
      <c r="E133" s="96">
        <v>-77.001922100000002</v>
      </c>
    </row>
    <row r="134" spans="2:5" x14ac:dyDescent="0.25">
      <c r="B134" t="s">
        <v>4303</v>
      </c>
      <c r="C134" s="97" t="s">
        <v>5138</v>
      </c>
      <c r="D134" s="96">
        <v>-12.065460099999999</v>
      </c>
      <c r="E134" s="96">
        <v>-77.013253500000005</v>
      </c>
    </row>
    <row r="135" spans="2:5" x14ac:dyDescent="0.25">
      <c r="B135" t="s">
        <v>4304</v>
      </c>
      <c r="C135" s="97" t="s">
        <v>5138</v>
      </c>
      <c r="D135" s="96">
        <v>-12.0700105</v>
      </c>
      <c r="E135" s="96">
        <v>-77.013162500000007</v>
      </c>
    </row>
    <row r="136" spans="2:5" x14ac:dyDescent="0.25">
      <c r="B136" t="s">
        <v>4448</v>
      </c>
      <c r="C136" s="97" t="s">
        <v>5138</v>
      </c>
      <c r="D136" s="96">
        <v>-12.0592793</v>
      </c>
      <c r="E136" s="96">
        <v>-77.029683500000004</v>
      </c>
    </row>
    <row r="137" spans="2:5" x14ac:dyDescent="0.25">
      <c r="B137" t="s">
        <v>4449</v>
      </c>
      <c r="C137" s="97" t="s">
        <v>5138</v>
      </c>
      <c r="D137" s="96">
        <v>-12.0254002</v>
      </c>
      <c r="E137" s="96">
        <v>-77.052511100000004</v>
      </c>
    </row>
    <row r="138" spans="2:5" x14ac:dyDescent="0.25">
      <c r="B138" t="s">
        <v>4450</v>
      </c>
      <c r="C138" s="97" t="s">
        <v>5138</v>
      </c>
      <c r="D138" s="96">
        <v>-12.055003299999999</v>
      </c>
      <c r="E138" s="96">
        <v>-77.0182018</v>
      </c>
    </row>
    <row r="139" spans="2:5" x14ac:dyDescent="0.25">
      <c r="B139" t="s">
        <v>4451</v>
      </c>
      <c r="C139" s="97" t="s">
        <v>5138</v>
      </c>
      <c r="D139" s="96">
        <v>-12.181331399999999</v>
      </c>
      <c r="E139" s="96">
        <v>-76.999230900000001</v>
      </c>
    </row>
    <row r="140" spans="2:5" x14ac:dyDescent="0.25">
      <c r="B140" t="s">
        <v>4452</v>
      </c>
      <c r="C140" s="97" t="s">
        <v>5138</v>
      </c>
      <c r="D140" s="96">
        <v>-12.1277933</v>
      </c>
      <c r="E140" s="96">
        <v>-77.001892499999997</v>
      </c>
    </row>
    <row r="141" spans="2:5" x14ac:dyDescent="0.25">
      <c r="B141" t="s">
        <v>4453</v>
      </c>
      <c r="C141" s="97" t="s">
        <v>5138</v>
      </c>
      <c r="D141" s="96">
        <v>-11.107020500000001</v>
      </c>
      <c r="E141" s="96">
        <v>-77.608189400000001</v>
      </c>
    </row>
    <row r="142" spans="2:5" x14ac:dyDescent="0.25">
      <c r="B142" t="s">
        <v>4454</v>
      </c>
      <c r="C142" s="97" t="s">
        <v>5138</v>
      </c>
      <c r="D142" s="96">
        <v>-11.4951758</v>
      </c>
      <c r="E142" s="96">
        <v>-77.206110600000002</v>
      </c>
    </row>
    <row r="143" spans="2:5" x14ac:dyDescent="0.25">
      <c r="B143" t="s">
        <v>4455</v>
      </c>
      <c r="C143" s="97" t="s">
        <v>5138</v>
      </c>
      <c r="D143" s="96">
        <v>-12.011426200000001</v>
      </c>
      <c r="E143" s="96">
        <v>-76.8235612</v>
      </c>
    </row>
    <row r="144" spans="2:5" x14ac:dyDescent="0.25">
      <c r="B144" t="s">
        <v>4456</v>
      </c>
      <c r="C144" s="97" t="s">
        <v>5138</v>
      </c>
      <c r="D144" s="96">
        <v>-12.059242299999999</v>
      </c>
      <c r="E144" s="96">
        <v>-77.029440800000003</v>
      </c>
    </row>
    <row r="145" spans="2:5" x14ac:dyDescent="0.25">
      <c r="B145" t="s">
        <v>4457</v>
      </c>
      <c r="C145" s="97" t="s">
        <v>5138</v>
      </c>
      <c r="D145" s="96">
        <v>-12.0573871</v>
      </c>
      <c r="E145" s="96">
        <v>-77.026022600000005</v>
      </c>
    </row>
    <row r="146" spans="2:5" x14ac:dyDescent="0.25">
      <c r="B146" t="s">
        <v>4458</v>
      </c>
      <c r="C146" s="97" t="s">
        <v>5138</v>
      </c>
      <c r="D146" s="96">
        <v>-12.228217600000001</v>
      </c>
      <c r="E146" s="96">
        <v>-76.862752799999996</v>
      </c>
    </row>
    <row r="147" spans="2:5" x14ac:dyDescent="0.25">
      <c r="B147" t="s">
        <v>4459</v>
      </c>
      <c r="C147" s="97" t="s">
        <v>5138</v>
      </c>
      <c r="D147" s="96">
        <v>-13.0612803</v>
      </c>
      <c r="E147" s="96">
        <v>-76.353324499999999</v>
      </c>
    </row>
    <row r="148" spans="2:5" x14ac:dyDescent="0.25">
      <c r="B148" t="s">
        <v>4269</v>
      </c>
      <c r="C148" s="97" t="s">
        <v>5138</v>
      </c>
      <c r="D148" s="96">
        <v>-12.091949100000001</v>
      </c>
      <c r="E148" s="96">
        <v>-77.071115599999999</v>
      </c>
    </row>
    <row r="149" spans="2:5" x14ac:dyDescent="0.25">
      <c r="B149" t="s">
        <v>4460</v>
      </c>
      <c r="C149" s="97" t="s">
        <v>5138</v>
      </c>
      <c r="D149" s="96">
        <v>-12.0852535</v>
      </c>
      <c r="E149" s="96">
        <v>-76.977249299999997</v>
      </c>
    </row>
    <row r="150" spans="2:5" x14ac:dyDescent="0.25">
      <c r="B150" t="s">
        <v>4461</v>
      </c>
      <c r="C150" s="97" t="s">
        <v>5138</v>
      </c>
      <c r="D150" s="96">
        <v>-12.0852535</v>
      </c>
      <c r="E150" s="96">
        <v>-76.977249299999997</v>
      </c>
    </row>
    <row r="151" spans="2:5" x14ac:dyDescent="0.25">
      <c r="B151" t="s">
        <v>4462</v>
      </c>
      <c r="C151" s="97" t="s">
        <v>5138</v>
      </c>
      <c r="D151" s="96">
        <v>-12.0852535</v>
      </c>
      <c r="E151" s="96">
        <v>-76.977249299999997</v>
      </c>
    </row>
    <row r="152" spans="2:5" x14ac:dyDescent="0.25">
      <c r="B152" t="s">
        <v>4463</v>
      </c>
      <c r="C152" s="97" t="s">
        <v>5138</v>
      </c>
      <c r="D152" s="96">
        <v>-12.0947853</v>
      </c>
      <c r="E152" s="96">
        <v>-77.035663799999995</v>
      </c>
    </row>
    <row r="153" spans="2:5" x14ac:dyDescent="0.25">
      <c r="B153" t="s">
        <v>4464</v>
      </c>
      <c r="C153" s="97" t="s">
        <v>5138</v>
      </c>
      <c r="D153" s="96">
        <v>-12.0800354</v>
      </c>
      <c r="E153" s="96">
        <v>-77.029744699999995</v>
      </c>
    </row>
    <row r="154" spans="2:5" x14ac:dyDescent="0.25">
      <c r="B154" t="s">
        <v>4465</v>
      </c>
      <c r="C154" s="97" t="s">
        <v>5138</v>
      </c>
      <c r="D154" s="96">
        <v>-12.0921504</v>
      </c>
      <c r="E154" s="96">
        <v>-77.062846899999997</v>
      </c>
    </row>
    <row r="155" spans="2:5" x14ac:dyDescent="0.25">
      <c r="B155" t="s">
        <v>4466</v>
      </c>
      <c r="C155" s="97" t="s">
        <v>5138</v>
      </c>
      <c r="D155" s="96">
        <v>-12.1121596</v>
      </c>
      <c r="E155" s="96">
        <v>-77.002529899999999</v>
      </c>
    </row>
    <row r="156" spans="2:5" x14ac:dyDescent="0.25">
      <c r="B156" t="s">
        <v>4467</v>
      </c>
      <c r="C156" s="97" t="s">
        <v>5138</v>
      </c>
      <c r="D156" s="96">
        <v>-11.939360799999999</v>
      </c>
      <c r="E156" s="96">
        <v>-77.077138700000006</v>
      </c>
    </row>
    <row r="157" spans="2:5" x14ac:dyDescent="0.25">
      <c r="B157" t="s">
        <v>4468</v>
      </c>
      <c r="C157" s="97" t="s">
        <v>5138</v>
      </c>
      <c r="D157" s="96">
        <v>-12.073253599999999</v>
      </c>
      <c r="E157" s="96">
        <v>-76.956199100000006</v>
      </c>
    </row>
    <row r="158" spans="2:5" x14ac:dyDescent="0.25">
      <c r="B158" t="s">
        <v>4469</v>
      </c>
      <c r="C158" s="97" t="s">
        <v>5138</v>
      </c>
      <c r="D158" s="96">
        <v>-12.0794751</v>
      </c>
      <c r="E158" s="96">
        <v>-77.088463099999998</v>
      </c>
    </row>
    <row r="159" spans="2:5" x14ac:dyDescent="0.25">
      <c r="B159" t="s">
        <v>4470</v>
      </c>
      <c r="C159" s="97" t="s">
        <v>5138</v>
      </c>
      <c r="D159" s="96">
        <v>-12.0768822</v>
      </c>
      <c r="E159" s="96">
        <v>-76.917624200000006</v>
      </c>
    </row>
    <row r="160" spans="2:5" x14ac:dyDescent="0.25">
      <c r="B160" t="s">
        <v>4471</v>
      </c>
      <c r="C160" s="97" t="s">
        <v>5138</v>
      </c>
      <c r="D160" s="96">
        <v>-12.0697271</v>
      </c>
      <c r="E160" s="96">
        <v>-77.161155899999997</v>
      </c>
    </row>
    <row r="161" spans="2:5" x14ac:dyDescent="0.25">
      <c r="B161" t="s">
        <v>4472</v>
      </c>
      <c r="C161" s="97" t="s">
        <v>5138</v>
      </c>
      <c r="D161" s="96">
        <v>-12.066659700000001</v>
      </c>
      <c r="E161" s="96">
        <v>-77.047238100000001</v>
      </c>
    </row>
    <row r="162" spans="2:5" x14ac:dyDescent="0.25">
      <c r="B162" t="s">
        <v>4305</v>
      </c>
      <c r="C162" s="97" t="s">
        <v>5138</v>
      </c>
      <c r="D162" s="96">
        <v>-12.058196199999999</v>
      </c>
      <c r="E162" s="96">
        <v>-77.046821699999995</v>
      </c>
    </row>
    <row r="163" spans="2:5" x14ac:dyDescent="0.25">
      <c r="B163" t="s">
        <v>4473</v>
      </c>
      <c r="C163" s="97" t="s">
        <v>5138</v>
      </c>
      <c r="D163" s="96" t="s">
        <v>5044</v>
      </c>
      <c r="E163" s="96" t="s">
        <v>5102</v>
      </c>
    </row>
    <row r="164" spans="2:5" x14ac:dyDescent="0.25">
      <c r="B164" t="s">
        <v>4474</v>
      </c>
      <c r="C164" s="97" t="s">
        <v>5138</v>
      </c>
      <c r="D164" s="96">
        <v>-12.128520099999999</v>
      </c>
      <c r="E164" s="96">
        <v>-77.029504399999993</v>
      </c>
    </row>
    <row r="165" spans="2:5" x14ac:dyDescent="0.25">
      <c r="B165" t="s">
        <v>4475</v>
      </c>
      <c r="C165" s="97" t="s">
        <v>5138</v>
      </c>
      <c r="D165" s="96">
        <v>-12.054207999999999</v>
      </c>
      <c r="E165" s="96">
        <v>-76.964276100000006</v>
      </c>
    </row>
    <row r="166" spans="2:5" x14ac:dyDescent="0.25">
      <c r="B166" t="s">
        <v>4306</v>
      </c>
      <c r="C166" s="97" t="s">
        <v>5138</v>
      </c>
      <c r="D166" s="96">
        <v>-12.129905600000001</v>
      </c>
      <c r="E166" s="96">
        <v>-76.982102400000002</v>
      </c>
    </row>
    <row r="167" spans="2:5" x14ac:dyDescent="0.25">
      <c r="B167" t="s">
        <v>4476</v>
      </c>
      <c r="C167" s="97" t="s">
        <v>5138</v>
      </c>
      <c r="D167" s="96">
        <v>-12.044262399999999</v>
      </c>
      <c r="E167" s="96">
        <v>-77.047218700000002</v>
      </c>
    </row>
    <row r="168" spans="2:5" x14ac:dyDescent="0.25">
      <c r="B168" t="s">
        <v>4477</v>
      </c>
      <c r="C168" s="97" t="s">
        <v>5138</v>
      </c>
      <c r="D168" s="96">
        <v>-12.064665400000001</v>
      </c>
      <c r="E168" s="96">
        <v>-76.9601878</v>
      </c>
    </row>
    <row r="169" spans="2:5" x14ac:dyDescent="0.25">
      <c r="B169" t="s">
        <v>4277</v>
      </c>
      <c r="C169" s="97" t="s">
        <v>5138</v>
      </c>
      <c r="D169" s="96">
        <v>-12.0918376</v>
      </c>
      <c r="E169" s="96">
        <v>-77.042980700000001</v>
      </c>
    </row>
    <row r="170" spans="2:5" x14ac:dyDescent="0.25">
      <c r="B170" t="s">
        <v>4478</v>
      </c>
      <c r="C170" s="97" t="s">
        <v>5138</v>
      </c>
      <c r="D170" s="96">
        <v>-12.159106599999999</v>
      </c>
      <c r="E170" s="96">
        <v>-76.989091799999997</v>
      </c>
    </row>
    <row r="171" spans="2:5" x14ac:dyDescent="0.25">
      <c r="B171" t="s">
        <v>4479</v>
      </c>
      <c r="C171" s="97" t="s">
        <v>5138</v>
      </c>
      <c r="D171" s="96">
        <v>-12.2713933</v>
      </c>
      <c r="E171" s="96">
        <v>-76.874430200000006</v>
      </c>
    </row>
    <row r="172" spans="2:5" x14ac:dyDescent="0.25">
      <c r="B172" t="s">
        <v>4480</v>
      </c>
      <c r="C172" s="97" t="s">
        <v>5138</v>
      </c>
      <c r="D172" s="96">
        <v>-12.0551303</v>
      </c>
      <c r="E172" s="96">
        <v>-77.102621799999994</v>
      </c>
    </row>
    <row r="173" spans="2:5" x14ac:dyDescent="0.25">
      <c r="B173" t="s">
        <v>4481</v>
      </c>
      <c r="C173" s="97" t="s">
        <v>5138</v>
      </c>
      <c r="D173" s="96">
        <v>-12.1544054</v>
      </c>
      <c r="E173" s="96">
        <v>-76.982716199999999</v>
      </c>
    </row>
    <row r="174" spans="2:5" x14ac:dyDescent="0.25">
      <c r="B174" t="s">
        <v>4482</v>
      </c>
      <c r="C174" s="97" t="s">
        <v>5138</v>
      </c>
      <c r="D174" s="96">
        <v>-11.9365884</v>
      </c>
      <c r="E174" s="96">
        <v>-77.064379099999996</v>
      </c>
    </row>
    <row r="175" spans="2:5" x14ac:dyDescent="0.25">
      <c r="B175" t="s">
        <v>4483</v>
      </c>
      <c r="C175" s="97" t="s">
        <v>5138</v>
      </c>
      <c r="D175" s="96">
        <v>-12.0161646</v>
      </c>
      <c r="E175" s="96">
        <v>-76.999588799999998</v>
      </c>
    </row>
    <row r="176" spans="2:5" x14ac:dyDescent="0.25">
      <c r="B176" t="s">
        <v>4307</v>
      </c>
      <c r="C176" s="97" t="s">
        <v>5138</v>
      </c>
      <c r="D176" s="96">
        <v>-12.056680500000001</v>
      </c>
      <c r="E176" s="96">
        <v>-76.970667599999999</v>
      </c>
    </row>
    <row r="177" spans="2:5" x14ac:dyDescent="0.25">
      <c r="B177" t="s">
        <v>4308</v>
      </c>
      <c r="C177" s="97" t="s">
        <v>5138</v>
      </c>
      <c r="D177" s="96">
        <v>-12.077633499999999</v>
      </c>
      <c r="E177" s="96">
        <v>-77.093778200000003</v>
      </c>
    </row>
    <row r="178" spans="2:5" x14ac:dyDescent="0.25">
      <c r="B178" t="s">
        <v>4484</v>
      </c>
      <c r="C178" s="97" t="s">
        <v>5138</v>
      </c>
      <c r="D178" s="96">
        <v>-12.181321000000001</v>
      </c>
      <c r="E178" s="96">
        <v>-77.012315200000003</v>
      </c>
    </row>
    <row r="179" spans="2:5" x14ac:dyDescent="0.25">
      <c r="B179" t="s">
        <v>4485</v>
      </c>
      <c r="C179" s="97" t="s">
        <v>5138</v>
      </c>
      <c r="D179" s="96">
        <v>-12.231362000000001</v>
      </c>
      <c r="E179" s="96">
        <v>-76.910560899999993</v>
      </c>
    </row>
    <row r="180" spans="2:5" x14ac:dyDescent="0.25">
      <c r="B180" t="s">
        <v>4486</v>
      </c>
      <c r="C180" s="97" t="s">
        <v>5138</v>
      </c>
      <c r="D180" s="96">
        <v>-11.994089900000001</v>
      </c>
      <c r="E180" s="96">
        <v>-77.062442200000007</v>
      </c>
    </row>
    <row r="181" spans="2:5" x14ac:dyDescent="0.25">
      <c r="B181" t="s">
        <v>4487</v>
      </c>
      <c r="C181" s="97" t="s">
        <v>5138</v>
      </c>
      <c r="D181" s="96">
        <v>-11.992528399999999</v>
      </c>
      <c r="E181" s="96">
        <v>-77.064338899999996</v>
      </c>
    </row>
    <row r="182" spans="2:5" x14ac:dyDescent="0.25">
      <c r="B182" t="s">
        <v>4488</v>
      </c>
      <c r="C182" s="97" t="s">
        <v>5138</v>
      </c>
      <c r="D182" s="96">
        <v>-12.1307323</v>
      </c>
      <c r="E182" s="96">
        <v>-76.983409800000004</v>
      </c>
    </row>
    <row r="183" spans="2:5" x14ac:dyDescent="0.25">
      <c r="B183" t="s">
        <v>4489</v>
      </c>
      <c r="C183" s="97" t="s">
        <v>5138</v>
      </c>
      <c r="D183" s="96">
        <v>-12.049951</v>
      </c>
      <c r="E183" s="96">
        <v>-77.0253005</v>
      </c>
    </row>
    <row r="184" spans="2:5" x14ac:dyDescent="0.25">
      <c r="B184" t="s">
        <v>4490</v>
      </c>
      <c r="C184" s="97" t="s">
        <v>5138</v>
      </c>
      <c r="D184" s="96">
        <v>-12.0698534</v>
      </c>
      <c r="E184" s="96">
        <v>-76.999544999999998</v>
      </c>
    </row>
    <row r="185" spans="2:5" x14ac:dyDescent="0.25">
      <c r="B185" t="s">
        <v>4491</v>
      </c>
      <c r="C185" s="97" t="s">
        <v>5138</v>
      </c>
      <c r="D185" s="96">
        <v>-12.0417258</v>
      </c>
      <c r="E185" s="96">
        <v>-76.947742199999993</v>
      </c>
    </row>
    <row r="186" spans="2:5" x14ac:dyDescent="0.25">
      <c r="B186" t="s">
        <v>4492</v>
      </c>
      <c r="C186" s="97" t="s">
        <v>5138</v>
      </c>
      <c r="D186" s="96">
        <v>-12.054135799999999</v>
      </c>
      <c r="E186" s="96">
        <v>-77.028771899999995</v>
      </c>
    </row>
    <row r="187" spans="2:5" x14ac:dyDescent="0.25">
      <c r="B187" t="s">
        <v>4493</v>
      </c>
      <c r="C187" s="97" t="s">
        <v>5138</v>
      </c>
      <c r="D187" s="96">
        <v>-12.18408</v>
      </c>
      <c r="E187" s="96">
        <v>-77.008020000000002</v>
      </c>
    </row>
    <row r="188" spans="2:5" x14ac:dyDescent="0.25">
      <c r="B188" t="s">
        <v>4494</v>
      </c>
      <c r="C188" s="97" t="s">
        <v>5138</v>
      </c>
      <c r="D188" s="96">
        <v>-11.946568299999999</v>
      </c>
      <c r="E188" s="96">
        <v>-76.985086899999999</v>
      </c>
    </row>
    <row r="189" spans="2:5" x14ac:dyDescent="0.25">
      <c r="B189" t="s">
        <v>4309</v>
      </c>
      <c r="C189" s="97" t="s">
        <v>5138</v>
      </c>
      <c r="D189" s="96">
        <v>-12.074250899999999</v>
      </c>
      <c r="E189" s="96">
        <v>-77.020167799999996</v>
      </c>
    </row>
    <row r="190" spans="2:5" x14ac:dyDescent="0.25">
      <c r="B190" t="s">
        <v>4495</v>
      </c>
      <c r="C190" s="97" t="s">
        <v>5138</v>
      </c>
      <c r="D190" s="96">
        <v>-12.0772467</v>
      </c>
      <c r="E190" s="96">
        <v>-76.982942600000001</v>
      </c>
    </row>
    <row r="191" spans="2:5" x14ac:dyDescent="0.25">
      <c r="B191" t="s">
        <v>4496</v>
      </c>
      <c r="C191" s="97" t="s">
        <v>5138</v>
      </c>
      <c r="D191" s="96">
        <v>-12.220450100000001</v>
      </c>
      <c r="E191" s="96">
        <v>-76.960134800000006</v>
      </c>
    </row>
    <row r="192" spans="2:5" x14ac:dyDescent="0.25">
      <c r="B192" t="s">
        <v>4497</v>
      </c>
      <c r="C192" s="97" t="s">
        <v>5138</v>
      </c>
      <c r="D192" s="96">
        <v>-12.0455568</v>
      </c>
      <c r="E192" s="96">
        <v>-76.952645099999998</v>
      </c>
    </row>
    <row r="193" spans="2:5" x14ac:dyDescent="0.25">
      <c r="B193" t="s">
        <v>4498</v>
      </c>
      <c r="C193" s="97" t="s">
        <v>5138</v>
      </c>
      <c r="D193" s="96">
        <v>-12.046682799999999</v>
      </c>
      <c r="E193" s="96">
        <v>-77.080026500000002</v>
      </c>
    </row>
    <row r="194" spans="2:5" x14ac:dyDescent="0.25">
      <c r="B194" t="s">
        <v>4499</v>
      </c>
      <c r="C194" s="97" t="s">
        <v>5138</v>
      </c>
      <c r="D194" s="96">
        <v>-12.1231112</v>
      </c>
      <c r="E194" s="96">
        <v>-77.028971799999994</v>
      </c>
    </row>
    <row r="195" spans="2:5" x14ac:dyDescent="0.25">
      <c r="B195" t="s">
        <v>4500</v>
      </c>
      <c r="C195" s="97" t="s">
        <v>5138</v>
      </c>
      <c r="D195" s="96">
        <v>-12.1087817</v>
      </c>
      <c r="E195" s="96">
        <v>-76.972592899999995</v>
      </c>
    </row>
    <row r="196" spans="2:5" x14ac:dyDescent="0.25">
      <c r="B196" t="s">
        <v>4501</v>
      </c>
      <c r="C196" s="97" t="s">
        <v>5138</v>
      </c>
      <c r="D196" s="96">
        <v>-11.990285999999999</v>
      </c>
      <c r="E196" s="96">
        <v>-77.062296000000003</v>
      </c>
    </row>
    <row r="197" spans="2:5" x14ac:dyDescent="0.25">
      <c r="B197" t="s">
        <v>4502</v>
      </c>
      <c r="C197" s="97" t="s">
        <v>5138</v>
      </c>
      <c r="D197" s="96">
        <v>-12.2132173</v>
      </c>
      <c r="E197" s="96">
        <v>-76.937128099999995</v>
      </c>
    </row>
    <row r="198" spans="2:5" x14ac:dyDescent="0.25">
      <c r="B198" t="s">
        <v>4278</v>
      </c>
      <c r="C198" s="97" t="s">
        <v>5138</v>
      </c>
      <c r="D198" s="96">
        <v>-11.9991722</v>
      </c>
      <c r="E198" s="96">
        <v>-77.055669100000003</v>
      </c>
    </row>
    <row r="199" spans="2:5" x14ac:dyDescent="0.25">
      <c r="B199" t="s">
        <v>4503</v>
      </c>
      <c r="C199" s="97" t="s">
        <v>5138</v>
      </c>
      <c r="D199" s="96">
        <v>-12.0861678</v>
      </c>
      <c r="E199" s="96">
        <v>-76.905069800000007</v>
      </c>
    </row>
    <row r="200" spans="2:5" x14ac:dyDescent="0.25">
      <c r="B200" t="s">
        <v>4504</v>
      </c>
      <c r="C200" s="97" t="s">
        <v>5138</v>
      </c>
      <c r="D200" s="96">
        <v>-12.0483051</v>
      </c>
      <c r="E200" s="96">
        <v>-77.059122200000004</v>
      </c>
    </row>
    <row r="201" spans="2:5" x14ac:dyDescent="0.25">
      <c r="B201" t="s">
        <v>4505</v>
      </c>
      <c r="C201" s="97" t="s">
        <v>5138</v>
      </c>
      <c r="D201" s="96">
        <v>-11.9779771</v>
      </c>
      <c r="E201" s="96">
        <v>-77.078320000000005</v>
      </c>
    </row>
    <row r="202" spans="2:5" x14ac:dyDescent="0.25">
      <c r="B202" t="s">
        <v>4310</v>
      </c>
      <c r="C202" s="97" t="s">
        <v>5138</v>
      </c>
      <c r="D202" s="96">
        <v>-12.0268012</v>
      </c>
      <c r="E202" s="96">
        <v>-77.004140199999995</v>
      </c>
    </row>
    <row r="203" spans="2:5" x14ac:dyDescent="0.25">
      <c r="B203" t="s">
        <v>4506</v>
      </c>
      <c r="C203" s="97" t="s">
        <v>5138</v>
      </c>
      <c r="D203" s="96">
        <v>-12.1114204</v>
      </c>
      <c r="E203" s="96">
        <v>-77.012750499999996</v>
      </c>
    </row>
    <row r="204" spans="2:5" x14ac:dyDescent="0.25">
      <c r="B204" t="s">
        <v>4507</v>
      </c>
      <c r="C204" s="97" t="s">
        <v>5138</v>
      </c>
      <c r="D204" s="96">
        <v>-12.1292253</v>
      </c>
      <c r="E204" s="96">
        <v>-77.001762999999997</v>
      </c>
    </row>
    <row r="205" spans="2:5" x14ac:dyDescent="0.25">
      <c r="B205" t="s">
        <v>4311</v>
      </c>
      <c r="C205" s="97" t="s">
        <v>5138</v>
      </c>
      <c r="D205" s="96">
        <v>-12.072171600000001</v>
      </c>
      <c r="E205" s="96">
        <v>-77.037713499999995</v>
      </c>
    </row>
    <row r="206" spans="2:5" x14ac:dyDescent="0.25">
      <c r="B206" t="s">
        <v>4508</v>
      </c>
      <c r="C206" s="97" t="s">
        <v>5138</v>
      </c>
      <c r="D206" s="96">
        <v>-11.9900959</v>
      </c>
      <c r="E206" s="96">
        <v>-76.820347400000003</v>
      </c>
    </row>
    <row r="207" spans="2:5" x14ac:dyDescent="0.25">
      <c r="B207" t="s">
        <v>4509</v>
      </c>
      <c r="C207" s="97" t="s">
        <v>5138</v>
      </c>
      <c r="D207" s="96">
        <v>-12.1065208</v>
      </c>
      <c r="E207" s="96">
        <v>-77.039187100000007</v>
      </c>
    </row>
    <row r="208" spans="2:5" x14ac:dyDescent="0.25">
      <c r="B208" t="s">
        <v>4312</v>
      </c>
      <c r="C208" s="97" t="s">
        <v>5138</v>
      </c>
      <c r="D208" s="96">
        <v>-12.064761499999999</v>
      </c>
      <c r="E208" s="96">
        <v>-77.014825999999999</v>
      </c>
    </row>
    <row r="209" spans="2:5" x14ac:dyDescent="0.25">
      <c r="B209" t="s">
        <v>4510</v>
      </c>
      <c r="C209" s="97" t="s">
        <v>5138</v>
      </c>
      <c r="D209" s="96">
        <v>-12.1968666</v>
      </c>
      <c r="E209" s="96">
        <v>-76.940248199999999</v>
      </c>
    </row>
    <row r="210" spans="2:5" x14ac:dyDescent="0.25">
      <c r="B210" t="s">
        <v>4313</v>
      </c>
      <c r="C210" s="97" t="s">
        <v>5138</v>
      </c>
      <c r="D210" s="96">
        <v>-12.0737542</v>
      </c>
      <c r="E210" s="96">
        <v>-77.048465199999995</v>
      </c>
    </row>
    <row r="211" spans="2:5" x14ac:dyDescent="0.25">
      <c r="B211" t="s">
        <v>4511</v>
      </c>
      <c r="C211" s="97" t="s">
        <v>5138</v>
      </c>
      <c r="D211" s="96">
        <v>-12.081623499999999</v>
      </c>
      <c r="E211" s="96">
        <v>-77.034014400000004</v>
      </c>
    </row>
    <row r="212" spans="2:5" x14ac:dyDescent="0.25">
      <c r="B212" t="s">
        <v>4512</v>
      </c>
      <c r="C212" s="97" t="s">
        <v>5138</v>
      </c>
      <c r="D212" s="96">
        <v>-12.102846700000001</v>
      </c>
      <c r="E212" s="96">
        <v>-77.053670999999994</v>
      </c>
    </row>
    <row r="213" spans="2:5" x14ac:dyDescent="0.25">
      <c r="B213" t="s">
        <v>4513</v>
      </c>
      <c r="C213" s="97" t="s">
        <v>5138</v>
      </c>
      <c r="D213" s="96">
        <v>-11.8684493</v>
      </c>
      <c r="E213" s="96">
        <v>-77.075330500000007</v>
      </c>
    </row>
    <row r="214" spans="2:5" x14ac:dyDescent="0.25">
      <c r="B214" t="s">
        <v>4514</v>
      </c>
      <c r="C214" s="97" t="s">
        <v>5138</v>
      </c>
      <c r="D214" s="96">
        <v>-11.875446</v>
      </c>
      <c r="E214" s="96">
        <v>-77.127662900000004</v>
      </c>
    </row>
    <row r="215" spans="2:5" x14ac:dyDescent="0.25">
      <c r="B215" t="s">
        <v>4515</v>
      </c>
      <c r="C215" s="97" t="s">
        <v>5138</v>
      </c>
      <c r="D215" s="96">
        <v>-11.993200099999999</v>
      </c>
      <c r="E215" s="96">
        <v>-77.063687400000006</v>
      </c>
    </row>
    <row r="216" spans="2:5" x14ac:dyDescent="0.25">
      <c r="B216" t="s">
        <v>4516</v>
      </c>
      <c r="C216" s="97" t="s">
        <v>5138</v>
      </c>
      <c r="D216" s="96">
        <v>-12.173509299999999</v>
      </c>
      <c r="E216" s="96">
        <v>-77.015077000000005</v>
      </c>
    </row>
    <row r="217" spans="2:5" x14ac:dyDescent="0.25">
      <c r="B217" t="s">
        <v>4517</v>
      </c>
      <c r="C217" s="97" t="s">
        <v>5138</v>
      </c>
      <c r="D217" s="96">
        <v>-12.050675999999999</v>
      </c>
      <c r="E217" s="96">
        <v>-77.034746999999996</v>
      </c>
    </row>
    <row r="218" spans="2:5" x14ac:dyDescent="0.25">
      <c r="B218" t="s">
        <v>4314</v>
      </c>
      <c r="C218" s="97" t="s">
        <v>5138</v>
      </c>
      <c r="D218" s="96">
        <v>-12.077106199999999</v>
      </c>
      <c r="E218" s="96">
        <v>-77.082707900000003</v>
      </c>
    </row>
    <row r="219" spans="2:5" x14ac:dyDescent="0.25">
      <c r="B219" t="s">
        <v>4518</v>
      </c>
      <c r="C219" s="97" t="s">
        <v>5138</v>
      </c>
      <c r="D219" s="96">
        <v>-12.043208099999999</v>
      </c>
      <c r="E219" s="96">
        <v>-77.044676899999999</v>
      </c>
    </row>
    <row r="220" spans="2:5" x14ac:dyDescent="0.25">
      <c r="B220" t="s">
        <v>4519</v>
      </c>
      <c r="C220" s="97" t="s">
        <v>5138</v>
      </c>
      <c r="D220" s="96">
        <v>-12.27399</v>
      </c>
      <c r="E220" s="96">
        <v>-76.872650800000002</v>
      </c>
    </row>
    <row r="221" spans="2:5" x14ac:dyDescent="0.25">
      <c r="B221" t="s">
        <v>4520</v>
      </c>
      <c r="C221" s="97" t="s">
        <v>5138</v>
      </c>
      <c r="D221" s="96">
        <v>-12.1087419</v>
      </c>
      <c r="E221" s="96">
        <v>-76.970080999999993</v>
      </c>
    </row>
    <row r="222" spans="2:5" x14ac:dyDescent="0.25">
      <c r="B222" t="s">
        <v>4315</v>
      </c>
      <c r="C222" s="97" t="s">
        <v>5138</v>
      </c>
      <c r="D222" s="96">
        <v>-12.1087419</v>
      </c>
      <c r="E222" s="96">
        <v>-76.970080999999993</v>
      </c>
    </row>
    <row r="223" spans="2:5" x14ac:dyDescent="0.25">
      <c r="B223" t="s">
        <v>4521</v>
      </c>
      <c r="C223" s="97" t="s">
        <v>5138</v>
      </c>
      <c r="D223" s="96">
        <v>-11.9379083</v>
      </c>
      <c r="E223" s="96">
        <v>-77.072270399999994</v>
      </c>
    </row>
    <row r="224" spans="2:5" x14ac:dyDescent="0.25">
      <c r="B224" t="s">
        <v>4522</v>
      </c>
      <c r="C224" s="97" t="s">
        <v>5138</v>
      </c>
      <c r="D224" s="96">
        <v>-11.9815915</v>
      </c>
      <c r="E224" s="96">
        <v>-77.005533700000001</v>
      </c>
    </row>
    <row r="225" spans="2:5" x14ac:dyDescent="0.25">
      <c r="B225" t="s">
        <v>4523</v>
      </c>
      <c r="C225" s="97" t="s">
        <v>5138</v>
      </c>
      <c r="D225" s="96">
        <v>-11.865049900000001</v>
      </c>
      <c r="E225" s="96">
        <v>-77.075879099999995</v>
      </c>
    </row>
    <row r="226" spans="2:5" x14ac:dyDescent="0.25">
      <c r="B226" t="s">
        <v>4524</v>
      </c>
      <c r="C226" s="97" t="s">
        <v>5138</v>
      </c>
      <c r="D226" s="96">
        <v>-12.0485968</v>
      </c>
      <c r="E226" s="96">
        <v>-77.096578600000001</v>
      </c>
    </row>
    <row r="227" spans="2:5" x14ac:dyDescent="0.25">
      <c r="B227" t="s">
        <v>4525</v>
      </c>
      <c r="C227" s="97" t="s">
        <v>5138</v>
      </c>
      <c r="D227" s="96">
        <v>-12.1686573</v>
      </c>
      <c r="E227" s="96">
        <v>-77.026376499999998</v>
      </c>
    </row>
    <row r="228" spans="2:5" x14ac:dyDescent="0.25">
      <c r="B228" t="s">
        <v>4526</v>
      </c>
      <c r="C228" s="97" t="s">
        <v>5138</v>
      </c>
      <c r="D228" s="96">
        <v>-12.1035787</v>
      </c>
      <c r="E228" s="96">
        <v>-77.030606500000005</v>
      </c>
    </row>
    <row r="229" spans="2:5" x14ac:dyDescent="0.25">
      <c r="B229" t="s">
        <v>4527</v>
      </c>
      <c r="C229" s="97" t="s">
        <v>5138</v>
      </c>
      <c r="D229" s="96">
        <v>-12.087018</v>
      </c>
      <c r="E229" s="96">
        <v>-77.042804500000003</v>
      </c>
    </row>
    <row r="230" spans="2:5" x14ac:dyDescent="0.25">
      <c r="B230" t="s">
        <v>4528</v>
      </c>
      <c r="C230" s="97" t="s">
        <v>5138</v>
      </c>
      <c r="D230" s="96">
        <v>-12.0152597</v>
      </c>
      <c r="E230" s="96">
        <v>-76.885489199999995</v>
      </c>
    </row>
    <row r="231" spans="2:5" x14ac:dyDescent="0.25">
      <c r="B231" t="s">
        <v>4529</v>
      </c>
      <c r="C231" s="97" t="s">
        <v>5138</v>
      </c>
      <c r="D231" s="96">
        <v>-12.1671174</v>
      </c>
      <c r="E231" s="96">
        <v>-77.030952200000002</v>
      </c>
    </row>
    <row r="232" spans="2:5" x14ac:dyDescent="0.25">
      <c r="B232" t="s">
        <v>4530</v>
      </c>
      <c r="C232" s="97" t="s">
        <v>5138</v>
      </c>
      <c r="D232" s="96">
        <v>-12.0529285</v>
      </c>
      <c r="E232" s="96">
        <v>-76.960074500000005</v>
      </c>
    </row>
    <row r="233" spans="2:5" x14ac:dyDescent="0.25">
      <c r="B233" t="s">
        <v>4531</v>
      </c>
      <c r="C233" s="97" t="s">
        <v>5138</v>
      </c>
      <c r="D233" s="96">
        <v>-12.0529285</v>
      </c>
      <c r="E233" s="96">
        <v>-76.960074500000005</v>
      </c>
    </row>
    <row r="234" spans="2:5" x14ac:dyDescent="0.25">
      <c r="B234" t="s">
        <v>4532</v>
      </c>
      <c r="C234" s="97" t="s">
        <v>5138</v>
      </c>
      <c r="D234" s="96">
        <v>-12.0903834</v>
      </c>
      <c r="E234" s="96">
        <v>-76.949713000000003</v>
      </c>
    </row>
    <row r="235" spans="2:5" x14ac:dyDescent="0.25">
      <c r="B235" t="s">
        <v>4533</v>
      </c>
      <c r="C235" s="97" t="s">
        <v>5138</v>
      </c>
      <c r="D235" s="96">
        <v>-12.0852167</v>
      </c>
      <c r="E235" s="96">
        <v>-77.048986400000004</v>
      </c>
    </row>
    <row r="236" spans="2:5" x14ac:dyDescent="0.25">
      <c r="B236" t="s">
        <v>4534</v>
      </c>
      <c r="C236" s="97" t="s">
        <v>5138</v>
      </c>
      <c r="D236" s="96">
        <v>-12.0297766</v>
      </c>
      <c r="E236" s="96">
        <v>-77.094159399999995</v>
      </c>
    </row>
    <row r="237" spans="2:5" x14ac:dyDescent="0.25">
      <c r="B237" t="s">
        <v>4535</v>
      </c>
      <c r="C237" s="97" t="s">
        <v>5138</v>
      </c>
      <c r="D237" s="96">
        <v>-11.9373956</v>
      </c>
      <c r="E237" s="96">
        <v>-77.070842900000002</v>
      </c>
    </row>
    <row r="238" spans="2:5" x14ac:dyDescent="0.25">
      <c r="B238" t="s">
        <v>4536</v>
      </c>
      <c r="C238" s="97" t="s">
        <v>5138</v>
      </c>
      <c r="D238" s="96">
        <v>-12.088536700000001</v>
      </c>
      <c r="E238" s="96">
        <v>-76.981160900000006</v>
      </c>
    </row>
    <row r="239" spans="2:5" x14ac:dyDescent="0.25">
      <c r="B239" t="s">
        <v>4537</v>
      </c>
      <c r="C239" s="97" t="s">
        <v>5138</v>
      </c>
      <c r="D239" s="96">
        <v>-11.868183200000001</v>
      </c>
      <c r="E239" s="96">
        <v>-77.076256099999995</v>
      </c>
    </row>
    <row r="240" spans="2:5" x14ac:dyDescent="0.25">
      <c r="B240" t="s">
        <v>4538</v>
      </c>
      <c r="C240" s="97" t="s">
        <v>5138</v>
      </c>
      <c r="D240" s="96">
        <v>-11.886495200000001</v>
      </c>
      <c r="E240" s="96">
        <v>-77.035644700000006</v>
      </c>
    </row>
    <row r="241" spans="2:5" x14ac:dyDescent="0.25">
      <c r="B241" t="s">
        <v>4539</v>
      </c>
      <c r="C241" s="97" t="s">
        <v>5138</v>
      </c>
      <c r="D241" s="96">
        <v>-11.9568581</v>
      </c>
      <c r="E241" s="96">
        <v>-77.049196300000006</v>
      </c>
    </row>
    <row r="242" spans="2:5" x14ac:dyDescent="0.25">
      <c r="B242" t="s">
        <v>4540</v>
      </c>
      <c r="C242" s="97" t="s">
        <v>5138</v>
      </c>
      <c r="D242" s="96">
        <v>-11.9779771</v>
      </c>
      <c r="E242" s="96">
        <v>-77.078320000000005</v>
      </c>
    </row>
    <row r="243" spans="2:5" x14ac:dyDescent="0.25">
      <c r="B243" t="s">
        <v>4541</v>
      </c>
      <c r="C243" s="97" t="s">
        <v>5138</v>
      </c>
      <c r="D243" s="96">
        <v>-12.0297166</v>
      </c>
      <c r="E243" s="96">
        <v>-77.0577763</v>
      </c>
    </row>
    <row r="244" spans="2:5" x14ac:dyDescent="0.25">
      <c r="B244" t="s">
        <v>4542</v>
      </c>
      <c r="C244" s="97" t="s">
        <v>5138</v>
      </c>
      <c r="D244" s="96">
        <v>-11.901035200000001</v>
      </c>
      <c r="E244" s="96">
        <v>-77.039434</v>
      </c>
    </row>
    <row r="245" spans="2:5" x14ac:dyDescent="0.25">
      <c r="B245" t="s">
        <v>4543</v>
      </c>
      <c r="C245" s="97" t="s">
        <v>5138</v>
      </c>
      <c r="D245" s="96">
        <v>-12.1635449</v>
      </c>
      <c r="E245" s="96">
        <v>-76.946402899999995</v>
      </c>
    </row>
    <row r="246" spans="2:5" x14ac:dyDescent="0.25">
      <c r="B246" t="s">
        <v>4544</v>
      </c>
      <c r="C246" s="97" t="s">
        <v>5138</v>
      </c>
      <c r="D246" s="96">
        <v>-12.0300379</v>
      </c>
      <c r="E246" s="96">
        <v>-76.924679400000002</v>
      </c>
    </row>
    <row r="247" spans="2:5" x14ac:dyDescent="0.25">
      <c r="B247" t="s">
        <v>4545</v>
      </c>
      <c r="C247" s="97" t="s">
        <v>5138</v>
      </c>
      <c r="D247" s="96">
        <v>-12.196574200000001</v>
      </c>
      <c r="E247" s="96">
        <v>-77.010499199999998</v>
      </c>
    </row>
    <row r="248" spans="2:5" x14ac:dyDescent="0.25">
      <c r="B248" t="s">
        <v>4546</v>
      </c>
      <c r="C248" s="97" t="s">
        <v>5138</v>
      </c>
      <c r="D248" s="96">
        <v>-12.126336999999999</v>
      </c>
      <c r="E248" s="96">
        <v>-77.018081100000003</v>
      </c>
    </row>
    <row r="249" spans="2:5" x14ac:dyDescent="0.25">
      <c r="B249" t="s">
        <v>4547</v>
      </c>
      <c r="C249" s="97" t="s">
        <v>5138</v>
      </c>
      <c r="D249" s="96">
        <v>-12.1193016</v>
      </c>
      <c r="E249" s="96">
        <v>-77.026242400000001</v>
      </c>
    </row>
    <row r="250" spans="2:5" x14ac:dyDescent="0.25">
      <c r="B250" t="s">
        <v>4316</v>
      </c>
      <c r="C250" s="97" t="s">
        <v>5138</v>
      </c>
      <c r="D250" s="96">
        <v>-12.096786099999999</v>
      </c>
      <c r="E250" s="96">
        <v>-77.055484100000001</v>
      </c>
    </row>
    <row r="251" spans="2:5" x14ac:dyDescent="0.25">
      <c r="B251" t="s">
        <v>4317</v>
      </c>
      <c r="C251" s="97" t="s">
        <v>5138</v>
      </c>
      <c r="D251" s="96">
        <v>-12.158156999999999</v>
      </c>
      <c r="E251" s="96">
        <v>-76.957672400000007</v>
      </c>
    </row>
    <row r="252" spans="2:5" x14ac:dyDescent="0.25">
      <c r="B252" t="s">
        <v>4548</v>
      </c>
      <c r="C252" s="97" t="s">
        <v>5138</v>
      </c>
      <c r="D252" s="96">
        <v>-12.1257307</v>
      </c>
      <c r="E252" s="96">
        <v>-77.020416400000002</v>
      </c>
    </row>
    <row r="253" spans="2:5" x14ac:dyDescent="0.25">
      <c r="B253" t="s">
        <v>4318</v>
      </c>
      <c r="C253" s="97" t="s">
        <v>5138</v>
      </c>
      <c r="D253" s="96">
        <v>-12.0888516</v>
      </c>
      <c r="E253" s="96">
        <v>-77.005157299999993</v>
      </c>
    </row>
    <row r="254" spans="2:5" x14ac:dyDescent="0.25">
      <c r="B254" t="s">
        <v>4319</v>
      </c>
      <c r="C254" s="97" t="s">
        <v>5138</v>
      </c>
      <c r="D254" s="96">
        <v>-12.101427599999999</v>
      </c>
      <c r="E254" s="96">
        <v>-76.9942286</v>
      </c>
    </row>
    <row r="255" spans="2:5" x14ac:dyDescent="0.25">
      <c r="B255" t="s">
        <v>4549</v>
      </c>
      <c r="C255" s="97" t="s">
        <v>5138</v>
      </c>
      <c r="D255" s="96">
        <v>-12.0890763</v>
      </c>
      <c r="E255" s="96">
        <v>-77.054482800000002</v>
      </c>
    </row>
    <row r="256" spans="2:5" x14ac:dyDescent="0.25">
      <c r="B256" t="s">
        <v>4550</v>
      </c>
      <c r="C256" s="97" t="s">
        <v>5138</v>
      </c>
      <c r="D256" s="96">
        <v>-11.991848299999999</v>
      </c>
      <c r="E256" s="96">
        <v>-77.014922100000007</v>
      </c>
    </row>
    <row r="257" spans="2:5" x14ac:dyDescent="0.25">
      <c r="B257" t="s">
        <v>4551</v>
      </c>
      <c r="C257" s="97" t="s">
        <v>5138</v>
      </c>
      <c r="D257" s="96">
        <v>-12.1528394</v>
      </c>
      <c r="E257" s="96">
        <v>-76.971008900000001</v>
      </c>
    </row>
    <row r="258" spans="2:5" x14ac:dyDescent="0.25">
      <c r="B258" t="s">
        <v>4552</v>
      </c>
      <c r="C258" s="97" t="s">
        <v>5138</v>
      </c>
      <c r="D258" s="96">
        <v>-12.089131</v>
      </c>
      <c r="E258" s="96">
        <v>-76.995964700000002</v>
      </c>
    </row>
    <row r="259" spans="2:5" x14ac:dyDescent="0.25">
      <c r="B259" t="s">
        <v>4279</v>
      </c>
      <c r="C259" s="97" t="s">
        <v>5138</v>
      </c>
      <c r="D259" s="96">
        <v>-12.054601999999999</v>
      </c>
      <c r="E259" s="96">
        <v>-77.103310699999994</v>
      </c>
    </row>
    <row r="260" spans="2:5" x14ac:dyDescent="0.25">
      <c r="B260" t="s">
        <v>4553</v>
      </c>
      <c r="C260" s="97" t="s">
        <v>5138</v>
      </c>
      <c r="D260" s="96">
        <v>-12.030989099999999</v>
      </c>
      <c r="E260" s="96">
        <v>-77.083067400000004</v>
      </c>
    </row>
    <row r="261" spans="2:5" x14ac:dyDescent="0.25">
      <c r="B261" t="s">
        <v>4320</v>
      </c>
      <c r="C261" s="97" t="s">
        <v>5138</v>
      </c>
      <c r="D261" s="96">
        <v>-12.0564389</v>
      </c>
      <c r="E261" s="96">
        <v>-76.969616000000002</v>
      </c>
    </row>
    <row r="262" spans="2:5" x14ac:dyDescent="0.25">
      <c r="B262" t="s">
        <v>4554</v>
      </c>
      <c r="C262" s="97" t="s">
        <v>5138</v>
      </c>
      <c r="D262" s="96">
        <v>-12.0986967</v>
      </c>
      <c r="E262" s="96">
        <v>-76.961967999999999</v>
      </c>
    </row>
    <row r="263" spans="2:5" x14ac:dyDescent="0.25">
      <c r="B263" t="s">
        <v>4555</v>
      </c>
      <c r="C263" s="97" t="s">
        <v>5138</v>
      </c>
      <c r="D263" s="96" t="s">
        <v>5077</v>
      </c>
      <c r="E263" s="96" t="s">
        <v>5135</v>
      </c>
    </row>
    <row r="264" spans="2:5" x14ac:dyDescent="0.25">
      <c r="B264" t="s">
        <v>4321</v>
      </c>
      <c r="C264" s="97" t="s">
        <v>5138</v>
      </c>
      <c r="D264" s="96">
        <v>-11.906503799999999</v>
      </c>
      <c r="E264" s="96">
        <v>-77.045131999999995</v>
      </c>
    </row>
    <row r="265" spans="2:5" x14ac:dyDescent="0.25">
      <c r="B265" t="s">
        <v>4322</v>
      </c>
      <c r="C265" s="97" t="s">
        <v>5138</v>
      </c>
      <c r="D265" s="96">
        <v>-12.1965106</v>
      </c>
      <c r="E265" s="96">
        <v>-77.010862900000006</v>
      </c>
    </row>
    <row r="266" spans="2:5" x14ac:dyDescent="0.25">
      <c r="B266" t="s">
        <v>4323</v>
      </c>
      <c r="C266" s="97" t="s">
        <v>5138</v>
      </c>
      <c r="D266" s="96">
        <v>-12.184268599999999</v>
      </c>
      <c r="E266" s="96">
        <v>-77.002837600000007</v>
      </c>
    </row>
    <row r="267" spans="2:5" x14ac:dyDescent="0.25">
      <c r="B267" t="s">
        <v>4324</v>
      </c>
      <c r="C267" s="97" t="s">
        <v>5138</v>
      </c>
      <c r="D267" s="96">
        <v>-12.077474499999999</v>
      </c>
      <c r="E267" s="96">
        <v>-77.064892400000005</v>
      </c>
    </row>
    <row r="268" spans="2:5" x14ac:dyDescent="0.25">
      <c r="B268" t="s">
        <v>4556</v>
      </c>
      <c r="C268" s="97" t="s">
        <v>5138</v>
      </c>
      <c r="D268" s="96">
        <v>-12.1538424</v>
      </c>
      <c r="E268" s="96">
        <v>-76.970657900000006</v>
      </c>
    </row>
    <row r="269" spans="2:5" x14ac:dyDescent="0.25">
      <c r="B269" t="s">
        <v>4557</v>
      </c>
      <c r="C269" s="97" t="s">
        <v>5138</v>
      </c>
      <c r="D269" s="96">
        <v>-12.030512699999999</v>
      </c>
      <c r="E269" s="96">
        <v>-77.036094199999994</v>
      </c>
    </row>
    <row r="270" spans="2:5" x14ac:dyDescent="0.25">
      <c r="B270" t="s">
        <v>4558</v>
      </c>
      <c r="C270" s="97" t="s">
        <v>5138</v>
      </c>
      <c r="D270" s="96">
        <v>-12.0202315</v>
      </c>
      <c r="E270" s="96">
        <v>-76.9894544</v>
      </c>
    </row>
    <row r="271" spans="2:5" x14ac:dyDescent="0.25">
      <c r="B271" t="s">
        <v>4559</v>
      </c>
      <c r="C271" s="97" t="s">
        <v>5138</v>
      </c>
      <c r="D271" s="96">
        <v>-12.066945799999999</v>
      </c>
      <c r="E271" s="96">
        <v>-77.015916300000001</v>
      </c>
    </row>
    <row r="272" spans="2:5" x14ac:dyDescent="0.25">
      <c r="B272" t="s">
        <v>4560</v>
      </c>
      <c r="C272" s="97" t="s">
        <v>5138</v>
      </c>
      <c r="D272" s="96">
        <v>-12.1213145</v>
      </c>
      <c r="E272" s="96">
        <v>-77.0380933</v>
      </c>
    </row>
    <row r="273" spans="2:5" x14ac:dyDescent="0.25">
      <c r="B273" t="s">
        <v>4561</v>
      </c>
      <c r="C273" s="97" t="s">
        <v>5138</v>
      </c>
      <c r="D273" s="96">
        <v>-11.965219400000001</v>
      </c>
      <c r="E273" s="96">
        <v>-77.066700699999998</v>
      </c>
    </row>
    <row r="274" spans="2:5" x14ac:dyDescent="0.25">
      <c r="B274" t="s">
        <v>4562</v>
      </c>
      <c r="C274" s="97" t="s">
        <v>5138</v>
      </c>
      <c r="D274" s="96">
        <v>-12.048197999999999</v>
      </c>
      <c r="E274" s="96">
        <v>-77.058711099999996</v>
      </c>
    </row>
    <row r="275" spans="2:5" x14ac:dyDescent="0.25">
      <c r="B275" t="s">
        <v>4563</v>
      </c>
      <c r="C275" s="97" t="s">
        <v>5138</v>
      </c>
      <c r="D275" s="96">
        <v>-11.9567289</v>
      </c>
      <c r="E275" s="96">
        <v>-77.053091100000003</v>
      </c>
    </row>
    <row r="276" spans="2:5" x14ac:dyDescent="0.25">
      <c r="B276" t="s">
        <v>4564</v>
      </c>
      <c r="C276" s="97" t="s">
        <v>5138</v>
      </c>
      <c r="D276" s="96">
        <v>-12.234268800000001</v>
      </c>
      <c r="E276" s="96">
        <v>-76.959569599999995</v>
      </c>
    </row>
    <row r="277" spans="2:5" x14ac:dyDescent="0.25">
      <c r="B277" t="s">
        <v>4565</v>
      </c>
      <c r="C277" s="97" t="s">
        <v>5138</v>
      </c>
      <c r="D277" s="96">
        <v>-12.077910299999999</v>
      </c>
      <c r="E277" s="96">
        <v>-77.081670799999998</v>
      </c>
    </row>
    <row r="278" spans="2:5" x14ac:dyDescent="0.25">
      <c r="B278" t="s">
        <v>4566</v>
      </c>
      <c r="C278" s="97" t="s">
        <v>5138</v>
      </c>
      <c r="D278" s="96">
        <v>-12.103949099999999</v>
      </c>
      <c r="E278" s="96">
        <v>-76.965926300000007</v>
      </c>
    </row>
    <row r="279" spans="2:5" x14ac:dyDescent="0.25">
      <c r="B279" t="s">
        <v>4567</v>
      </c>
      <c r="C279" s="97" t="s">
        <v>5138</v>
      </c>
      <c r="D279" s="96">
        <v>-11.898522099999999</v>
      </c>
      <c r="E279" s="96">
        <v>-77.038213299999995</v>
      </c>
    </row>
    <row r="280" spans="2:5" x14ac:dyDescent="0.25">
      <c r="B280" t="s">
        <v>4568</v>
      </c>
      <c r="C280" s="97" t="s">
        <v>5138</v>
      </c>
      <c r="D280" s="96">
        <v>-12.165914600000001</v>
      </c>
      <c r="E280" s="96">
        <v>-76.974589800000004</v>
      </c>
    </row>
    <row r="281" spans="2:5" x14ac:dyDescent="0.25">
      <c r="B281" t="s">
        <v>4569</v>
      </c>
      <c r="C281" s="97" t="s">
        <v>5138</v>
      </c>
      <c r="D281" s="96">
        <v>-12.0551066</v>
      </c>
      <c r="E281" s="96">
        <v>-77.051141599999994</v>
      </c>
    </row>
    <row r="282" spans="2:5" x14ac:dyDescent="0.25">
      <c r="B282" t="s">
        <v>4570</v>
      </c>
      <c r="C282" s="97" t="s">
        <v>5138</v>
      </c>
      <c r="D282" s="96">
        <v>-12.1846332</v>
      </c>
      <c r="E282" s="96">
        <v>-77.000710400000003</v>
      </c>
    </row>
    <row r="283" spans="2:5" x14ac:dyDescent="0.25">
      <c r="B283" t="s">
        <v>4571</v>
      </c>
      <c r="C283" s="97" t="s">
        <v>5138</v>
      </c>
      <c r="D283" s="96">
        <v>-12.209174300000001</v>
      </c>
      <c r="E283" s="96">
        <v>-76.940654800000004</v>
      </c>
    </row>
    <row r="284" spans="2:5" x14ac:dyDescent="0.25">
      <c r="B284" t="s">
        <v>4572</v>
      </c>
      <c r="C284" s="97" t="s">
        <v>5138</v>
      </c>
      <c r="D284" s="96" t="s">
        <v>5078</v>
      </c>
      <c r="E284" s="96" t="s">
        <v>5136</v>
      </c>
    </row>
    <row r="285" spans="2:5" x14ac:dyDescent="0.25">
      <c r="B285" t="s">
        <v>4325</v>
      </c>
      <c r="C285" s="97" t="s">
        <v>5138</v>
      </c>
      <c r="D285" s="96">
        <v>-12.1669474</v>
      </c>
      <c r="E285" s="96">
        <v>-76.951404600000004</v>
      </c>
    </row>
    <row r="286" spans="2:5" x14ac:dyDescent="0.25">
      <c r="B286" t="s">
        <v>4573</v>
      </c>
      <c r="C286" s="97" t="s">
        <v>5138</v>
      </c>
      <c r="D286" s="96">
        <v>-11.9933321</v>
      </c>
      <c r="E286" s="96">
        <v>-77.1103454</v>
      </c>
    </row>
    <row r="287" spans="2:5" x14ac:dyDescent="0.25">
      <c r="B287" t="s">
        <v>4574</v>
      </c>
      <c r="C287" s="97" t="s">
        <v>5138</v>
      </c>
      <c r="D287" s="96">
        <v>-12.083748399999999</v>
      </c>
      <c r="E287" s="96">
        <v>-76.902717699999997</v>
      </c>
    </row>
    <row r="288" spans="2:5" x14ac:dyDescent="0.25">
      <c r="B288" t="s">
        <v>4268</v>
      </c>
      <c r="C288" s="97" t="s">
        <v>5138</v>
      </c>
      <c r="D288" s="96">
        <v>-12.0253525</v>
      </c>
      <c r="E288" s="96">
        <v>-76.999763999999999</v>
      </c>
    </row>
    <row r="289" spans="2:5" x14ac:dyDescent="0.25">
      <c r="B289" t="s">
        <v>4575</v>
      </c>
      <c r="C289" s="97" t="s">
        <v>5139</v>
      </c>
      <c r="D289" s="96">
        <v>-12.0970431</v>
      </c>
      <c r="E289" s="96">
        <v>-77.033937100000003</v>
      </c>
    </row>
    <row r="290" spans="2:5" x14ac:dyDescent="0.25">
      <c r="B290" t="s">
        <v>4576</v>
      </c>
      <c r="C290" s="97" t="s">
        <v>5139</v>
      </c>
      <c r="D290" s="96">
        <v>-12.0922854</v>
      </c>
      <c r="E290" s="96">
        <v>-77.046708699999996</v>
      </c>
    </row>
    <row r="291" spans="2:5" x14ac:dyDescent="0.25">
      <c r="B291" t="s">
        <v>4577</v>
      </c>
      <c r="C291" s="97" t="s">
        <v>5139</v>
      </c>
      <c r="D291" s="96">
        <v>-12.0871136</v>
      </c>
      <c r="E291" s="96">
        <v>-77.053747900000005</v>
      </c>
    </row>
    <row r="292" spans="2:5" x14ac:dyDescent="0.25">
      <c r="B292" t="s">
        <v>4578</v>
      </c>
      <c r="C292" s="97" t="s">
        <v>5139</v>
      </c>
      <c r="D292" s="96">
        <v>-12.077410499999999</v>
      </c>
      <c r="E292" s="96">
        <v>-77.064393999999993</v>
      </c>
    </row>
    <row r="293" spans="2:5" x14ac:dyDescent="0.25">
      <c r="B293" t="s">
        <v>4579</v>
      </c>
      <c r="C293" s="97" t="s">
        <v>5139</v>
      </c>
      <c r="D293" s="96">
        <v>-12.077624399999999</v>
      </c>
      <c r="E293" s="96">
        <v>-77.085656599999993</v>
      </c>
    </row>
    <row r="294" spans="2:5" x14ac:dyDescent="0.25">
      <c r="B294" t="s">
        <v>4580</v>
      </c>
      <c r="C294" s="97" t="s">
        <v>5139</v>
      </c>
      <c r="D294" s="96">
        <v>-12.0629031</v>
      </c>
      <c r="E294" s="96">
        <v>-77.091803400000003</v>
      </c>
    </row>
    <row r="295" spans="2:5" x14ac:dyDescent="0.25">
      <c r="B295" t="s">
        <v>4581</v>
      </c>
      <c r="C295" s="97" t="s">
        <v>5139</v>
      </c>
      <c r="D295" s="96">
        <v>-12.0491992</v>
      </c>
      <c r="E295" s="96">
        <v>-77.110827</v>
      </c>
    </row>
    <row r="296" spans="2:5" x14ac:dyDescent="0.25">
      <c r="B296" t="s">
        <v>4582</v>
      </c>
      <c r="C296" s="97" t="s">
        <v>5139</v>
      </c>
      <c r="D296" s="96">
        <v>-12.050621100000001</v>
      </c>
      <c r="E296" s="96">
        <v>-77.086762100000001</v>
      </c>
    </row>
    <row r="297" spans="2:5" x14ac:dyDescent="0.25">
      <c r="B297" t="s">
        <v>4583</v>
      </c>
      <c r="C297" s="97" t="s">
        <v>5139</v>
      </c>
      <c r="D297" s="96">
        <v>-12.0507521</v>
      </c>
      <c r="E297" s="96">
        <v>-77.086833900000002</v>
      </c>
    </row>
    <row r="298" spans="2:5" x14ac:dyDescent="0.25">
      <c r="B298" t="s">
        <v>4584</v>
      </c>
      <c r="C298" s="97" t="s">
        <v>5139</v>
      </c>
      <c r="D298" s="96">
        <v>-12.0982755</v>
      </c>
      <c r="E298" s="96">
        <v>-77.055478600000001</v>
      </c>
    </row>
    <row r="299" spans="2:5" x14ac:dyDescent="0.25">
      <c r="B299" t="s">
        <v>4585</v>
      </c>
      <c r="C299" s="97" t="s">
        <v>5139</v>
      </c>
      <c r="D299" s="96">
        <v>-12.091741000000001</v>
      </c>
      <c r="E299" s="96">
        <v>-77.072070999999994</v>
      </c>
    </row>
    <row r="300" spans="2:5" x14ac:dyDescent="0.25">
      <c r="B300" t="s">
        <v>4586</v>
      </c>
      <c r="C300" s="97" t="s">
        <v>5139</v>
      </c>
      <c r="D300" s="96">
        <v>-12.1062589</v>
      </c>
      <c r="E300" s="96">
        <v>-77.040484500000005</v>
      </c>
    </row>
    <row r="301" spans="2:5" x14ac:dyDescent="0.25">
      <c r="B301" t="s">
        <v>4587</v>
      </c>
      <c r="C301" s="97" t="s">
        <v>5139</v>
      </c>
      <c r="D301" s="96">
        <v>-12.118941599999999</v>
      </c>
      <c r="E301" s="96">
        <v>-77.0329634</v>
      </c>
    </row>
    <row r="302" spans="2:5" x14ac:dyDescent="0.25">
      <c r="B302" t="s">
        <v>4588</v>
      </c>
      <c r="C302" s="97" t="s">
        <v>5139</v>
      </c>
      <c r="D302" s="96">
        <v>-12.124694</v>
      </c>
      <c r="E302" s="96">
        <v>-77.029578900000004</v>
      </c>
    </row>
    <row r="303" spans="2:5" x14ac:dyDescent="0.25">
      <c r="B303" t="s">
        <v>4589</v>
      </c>
      <c r="C303" s="97" t="s">
        <v>5139</v>
      </c>
      <c r="D303" s="96">
        <v>-12.123757899999999</v>
      </c>
      <c r="E303" s="96">
        <v>-77.034699799999999</v>
      </c>
    </row>
    <row r="304" spans="2:5" x14ac:dyDescent="0.25">
      <c r="B304" t="s">
        <v>4590</v>
      </c>
      <c r="C304" s="97" t="s">
        <v>5139</v>
      </c>
      <c r="D304" s="96">
        <v>-12.1671174</v>
      </c>
      <c r="E304" s="96">
        <v>-77.030952200000002</v>
      </c>
    </row>
    <row r="305" spans="2:5" x14ac:dyDescent="0.25">
      <c r="B305" t="s">
        <v>4591</v>
      </c>
      <c r="C305" s="97" t="s">
        <v>5139</v>
      </c>
      <c r="D305" s="96">
        <v>-12.182816900000001</v>
      </c>
      <c r="E305" s="96">
        <v>-77.004052400000006</v>
      </c>
    </row>
    <row r="306" spans="2:5" x14ac:dyDescent="0.25">
      <c r="B306" t="s">
        <v>4592</v>
      </c>
      <c r="C306" s="97" t="s">
        <v>5139</v>
      </c>
      <c r="D306" s="96">
        <v>-12.172768599999999</v>
      </c>
      <c r="E306" s="96">
        <v>-77.013213800000003</v>
      </c>
    </row>
    <row r="307" spans="2:5" x14ac:dyDescent="0.25">
      <c r="B307" t="s">
        <v>4593</v>
      </c>
      <c r="C307" s="97" t="s">
        <v>5139</v>
      </c>
      <c r="D307" s="96">
        <v>-12.1288959</v>
      </c>
      <c r="E307" s="96">
        <v>-76.983455199999995</v>
      </c>
    </row>
    <row r="308" spans="2:5" x14ac:dyDescent="0.25">
      <c r="B308" t="s">
        <v>4594</v>
      </c>
      <c r="C308" s="97" t="s">
        <v>5139</v>
      </c>
      <c r="D308" s="96">
        <v>-12.126054099999999</v>
      </c>
      <c r="E308" s="96">
        <v>-76.999715199999997</v>
      </c>
    </row>
    <row r="309" spans="2:5" x14ac:dyDescent="0.25">
      <c r="B309" t="s">
        <v>4595</v>
      </c>
      <c r="C309" s="97" t="s">
        <v>5139</v>
      </c>
      <c r="D309" s="96">
        <v>-12.121775899999999</v>
      </c>
      <c r="E309" s="96">
        <v>-77.011723799999999</v>
      </c>
    </row>
    <row r="310" spans="2:5" x14ac:dyDescent="0.25">
      <c r="B310" t="s">
        <v>4596</v>
      </c>
      <c r="C310" s="97" t="s">
        <v>5139</v>
      </c>
      <c r="D310" s="96">
        <v>-12.111694099999999</v>
      </c>
      <c r="E310" s="96">
        <v>-77.012539399999994</v>
      </c>
    </row>
    <row r="311" spans="2:5" x14ac:dyDescent="0.25">
      <c r="B311" t="s">
        <v>4597</v>
      </c>
      <c r="C311" s="97" t="s">
        <v>5139</v>
      </c>
      <c r="D311" s="96">
        <v>-12.1120217</v>
      </c>
      <c r="E311" s="96">
        <v>-76.991116000000005</v>
      </c>
    </row>
    <row r="312" spans="2:5" x14ac:dyDescent="0.25">
      <c r="B312" t="s">
        <v>4598</v>
      </c>
      <c r="C312" s="97" t="s">
        <v>5139</v>
      </c>
      <c r="D312" s="96">
        <v>-7.1568335000000003</v>
      </c>
      <c r="E312" s="96">
        <v>-78.519618100000002</v>
      </c>
    </row>
    <row r="313" spans="2:5" x14ac:dyDescent="0.25">
      <c r="B313" t="s">
        <v>4599</v>
      </c>
      <c r="C313" s="97" t="s">
        <v>5139</v>
      </c>
      <c r="D313" s="96">
        <v>-6.7746766999999997</v>
      </c>
      <c r="E313" s="96">
        <v>-79.838603300000003</v>
      </c>
    </row>
    <row r="314" spans="2:5" x14ac:dyDescent="0.25">
      <c r="B314" t="s">
        <v>4600</v>
      </c>
      <c r="C314" s="97" t="s">
        <v>5139</v>
      </c>
      <c r="D314" s="96">
        <v>-6.7818608999999999</v>
      </c>
      <c r="E314" s="96">
        <v>-79.842416</v>
      </c>
    </row>
    <row r="315" spans="2:5" x14ac:dyDescent="0.25">
      <c r="B315" t="s">
        <v>4601</v>
      </c>
      <c r="C315" s="97" t="s">
        <v>5139</v>
      </c>
      <c r="D315" s="96">
        <v>-9.0749326000000003</v>
      </c>
      <c r="E315" s="96">
        <v>-78.594224400000002</v>
      </c>
    </row>
    <row r="316" spans="2:5" x14ac:dyDescent="0.25">
      <c r="B316" t="s">
        <v>4602</v>
      </c>
      <c r="C316" s="97" t="s">
        <v>5139</v>
      </c>
      <c r="D316" s="96">
        <v>-5.1974931</v>
      </c>
      <c r="E316" s="96">
        <v>-80.627184200000002</v>
      </c>
    </row>
    <row r="317" spans="2:5" x14ac:dyDescent="0.25">
      <c r="B317" t="s">
        <v>4603</v>
      </c>
      <c r="C317" s="97" t="s">
        <v>5139</v>
      </c>
      <c r="D317" s="96">
        <v>-5.1938943999999996</v>
      </c>
      <c r="E317" s="96">
        <v>-80.620459999999994</v>
      </c>
    </row>
    <row r="318" spans="2:5" x14ac:dyDescent="0.25">
      <c r="B318" t="s">
        <v>4604</v>
      </c>
      <c r="C318" s="97" t="s">
        <v>5139</v>
      </c>
      <c r="D318" s="96">
        <v>-4.8915360999999997</v>
      </c>
      <c r="E318" s="96">
        <v>-80.688014600000002</v>
      </c>
    </row>
    <row r="319" spans="2:5" x14ac:dyDescent="0.25">
      <c r="B319" t="s">
        <v>4605</v>
      </c>
      <c r="C319" s="97" t="s">
        <v>5139</v>
      </c>
      <c r="D319" s="96">
        <v>-8.1091409999999993</v>
      </c>
      <c r="E319" s="96">
        <v>-79.025939199999996</v>
      </c>
    </row>
    <row r="320" spans="2:5" x14ac:dyDescent="0.25">
      <c r="B320" t="s">
        <v>4606</v>
      </c>
      <c r="C320" s="97" t="s">
        <v>5139</v>
      </c>
      <c r="D320" s="96">
        <v>-8.1178112999999996</v>
      </c>
      <c r="E320" s="96">
        <v>-79.033026399999997</v>
      </c>
    </row>
    <row r="321" spans="2:5" x14ac:dyDescent="0.25">
      <c r="B321" t="s">
        <v>4607</v>
      </c>
      <c r="C321" s="97" t="s">
        <v>5139</v>
      </c>
      <c r="D321" s="96">
        <v>-12.234268800000001</v>
      </c>
      <c r="E321" s="96">
        <v>-76.959569599999995</v>
      </c>
    </row>
    <row r="322" spans="2:5" x14ac:dyDescent="0.25">
      <c r="B322" t="s">
        <v>4608</v>
      </c>
      <c r="C322" s="97" t="s">
        <v>5139</v>
      </c>
      <c r="D322" s="96">
        <v>-8.1119426000000008</v>
      </c>
      <c r="E322" s="96">
        <v>-78.9989475</v>
      </c>
    </row>
    <row r="323" spans="2:5" x14ac:dyDescent="0.25">
      <c r="B323" t="s">
        <v>4609</v>
      </c>
      <c r="C323" s="97" t="s">
        <v>5139</v>
      </c>
      <c r="D323" s="96">
        <v>-12.0983684</v>
      </c>
      <c r="E323" s="96">
        <v>-77.026504299999999</v>
      </c>
    </row>
    <row r="324" spans="2:5" x14ac:dyDescent="0.25">
      <c r="B324" t="s">
        <v>4610</v>
      </c>
      <c r="C324" s="97" t="s">
        <v>5139</v>
      </c>
      <c r="D324" s="96">
        <v>-12.091321199999999</v>
      </c>
      <c r="E324" s="96">
        <v>-76.951036099999996</v>
      </c>
    </row>
    <row r="325" spans="2:5" x14ac:dyDescent="0.25">
      <c r="B325" t="s">
        <v>4611</v>
      </c>
      <c r="C325" s="97" t="s">
        <v>5139</v>
      </c>
      <c r="D325" s="96">
        <v>-12.076378699999999</v>
      </c>
      <c r="E325" s="96">
        <v>-76.964350999999994</v>
      </c>
    </row>
    <row r="326" spans="2:5" x14ac:dyDescent="0.25">
      <c r="B326" t="s">
        <v>4612</v>
      </c>
      <c r="C326" s="97" t="s">
        <v>5139</v>
      </c>
      <c r="D326" s="96">
        <v>-12.077092800000001</v>
      </c>
      <c r="E326" s="96">
        <v>-76.916946800000005</v>
      </c>
    </row>
    <row r="327" spans="2:5" x14ac:dyDescent="0.25">
      <c r="B327" t="s">
        <v>4613</v>
      </c>
      <c r="C327" s="97" t="s">
        <v>5139</v>
      </c>
      <c r="D327" s="96">
        <v>-12.085706800000001</v>
      </c>
      <c r="E327" s="96">
        <v>-77.035331499999998</v>
      </c>
    </row>
    <row r="328" spans="2:5" x14ac:dyDescent="0.25">
      <c r="B328" t="s">
        <v>4614</v>
      </c>
      <c r="C328" s="97" t="s">
        <v>5139</v>
      </c>
      <c r="D328" s="96">
        <v>-12.0071558</v>
      </c>
      <c r="E328" s="96">
        <v>-77.059456999999995</v>
      </c>
    </row>
    <row r="329" spans="2:5" x14ac:dyDescent="0.25">
      <c r="B329" t="s">
        <v>4615</v>
      </c>
      <c r="C329" s="97" t="s">
        <v>5139</v>
      </c>
      <c r="D329" s="96">
        <v>-11.992644500000001</v>
      </c>
      <c r="E329" s="96">
        <v>-77.064264499999993</v>
      </c>
    </row>
    <row r="330" spans="2:5" x14ac:dyDescent="0.25">
      <c r="B330" t="s">
        <v>4616</v>
      </c>
      <c r="C330" s="97" t="s">
        <v>5139</v>
      </c>
      <c r="D330" s="96">
        <v>-12.007261</v>
      </c>
      <c r="E330" s="96">
        <v>-77.055790700000003</v>
      </c>
    </row>
    <row r="331" spans="2:5" x14ac:dyDescent="0.25">
      <c r="B331" t="s">
        <v>4617</v>
      </c>
      <c r="C331" s="97" t="s">
        <v>5139</v>
      </c>
      <c r="D331" s="96">
        <v>-12.087282</v>
      </c>
      <c r="E331" s="96">
        <v>-76.977735699999997</v>
      </c>
    </row>
    <row r="332" spans="2:5" x14ac:dyDescent="0.25">
      <c r="B332" t="s">
        <v>4618</v>
      </c>
      <c r="C332" s="97" t="s">
        <v>5139</v>
      </c>
      <c r="D332" s="96">
        <v>-12.1008374</v>
      </c>
      <c r="E332" s="96">
        <v>-76.971754500000003</v>
      </c>
    </row>
    <row r="333" spans="2:5" x14ac:dyDescent="0.25">
      <c r="B333" t="s">
        <v>4619</v>
      </c>
      <c r="C333" s="97" t="s">
        <v>5139</v>
      </c>
      <c r="D333" s="96">
        <v>-12.108432000000001</v>
      </c>
      <c r="E333" s="96">
        <v>-76.972435700000005</v>
      </c>
    </row>
    <row r="334" spans="2:5" x14ac:dyDescent="0.25">
      <c r="B334" t="s">
        <v>4620</v>
      </c>
      <c r="C334" s="97" t="s">
        <v>5139</v>
      </c>
      <c r="D334" s="96">
        <v>-12.0497526</v>
      </c>
      <c r="E334" s="96">
        <v>-77.034084699999994</v>
      </c>
    </row>
    <row r="335" spans="2:5" x14ac:dyDescent="0.25">
      <c r="B335" t="s">
        <v>4621</v>
      </c>
      <c r="C335" s="97" t="s">
        <v>5139</v>
      </c>
      <c r="D335" s="96">
        <v>-12.050827</v>
      </c>
      <c r="E335" s="96">
        <v>-77.025780400000002</v>
      </c>
    </row>
    <row r="336" spans="2:5" x14ac:dyDescent="0.25">
      <c r="B336" t="s">
        <v>4622</v>
      </c>
      <c r="C336" s="97" t="s">
        <v>5139</v>
      </c>
      <c r="D336" s="96">
        <v>-12.0548477</v>
      </c>
      <c r="E336" s="96">
        <v>-77.044915200000005</v>
      </c>
    </row>
    <row r="337" spans="2:5" x14ac:dyDescent="0.25">
      <c r="B337" t="s">
        <v>4623</v>
      </c>
      <c r="C337" s="97" t="s">
        <v>5139</v>
      </c>
      <c r="D337" s="96">
        <v>-12.0013252</v>
      </c>
      <c r="E337" s="96">
        <v>-77.008836900000006</v>
      </c>
    </row>
    <row r="338" spans="2:5" x14ac:dyDescent="0.25">
      <c r="B338" t="s">
        <v>4624</v>
      </c>
      <c r="C338" s="97" t="s">
        <v>5139</v>
      </c>
      <c r="D338" s="96">
        <v>-12.0564389</v>
      </c>
      <c r="E338" s="96">
        <v>-76.969616000000002</v>
      </c>
    </row>
    <row r="339" spans="2:5" x14ac:dyDescent="0.25">
      <c r="B339" t="s">
        <v>4625</v>
      </c>
      <c r="C339" s="97" t="s">
        <v>5139</v>
      </c>
      <c r="D339" s="96">
        <v>-12.037541900000001</v>
      </c>
      <c r="E339" s="96">
        <v>-76.948286800000005</v>
      </c>
    </row>
    <row r="340" spans="2:5" x14ac:dyDescent="0.25">
      <c r="B340" t="s">
        <v>4626</v>
      </c>
      <c r="C340" s="97" t="s">
        <v>5139</v>
      </c>
      <c r="D340" s="96">
        <v>-12.0805094</v>
      </c>
      <c r="E340" s="96">
        <v>-77.0252816</v>
      </c>
    </row>
    <row r="341" spans="2:5" x14ac:dyDescent="0.25">
      <c r="B341" t="s">
        <v>4627</v>
      </c>
      <c r="C341" s="97" t="s">
        <v>5139</v>
      </c>
      <c r="D341" s="96">
        <v>-12.089252</v>
      </c>
      <c r="E341" s="96">
        <v>-77.004040000000003</v>
      </c>
    </row>
    <row r="342" spans="2:5" x14ac:dyDescent="0.25">
      <c r="B342" t="s">
        <v>4628</v>
      </c>
      <c r="C342" s="97" t="s">
        <v>5139</v>
      </c>
      <c r="D342" s="96">
        <v>-12.092200099999999</v>
      </c>
      <c r="E342" s="96">
        <v>-76.995667299999994</v>
      </c>
    </row>
    <row r="343" spans="2:5" x14ac:dyDescent="0.25">
      <c r="B343" t="s">
        <v>4629</v>
      </c>
      <c r="C343" s="97" t="s">
        <v>5139</v>
      </c>
      <c r="D343" s="96">
        <v>-12.074718600000001</v>
      </c>
      <c r="E343" s="96">
        <v>-77.050773199999995</v>
      </c>
    </row>
    <row r="344" spans="2:5" x14ac:dyDescent="0.25">
      <c r="B344" t="s">
        <v>4630</v>
      </c>
      <c r="C344" s="97" t="s">
        <v>5139</v>
      </c>
      <c r="D344" s="96">
        <v>-6.4868015999999997</v>
      </c>
      <c r="E344" s="96">
        <v>-76.358847699999998</v>
      </c>
    </row>
    <row r="345" spans="2:5" x14ac:dyDescent="0.25">
      <c r="B345" t="s">
        <v>4631</v>
      </c>
      <c r="C345" s="97" t="s">
        <v>5139</v>
      </c>
      <c r="D345" s="96">
        <v>-12.068828399999999</v>
      </c>
      <c r="E345" s="96">
        <v>-75.210782600000002</v>
      </c>
    </row>
    <row r="346" spans="2:5" x14ac:dyDescent="0.25">
      <c r="B346" t="s">
        <v>4632</v>
      </c>
      <c r="C346" s="97" t="s">
        <v>5139</v>
      </c>
      <c r="D346" s="96">
        <v>-13.5290087</v>
      </c>
      <c r="E346" s="96">
        <v>-71.953257300000004</v>
      </c>
    </row>
    <row r="347" spans="2:5" x14ac:dyDescent="0.25">
      <c r="B347" t="s">
        <v>4633</v>
      </c>
      <c r="C347" s="97" t="s">
        <v>5139</v>
      </c>
      <c r="D347" s="96">
        <v>-13.5215771</v>
      </c>
      <c r="E347" s="96">
        <v>-71.9754583</v>
      </c>
    </row>
    <row r="348" spans="2:5" x14ac:dyDescent="0.25">
      <c r="B348" t="s">
        <v>4634</v>
      </c>
      <c r="C348" s="97" t="s">
        <v>5139</v>
      </c>
      <c r="D348" s="96">
        <v>-14.0723235</v>
      </c>
      <c r="E348" s="96">
        <v>-75.7281397</v>
      </c>
    </row>
    <row r="349" spans="2:5" x14ac:dyDescent="0.25">
      <c r="B349" t="s">
        <v>4635</v>
      </c>
      <c r="C349" s="97" t="s">
        <v>5139</v>
      </c>
      <c r="D349" s="96">
        <v>-16.388190099999999</v>
      </c>
      <c r="E349" s="96">
        <v>-71.547308999999998</v>
      </c>
    </row>
    <row r="350" spans="2:5" x14ac:dyDescent="0.25">
      <c r="B350" t="s">
        <v>4636</v>
      </c>
      <c r="C350" s="97" t="s">
        <v>5139</v>
      </c>
      <c r="D350" s="96">
        <v>-16.398539400000001</v>
      </c>
      <c r="E350" s="96">
        <v>-71.5338244</v>
      </c>
    </row>
    <row r="351" spans="2:5" x14ac:dyDescent="0.25">
      <c r="B351" t="s">
        <v>4637</v>
      </c>
      <c r="C351" s="97" t="s">
        <v>5139</v>
      </c>
      <c r="D351" s="96">
        <v>-8.3857569999999999</v>
      </c>
      <c r="E351" s="96">
        <v>-74.531460100000004</v>
      </c>
    </row>
    <row r="352" spans="2:5" x14ac:dyDescent="0.25">
      <c r="B352" t="s">
        <v>4638</v>
      </c>
      <c r="C352" s="97" t="s">
        <v>5139</v>
      </c>
      <c r="D352" s="96">
        <v>-15.5015786</v>
      </c>
      <c r="E352" s="96">
        <v>-70.088254699999993</v>
      </c>
    </row>
    <row r="353" spans="2:5" x14ac:dyDescent="0.25">
      <c r="B353" t="s">
        <v>4639</v>
      </c>
      <c r="C353" s="97" t="s">
        <v>5139</v>
      </c>
      <c r="D353" s="96">
        <v>-18.012157800000001</v>
      </c>
      <c r="E353" s="96">
        <v>-70.248589199999998</v>
      </c>
    </row>
    <row r="354" spans="2:5" x14ac:dyDescent="0.25">
      <c r="B354" t="s">
        <v>4640</v>
      </c>
      <c r="C354" s="97" t="s">
        <v>5139</v>
      </c>
      <c r="D354" s="96">
        <v>-3.7305793999999999</v>
      </c>
      <c r="E354" s="96">
        <v>-73.250642600000006</v>
      </c>
    </row>
    <row r="355" spans="2:5" x14ac:dyDescent="0.25">
      <c r="B355" t="s">
        <v>4641</v>
      </c>
      <c r="C355" s="97" t="s">
        <v>5139</v>
      </c>
      <c r="D355" s="96">
        <v>-13.4128825</v>
      </c>
      <c r="E355" s="96">
        <v>-76.132166499999997</v>
      </c>
    </row>
    <row r="356" spans="2:5" x14ac:dyDescent="0.25">
      <c r="B356" t="s">
        <v>4642</v>
      </c>
      <c r="C356" s="97" t="s">
        <v>5139</v>
      </c>
      <c r="D356" s="96">
        <v>-12.045139300000001</v>
      </c>
      <c r="E356" s="96">
        <v>-77.061543</v>
      </c>
    </row>
    <row r="357" spans="2:5" x14ac:dyDescent="0.25">
      <c r="B357" t="s">
        <v>4643</v>
      </c>
      <c r="C357" s="97" t="s">
        <v>5139</v>
      </c>
      <c r="D357" s="96">
        <v>-12.0167748</v>
      </c>
      <c r="E357" s="96">
        <v>-76.877027999999996</v>
      </c>
    </row>
    <row r="358" spans="2:5" x14ac:dyDescent="0.25">
      <c r="B358" t="s">
        <v>4644</v>
      </c>
      <c r="C358" s="97" t="s">
        <v>5140</v>
      </c>
      <c r="D358" s="96">
        <v>-12.0466888</v>
      </c>
      <c r="E358" s="96">
        <v>-77.043088600000004</v>
      </c>
    </row>
    <row r="359" spans="2:5" x14ac:dyDescent="0.25">
      <c r="B359" t="s">
        <v>4645</v>
      </c>
      <c r="C359" s="97" t="s">
        <v>5140</v>
      </c>
      <c r="D359" s="96">
        <v>-12.0466888</v>
      </c>
      <c r="E359" s="96">
        <v>-77.043088600000004</v>
      </c>
    </row>
    <row r="360" spans="2:5" x14ac:dyDescent="0.25">
      <c r="B360" t="s">
        <v>4646</v>
      </c>
      <c r="C360" s="97" t="s">
        <v>5140</v>
      </c>
      <c r="D360" s="96">
        <v>-12.122486</v>
      </c>
      <c r="E360" s="96">
        <v>-77.031353899999999</v>
      </c>
    </row>
    <row r="361" spans="2:5" x14ac:dyDescent="0.25">
      <c r="B361" t="s">
        <v>4647</v>
      </c>
      <c r="C361" s="97" t="s">
        <v>5140</v>
      </c>
      <c r="D361" s="96">
        <v>-12.107748499771599</v>
      </c>
      <c r="E361" s="96">
        <v>-77.036022678901006</v>
      </c>
    </row>
    <row r="362" spans="2:5" x14ac:dyDescent="0.25">
      <c r="B362" t="s">
        <v>4648</v>
      </c>
      <c r="C362" s="97" t="s">
        <v>5140</v>
      </c>
      <c r="D362" s="96">
        <v>-12.1133253790938</v>
      </c>
      <c r="E362" s="96">
        <v>-77.028551374731293</v>
      </c>
    </row>
    <row r="363" spans="2:5" x14ac:dyDescent="0.25">
      <c r="B363" t="s">
        <v>4649</v>
      </c>
      <c r="C363" s="97" t="s">
        <v>5140</v>
      </c>
      <c r="D363" s="96">
        <v>-12.111694099999999</v>
      </c>
      <c r="E363" s="96">
        <v>-77.012539399999994</v>
      </c>
    </row>
    <row r="364" spans="2:5" x14ac:dyDescent="0.25">
      <c r="B364" t="s">
        <v>4650</v>
      </c>
      <c r="C364" s="97" t="s">
        <v>5140</v>
      </c>
      <c r="D364" s="96">
        <v>-12.1028384</v>
      </c>
      <c r="E364" s="96">
        <v>-77.028462300000001</v>
      </c>
    </row>
    <row r="365" spans="2:5" x14ac:dyDescent="0.25">
      <c r="B365" t="s">
        <v>4651</v>
      </c>
      <c r="C365" s="97" t="s">
        <v>5140</v>
      </c>
      <c r="D365" s="96">
        <v>-12.0928617715863</v>
      </c>
      <c r="E365" s="96">
        <v>-77.020514887206701</v>
      </c>
    </row>
    <row r="366" spans="2:5" x14ac:dyDescent="0.25">
      <c r="B366" t="s">
        <v>4652</v>
      </c>
      <c r="C366" s="97" t="s">
        <v>5140</v>
      </c>
      <c r="D366" s="96">
        <v>-12.1132974</v>
      </c>
      <c r="E366" s="96">
        <v>-77.048417999999998</v>
      </c>
    </row>
    <row r="367" spans="2:5" x14ac:dyDescent="0.25">
      <c r="B367" t="s">
        <v>4653</v>
      </c>
      <c r="C367" s="97" t="s">
        <v>5140</v>
      </c>
      <c r="D367" s="96">
        <v>-12.077474499999999</v>
      </c>
      <c r="E367" s="96">
        <v>-77.064892400000005</v>
      </c>
    </row>
    <row r="368" spans="2:5" x14ac:dyDescent="0.25">
      <c r="B368" t="s">
        <v>4654</v>
      </c>
      <c r="C368" s="97" t="s">
        <v>5140</v>
      </c>
      <c r="D368" s="96">
        <v>-12.123757899999999</v>
      </c>
      <c r="E368" s="96">
        <v>-77.034699799999999</v>
      </c>
    </row>
    <row r="369" spans="2:5" x14ac:dyDescent="0.25">
      <c r="B369" t="s">
        <v>4655</v>
      </c>
      <c r="C369" s="97" t="s">
        <v>5140</v>
      </c>
      <c r="D369" s="96">
        <v>-12.094965999999999</v>
      </c>
      <c r="E369" s="96">
        <v>-77.037469200000004</v>
      </c>
    </row>
    <row r="370" spans="2:5" x14ac:dyDescent="0.25">
      <c r="B370" t="s">
        <v>4656</v>
      </c>
      <c r="C370" s="97" t="s">
        <v>5140</v>
      </c>
      <c r="D370" s="96">
        <v>-12.03506</v>
      </c>
      <c r="E370" s="96">
        <v>-77.127669999999995</v>
      </c>
    </row>
    <row r="371" spans="2:5" x14ac:dyDescent="0.25">
      <c r="B371" t="s">
        <v>4657</v>
      </c>
      <c r="C371" s="97" t="s">
        <v>5140</v>
      </c>
      <c r="D371" s="96">
        <v>-12.0551303</v>
      </c>
      <c r="E371" s="96">
        <v>-77.102621799999994</v>
      </c>
    </row>
    <row r="372" spans="2:5" x14ac:dyDescent="0.25">
      <c r="B372" t="s">
        <v>4658</v>
      </c>
      <c r="C372" s="97" t="s">
        <v>5140</v>
      </c>
      <c r="D372" s="96">
        <v>-12.126336999999999</v>
      </c>
      <c r="E372" s="96">
        <v>-77.018081100000003</v>
      </c>
    </row>
    <row r="373" spans="2:5" x14ac:dyDescent="0.25">
      <c r="B373" t="s">
        <v>4659</v>
      </c>
      <c r="C373" s="97" t="s">
        <v>5140</v>
      </c>
      <c r="D373" s="96" t="s">
        <v>5046</v>
      </c>
      <c r="E373" s="96" t="s">
        <v>5104</v>
      </c>
    </row>
    <row r="374" spans="2:5" x14ac:dyDescent="0.25">
      <c r="B374" t="s">
        <v>4660</v>
      </c>
      <c r="C374" s="97" t="s">
        <v>5140</v>
      </c>
      <c r="D374" s="96">
        <v>-12.121775599999999</v>
      </c>
      <c r="E374" s="96">
        <v>-77.011698100000004</v>
      </c>
    </row>
    <row r="375" spans="2:5" x14ac:dyDescent="0.25">
      <c r="B375" t="s">
        <v>4661</v>
      </c>
      <c r="C375" s="97" t="s">
        <v>5140</v>
      </c>
      <c r="D375" s="96">
        <v>-12.0855788</v>
      </c>
      <c r="E375" s="96">
        <v>-77.034595499999995</v>
      </c>
    </row>
    <row r="376" spans="2:5" x14ac:dyDescent="0.25">
      <c r="B376" t="s">
        <v>4662</v>
      </c>
      <c r="C376" s="97" t="s">
        <v>5140</v>
      </c>
      <c r="D376" s="96" t="s">
        <v>5079</v>
      </c>
      <c r="E376" s="96" t="s">
        <v>5137</v>
      </c>
    </row>
    <row r="377" spans="2:5" x14ac:dyDescent="0.25">
      <c r="B377" t="s">
        <v>4663</v>
      </c>
      <c r="C377" s="97" t="s">
        <v>5140</v>
      </c>
      <c r="D377" s="96">
        <v>-12.077474499999999</v>
      </c>
      <c r="E377" s="96">
        <v>-77.064892400000005</v>
      </c>
    </row>
    <row r="378" spans="2:5" x14ac:dyDescent="0.25">
      <c r="B378" t="s">
        <v>4664</v>
      </c>
      <c r="C378" s="97" t="s">
        <v>5140</v>
      </c>
      <c r="D378" s="96">
        <v>-12.077364599999999</v>
      </c>
      <c r="E378" s="96">
        <v>-77.083437399999994</v>
      </c>
    </row>
    <row r="379" spans="2:5" x14ac:dyDescent="0.25">
      <c r="B379" t="s">
        <v>4665</v>
      </c>
      <c r="C379" s="97" t="s">
        <v>5140</v>
      </c>
      <c r="D379" s="96">
        <v>-11.959166</v>
      </c>
      <c r="E379" s="96">
        <v>-77.128092199999998</v>
      </c>
    </row>
    <row r="380" spans="2:5" x14ac:dyDescent="0.25">
      <c r="B380" t="s">
        <v>4666</v>
      </c>
      <c r="C380" s="97" t="s">
        <v>5140</v>
      </c>
      <c r="D380" s="96">
        <v>-12.0973971</v>
      </c>
      <c r="E380" s="96">
        <v>-77.036082100000002</v>
      </c>
    </row>
    <row r="381" spans="2:5" x14ac:dyDescent="0.25">
      <c r="B381" t="s">
        <v>4667</v>
      </c>
      <c r="C381" s="97" t="s">
        <v>5140</v>
      </c>
      <c r="D381" s="96">
        <v>-12.0975237</v>
      </c>
      <c r="E381" s="96">
        <v>-77.020115399999995</v>
      </c>
    </row>
    <row r="382" spans="2:5" x14ac:dyDescent="0.25">
      <c r="B382" t="s">
        <v>4668</v>
      </c>
      <c r="C382" s="97" t="s">
        <v>5140</v>
      </c>
      <c r="D382" s="96">
        <v>-12.1088641</v>
      </c>
      <c r="E382" s="96">
        <v>-77.038359499999999</v>
      </c>
    </row>
    <row r="383" spans="2:5" x14ac:dyDescent="0.25">
      <c r="B383" t="s">
        <v>4669</v>
      </c>
      <c r="C383" s="97" t="s">
        <v>5140</v>
      </c>
      <c r="D383" s="96">
        <v>-12.0507521</v>
      </c>
      <c r="E383" s="96">
        <v>-77.086833900000002</v>
      </c>
    </row>
    <row r="384" spans="2:5" x14ac:dyDescent="0.25">
      <c r="B384" t="s">
        <v>4670</v>
      </c>
      <c r="C384" s="97" t="s">
        <v>5140</v>
      </c>
      <c r="D384" s="96">
        <v>-12.1148501</v>
      </c>
      <c r="E384" s="96">
        <v>-77.036853899999997</v>
      </c>
    </row>
    <row r="385" spans="2:5" x14ac:dyDescent="0.25">
      <c r="B385" t="s">
        <v>4671</v>
      </c>
      <c r="C385" s="97" t="s">
        <v>5140</v>
      </c>
      <c r="D385" s="96">
        <v>-12.108547099999999</v>
      </c>
      <c r="E385" s="96">
        <v>-77.035807899999995</v>
      </c>
    </row>
    <row r="386" spans="2:5" x14ac:dyDescent="0.25">
      <c r="B386" t="s">
        <v>4672</v>
      </c>
      <c r="C386" s="97" t="s">
        <v>5140</v>
      </c>
      <c r="D386" s="96">
        <v>-12.0799438567153</v>
      </c>
      <c r="E386" s="96">
        <v>-77.036369423916497</v>
      </c>
    </row>
    <row r="387" spans="2:5" x14ac:dyDescent="0.25">
      <c r="B387" t="s">
        <v>4673</v>
      </c>
      <c r="C387" s="97" t="s">
        <v>5140</v>
      </c>
      <c r="D387" s="96" t="s">
        <v>5075</v>
      </c>
      <c r="E387" s="96" t="s">
        <v>5133</v>
      </c>
    </row>
    <row r="388" spans="2:5" x14ac:dyDescent="0.25">
      <c r="B388" t="s">
        <v>4674</v>
      </c>
      <c r="C388" s="97" t="s">
        <v>5140</v>
      </c>
      <c r="D388" s="96">
        <v>-12.053926000000001</v>
      </c>
      <c r="E388" s="96">
        <v>-77.146424999999994</v>
      </c>
    </row>
    <row r="389" spans="2:5" x14ac:dyDescent="0.25">
      <c r="B389" t="s">
        <v>4675</v>
      </c>
      <c r="C389" s="97" t="s">
        <v>5140</v>
      </c>
      <c r="D389" s="96">
        <v>-12.0629031</v>
      </c>
      <c r="E389" s="96">
        <v>-77.091803400000003</v>
      </c>
    </row>
    <row r="390" spans="2:5" x14ac:dyDescent="0.25">
      <c r="B390" t="s">
        <v>4676</v>
      </c>
      <c r="C390" s="97" t="s">
        <v>5140</v>
      </c>
      <c r="D390" s="96">
        <v>-14.0732065</v>
      </c>
      <c r="E390" s="96">
        <v>-75.723974400000003</v>
      </c>
    </row>
    <row r="391" spans="2:5" x14ac:dyDescent="0.25">
      <c r="B391" t="s">
        <v>4677</v>
      </c>
      <c r="C391" s="97" t="s">
        <v>5140</v>
      </c>
      <c r="D391" s="96">
        <v>-11.9978763</v>
      </c>
      <c r="E391" s="96">
        <v>-77.122106500000001</v>
      </c>
    </row>
    <row r="392" spans="2:5" x14ac:dyDescent="0.25">
      <c r="B392" t="s">
        <v>4678</v>
      </c>
      <c r="C392" s="97" t="s">
        <v>5140</v>
      </c>
      <c r="D392" s="96">
        <v>-11.9978763</v>
      </c>
      <c r="E392" s="96">
        <v>-77.122106500000001</v>
      </c>
    </row>
    <row r="393" spans="2:5" x14ac:dyDescent="0.25">
      <c r="B393" t="s">
        <v>4679</v>
      </c>
      <c r="C393" s="97" t="s">
        <v>5140</v>
      </c>
      <c r="D393" s="96">
        <v>-12.126032</v>
      </c>
      <c r="E393" s="96">
        <v>-77.025981000000002</v>
      </c>
    </row>
    <row r="394" spans="2:5" x14ac:dyDescent="0.25">
      <c r="B394" t="s">
        <v>4680</v>
      </c>
      <c r="C394" s="97" t="s">
        <v>5140</v>
      </c>
      <c r="D394" s="96">
        <v>-12.059605100000001</v>
      </c>
      <c r="E394" s="96">
        <v>-77.127542099999999</v>
      </c>
    </row>
    <row r="395" spans="2:5" x14ac:dyDescent="0.25">
      <c r="B395" t="s">
        <v>4681</v>
      </c>
      <c r="C395" s="97" t="s">
        <v>5140</v>
      </c>
      <c r="D395" s="96">
        <v>-12.092434600000001</v>
      </c>
      <c r="E395" s="96">
        <v>-77.063214700000003</v>
      </c>
    </row>
    <row r="396" spans="2:5" x14ac:dyDescent="0.25">
      <c r="B396" t="s">
        <v>4682</v>
      </c>
      <c r="C396" s="97" t="s">
        <v>5140</v>
      </c>
      <c r="D396" s="96">
        <v>-12.0849823</v>
      </c>
      <c r="E396" s="96">
        <v>-77.049561299999993</v>
      </c>
    </row>
    <row r="397" spans="2:5" x14ac:dyDescent="0.25">
      <c r="B397" t="s">
        <v>4683</v>
      </c>
      <c r="C397" s="97" t="s">
        <v>5140</v>
      </c>
      <c r="D397" s="96">
        <v>-12.0776038</v>
      </c>
      <c r="E397" s="96">
        <v>-77.089853399999996</v>
      </c>
    </row>
    <row r="398" spans="2:5" x14ac:dyDescent="0.25">
      <c r="B398" t="s">
        <v>4684</v>
      </c>
      <c r="C398" s="97" t="s">
        <v>5140</v>
      </c>
      <c r="D398" s="96">
        <v>-17.477607800000001</v>
      </c>
      <c r="E398" s="96">
        <v>-70.033938699999993</v>
      </c>
    </row>
    <row r="399" spans="2:5" x14ac:dyDescent="0.25">
      <c r="B399" t="s">
        <v>4685</v>
      </c>
      <c r="C399" s="97" t="s">
        <v>5140</v>
      </c>
      <c r="D399" s="96">
        <v>-12.092223199999999</v>
      </c>
      <c r="E399" s="96">
        <v>-77.023681600000003</v>
      </c>
    </row>
    <row r="400" spans="2:5" x14ac:dyDescent="0.25">
      <c r="B400" t="s">
        <v>4686</v>
      </c>
      <c r="C400" s="97" t="s">
        <v>5140</v>
      </c>
      <c r="D400" s="96">
        <v>-12.1032832</v>
      </c>
      <c r="E400" s="96">
        <v>-77.031378900000007</v>
      </c>
    </row>
    <row r="401" spans="2:5" x14ac:dyDescent="0.25">
      <c r="B401" t="s">
        <v>4687</v>
      </c>
      <c r="C401" s="97" t="s">
        <v>5140</v>
      </c>
      <c r="D401" s="96">
        <v>-12.0826031</v>
      </c>
      <c r="E401" s="96">
        <v>-77.039152799999997</v>
      </c>
    </row>
    <row r="402" spans="2:5" x14ac:dyDescent="0.25">
      <c r="B402" t="s">
        <v>4688</v>
      </c>
      <c r="C402" s="97" t="s">
        <v>5140</v>
      </c>
      <c r="D402" s="96">
        <v>-12.0918376</v>
      </c>
      <c r="E402" s="96">
        <v>-77.042980700000001</v>
      </c>
    </row>
    <row r="403" spans="2:5" x14ac:dyDescent="0.25">
      <c r="B403" t="s">
        <v>4689</v>
      </c>
      <c r="C403" s="97" t="s">
        <v>5140</v>
      </c>
      <c r="D403" s="96">
        <v>-12.091741000000001</v>
      </c>
      <c r="E403" s="96">
        <v>-77.072070999999994</v>
      </c>
    </row>
    <row r="404" spans="2:5" x14ac:dyDescent="0.25">
      <c r="B404" t="s">
        <v>4690</v>
      </c>
      <c r="C404" s="97" t="s">
        <v>5140</v>
      </c>
      <c r="D404" s="96">
        <v>-12.0551303</v>
      </c>
      <c r="E404" s="96">
        <v>-77.102621799999994</v>
      </c>
    </row>
    <row r="405" spans="2:5" x14ac:dyDescent="0.25">
      <c r="B405" t="s">
        <v>4691</v>
      </c>
      <c r="C405" s="97" t="s">
        <v>5140</v>
      </c>
      <c r="D405" s="96">
        <v>-12.077989499999999</v>
      </c>
      <c r="E405" s="96">
        <v>-77.092330099999998</v>
      </c>
    </row>
    <row r="406" spans="2:5" x14ac:dyDescent="0.25">
      <c r="B406" t="s">
        <v>4692</v>
      </c>
      <c r="C406" s="97" t="s">
        <v>5140</v>
      </c>
      <c r="D406" s="96">
        <v>-12.0471983</v>
      </c>
      <c r="E406" s="96">
        <v>-77.111666200000002</v>
      </c>
    </row>
    <row r="407" spans="2:5" x14ac:dyDescent="0.25">
      <c r="B407" t="s">
        <v>4693</v>
      </c>
      <c r="C407" s="97" t="s">
        <v>5140</v>
      </c>
      <c r="D407" s="96">
        <v>-12.122486</v>
      </c>
      <c r="E407" s="96">
        <v>-77.031353899999999</v>
      </c>
    </row>
    <row r="408" spans="2:5" x14ac:dyDescent="0.25">
      <c r="B408" t="s">
        <v>4694</v>
      </c>
      <c r="C408" s="97" t="s">
        <v>5140</v>
      </c>
      <c r="D408" s="96">
        <v>-12.0483051</v>
      </c>
      <c r="E408" s="96">
        <v>-77.059122200000004</v>
      </c>
    </row>
    <row r="409" spans="2:5" x14ac:dyDescent="0.25">
      <c r="B409" t="s">
        <v>4695</v>
      </c>
      <c r="C409" s="97" t="s">
        <v>5140</v>
      </c>
      <c r="D409" s="96">
        <v>-12.096273999999999</v>
      </c>
      <c r="E409" s="96">
        <v>-77.059515500000003</v>
      </c>
    </row>
    <row r="410" spans="2:5" x14ac:dyDescent="0.25">
      <c r="B410" t="s">
        <v>4696</v>
      </c>
      <c r="C410" s="97" t="s">
        <v>5140</v>
      </c>
      <c r="D410" s="96">
        <v>-12.119286900000001</v>
      </c>
      <c r="E410" s="96">
        <v>-77.029081300000001</v>
      </c>
    </row>
    <row r="411" spans="2:5" x14ac:dyDescent="0.25">
      <c r="B411" t="s">
        <v>4697</v>
      </c>
      <c r="C411" s="97" t="s">
        <v>5140</v>
      </c>
      <c r="D411" s="96">
        <v>-12.0788525</v>
      </c>
      <c r="E411" s="96">
        <v>-77.087095700000006</v>
      </c>
    </row>
    <row r="412" spans="2:5" x14ac:dyDescent="0.25">
      <c r="B412" t="s">
        <v>4698</v>
      </c>
      <c r="C412" s="97" t="s">
        <v>5140</v>
      </c>
      <c r="D412" s="96">
        <v>-12.119259100000001</v>
      </c>
      <c r="E412" s="96">
        <v>-77.036679000000007</v>
      </c>
    </row>
    <row r="413" spans="2:5" x14ac:dyDescent="0.25">
      <c r="B413" t="s">
        <v>4699</v>
      </c>
      <c r="C413" s="97" t="s">
        <v>5140</v>
      </c>
      <c r="D413" s="96">
        <v>-12.088484299999999</v>
      </c>
      <c r="E413" s="96">
        <v>-77.038971399999994</v>
      </c>
    </row>
    <row r="414" spans="2:5" x14ac:dyDescent="0.25">
      <c r="B414" t="s">
        <v>4700</v>
      </c>
      <c r="C414" s="97" t="s">
        <v>5140</v>
      </c>
      <c r="D414" s="96">
        <v>-12.143368000000001</v>
      </c>
      <c r="E414" s="96">
        <v>-77.015634300000002</v>
      </c>
    </row>
    <row r="415" spans="2:5" x14ac:dyDescent="0.25">
      <c r="B415" t="s">
        <v>4701</v>
      </c>
      <c r="C415" s="97" t="s">
        <v>5140</v>
      </c>
      <c r="D415" s="96">
        <v>-12.0824947</v>
      </c>
      <c r="E415" s="96">
        <v>-77.050609199999997</v>
      </c>
    </row>
    <row r="416" spans="2:5" x14ac:dyDescent="0.25">
      <c r="B416" t="s">
        <v>4702</v>
      </c>
      <c r="C416" s="97" t="s">
        <v>5140</v>
      </c>
      <c r="D416" s="96">
        <v>-12.1072381</v>
      </c>
      <c r="E416" s="96">
        <v>-77.037092900000005</v>
      </c>
    </row>
    <row r="417" spans="2:5" x14ac:dyDescent="0.25">
      <c r="B417" t="s">
        <v>4703</v>
      </c>
      <c r="C417" s="97" t="s">
        <v>5140</v>
      </c>
      <c r="D417" s="96">
        <v>-12.0898786</v>
      </c>
      <c r="E417" s="96">
        <v>-77.052441299999998</v>
      </c>
    </row>
    <row r="418" spans="2:5" x14ac:dyDescent="0.25">
      <c r="B418" t="s">
        <v>4704</v>
      </c>
      <c r="C418" s="97" t="s">
        <v>5140</v>
      </c>
      <c r="D418" s="96">
        <v>-12.091207600000001</v>
      </c>
      <c r="E418" s="96">
        <v>-77.017919300000003</v>
      </c>
    </row>
    <row r="419" spans="2:5" x14ac:dyDescent="0.25">
      <c r="B419" t="s">
        <v>4705</v>
      </c>
      <c r="C419" s="97" t="s">
        <v>5140</v>
      </c>
      <c r="D419" s="96">
        <v>-8.2141204999999999</v>
      </c>
      <c r="E419" s="96">
        <v>-78.976899900000006</v>
      </c>
    </row>
    <row r="420" spans="2:5" x14ac:dyDescent="0.25">
      <c r="B420" t="s">
        <v>4706</v>
      </c>
      <c r="C420" s="97" t="s">
        <v>5140</v>
      </c>
      <c r="D420" s="96">
        <v>-12.1257307</v>
      </c>
      <c r="E420" s="96">
        <v>-77.020416400000002</v>
      </c>
    </row>
    <row r="421" spans="2:5" x14ac:dyDescent="0.25">
      <c r="B421" t="s">
        <v>4707</v>
      </c>
      <c r="C421" s="97" t="s">
        <v>5140</v>
      </c>
      <c r="D421" s="96">
        <v>-12.0890763</v>
      </c>
      <c r="E421" s="96">
        <v>-77.054482800000002</v>
      </c>
    </row>
    <row r="422" spans="2:5" x14ac:dyDescent="0.25">
      <c r="B422" t="s">
        <v>4708</v>
      </c>
      <c r="C422" s="97" t="s">
        <v>5140</v>
      </c>
      <c r="D422" s="96">
        <v>-12.107748499771599</v>
      </c>
      <c r="E422" s="96">
        <v>-77.036022678901006</v>
      </c>
    </row>
    <row r="423" spans="2:5" x14ac:dyDescent="0.25">
      <c r="B423" t="s">
        <v>4709</v>
      </c>
      <c r="C423" s="97" t="s">
        <v>5140</v>
      </c>
      <c r="D423" s="96">
        <v>-12.102703761539001</v>
      </c>
      <c r="E423" s="96">
        <v>-77.052686063093404</v>
      </c>
    </row>
    <row r="424" spans="2:5" x14ac:dyDescent="0.25">
      <c r="B424" t="s">
        <v>4710</v>
      </c>
      <c r="C424" s="97" t="s">
        <v>5140</v>
      </c>
      <c r="D424" s="96">
        <v>-12.1124923</v>
      </c>
      <c r="E424" s="96">
        <v>-77.012203900000003</v>
      </c>
    </row>
    <row r="425" spans="2:5" x14ac:dyDescent="0.25">
      <c r="B425" t="s">
        <v>4711</v>
      </c>
      <c r="C425" s="97" t="s">
        <v>5140</v>
      </c>
      <c r="D425" s="96">
        <v>-12.077910299999999</v>
      </c>
      <c r="E425" s="96">
        <v>-77.081670799999998</v>
      </c>
    </row>
    <row r="426" spans="2:5" x14ac:dyDescent="0.25">
      <c r="B426" t="s">
        <v>4712</v>
      </c>
      <c r="C426" s="97" t="s">
        <v>5140</v>
      </c>
      <c r="D426" s="96">
        <v>-12.0725815275151</v>
      </c>
      <c r="E426" s="96">
        <v>-77.079473481657899</v>
      </c>
    </row>
    <row r="427" spans="2:5" x14ac:dyDescent="0.25">
      <c r="B427" t="s">
        <v>4713</v>
      </c>
      <c r="C427" s="97" t="s">
        <v>5140</v>
      </c>
      <c r="D427" s="96">
        <v>-12.0970431</v>
      </c>
      <c r="E427" s="96">
        <v>-77.033937100000003</v>
      </c>
    </row>
    <row r="428" spans="2:5" x14ac:dyDescent="0.25">
      <c r="B428" t="s">
        <v>4714</v>
      </c>
      <c r="C428" s="97" t="s">
        <v>5140</v>
      </c>
      <c r="D428" s="96">
        <v>-12.043303099999999</v>
      </c>
      <c r="E428" s="96">
        <v>-76.970367300000007</v>
      </c>
    </row>
    <row r="429" spans="2:5" x14ac:dyDescent="0.25">
      <c r="B429" t="s">
        <v>4715</v>
      </c>
      <c r="C429" s="97" t="s">
        <v>5140</v>
      </c>
      <c r="D429" s="96">
        <v>-12.0970431</v>
      </c>
      <c r="E429" s="96">
        <v>-77.033937100000003</v>
      </c>
    </row>
    <row r="430" spans="2:5" x14ac:dyDescent="0.25">
      <c r="B430" t="s">
        <v>4716</v>
      </c>
      <c r="C430" s="97" t="s">
        <v>5140</v>
      </c>
      <c r="D430" s="96">
        <v>-12.090677299999999</v>
      </c>
      <c r="E430" s="96">
        <v>-77.067100499999995</v>
      </c>
    </row>
    <row r="431" spans="2:5" x14ac:dyDescent="0.25">
      <c r="B431" t="s">
        <v>4717</v>
      </c>
      <c r="C431" s="97" t="s">
        <v>5140</v>
      </c>
      <c r="D431" s="96">
        <v>-12.0466888</v>
      </c>
      <c r="E431" s="96">
        <v>-77.043088600000004</v>
      </c>
    </row>
    <row r="432" spans="2:5" x14ac:dyDescent="0.25">
      <c r="B432" t="s">
        <v>4718</v>
      </c>
      <c r="C432" s="97" t="s">
        <v>5140</v>
      </c>
      <c r="D432" s="96">
        <v>-9.1899669999999993</v>
      </c>
      <c r="E432" s="96">
        <v>-75.015152</v>
      </c>
    </row>
    <row r="433" spans="2:5" x14ac:dyDescent="0.25">
      <c r="B433" t="s">
        <v>4719</v>
      </c>
      <c r="C433" s="97" t="s">
        <v>5140</v>
      </c>
      <c r="D433" s="96">
        <v>-12.0937813180973</v>
      </c>
      <c r="E433" s="96">
        <v>-77.021173263093601</v>
      </c>
    </row>
    <row r="434" spans="2:5" x14ac:dyDescent="0.25">
      <c r="B434" t="s">
        <v>4720</v>
      </c>
      <c r="C434" s="97" t="s">
        <v>5140</v>
      </c>
      <c r="D434" s="96">
        <v>-12.076639</v>
      </c>
      <c r="E434" s="96">
        <v>-77.091134100000005</v>
      </c>
    </row>
    <row r="435" spans="2:5" x14ac:dyDescent="0.25">
      <c r="B435" t="s">
        <v>4721</v>
      </c>
      <c r="C435" s="97" t="s">
        <v>5140</v>
      </c>
      <c r="D435" s="96">
        <v>-12.0917397</v>
      </c>
      <c r="E435" s="96">
        <v>-77.042886199999998</v>
      </c>
    </row>
    <row r="436" spans="2:5" x14ac:dyDescent="0.25">
      <c r="B436" t="s">
        <v>4722</v>
      </c>
      <c r="C436" s="97" t="s">
        <v>5140</v>
      </c>
      <c r="D436" s="96">
        <v>48.208069600000002</v>
      </c>
      <c r="E436" s="96">
        <v>16.371309499999999</v>
      </c>
    </row>
    <row r="437" spans="2:5" x14ac:dyDescent="0.25">
      <c r="B437" t="s">
        <v>4723</v>
      </c>
      <c r="C437" s="97" t="s">
        <v>5140</v>
      </c>
      <c r="D437" s="96">
        <v>-12.0627478</v>
      </c>
      <c r="E437" s="96">
        <v>-77.026262399999993</v>
      </c>
    </row>
    <row r="438" spans="2:5" x14ac:dyDescent="0.25">
      <c r="B438" t="s">
        <v>4724</v>
      </c>
      <c r="C438" s="97" t="s">
        <v>5140</v>
      </c>
      <c r="D438" s="96">
        <v>-12.0508617</v>
      </c>
      <c r="E438" s="96">
        <v>-77.028239999999997</v>
      </c>
    </row>
    <row r="439" spans="2:5" x14ac:dyDescent="0.25">
      <c r="B439" t="s">
        <v>4725</v>
      </c>
      <c r="C439" s="97" t="s">
        <v>5140</v>
      </c>
      <c r="D439" s="96">
        <v>-12.022582699999999</v>
      </c>
      <c r="E439" s="96">
        <v>-77.106052399999996</v>
      </c>
    </row>
    <row r="440" spans="2:5" x14ac:dyDescent="0.25">
      <c r="B440" t="s">
        <v>4726</v>
      </c>
      <c r="C440" s="97" t="s">
        <v>5140</v>
      </c>
      <c r="D440" s="96">
        <v>-12.0717175565436</v>
      </c>
      <c r="E440" s="96">
        <v>-77.011189947749401</v>
      </c>
    </row>
    <row r="441" spans="2:5" x14ac:dyDescent="0.25">
      <c r="B441" t="s">
        <v>4727</v>
      </c>
      <c r="C441" s="97" t="s">
        <v>5140</v>
      </c>
      <c r="D441" s="96">
        <v>-12.079860800000001</v>
      </c>
      <c r="E441" s="96">
        <v>-77.036282499999999</v>
      </c>
    </row>
    <row r="442" spans="2:5" x14ac:dyDescent="0.25">
      <c r="B442" t="s">
        <v>4728</v>
      </c>
      <c r="C442" s="97" t="s">
        <v>5140</v>
      </c>
      <c r="D442" s="96">
        <v>-12.0314701</v>
      </c>
      <c r="E442" s="96">
        <v>-77.080414000000005</v>
      </c>
    </row>
    <row r="443" spans="2:5" x14ac:dyDescent="0.25">
      <c r="B443" t="s">
        <v>4729</v>
      </c>
      <c r="C443" s="97" t="s">
        <v>5140</v>
      </c>
      <c r="D443" s="96">
        <v>-10.7525374</v>
      </c>
      <c r="E443" s="96">
        <v>-77.759921800000001</v>
      </c>
    </row>
    <row r="444" spans="2:5" x14ac:dyDescent="0.25">
      <c r="B444" t="s">
        <v>4730</v>
      </c>
      <c r="C444" s="97" t="s">
        <v>5140</v>
      </c>
      <c r="D444" s="96">
        <v>-12.0548477</v>
      </c>
      <c r="E444" s="96">
        <v>-77.044915200000005</v>
      </c>
    </row>
    <row r="445" spans="2:5" x14ac:dyDescent="0.25">
      <c r="B445" t="s">
        <v>4731</v>
      </c>
      <c r="C445" s="97" t="s">
        <v>5140</v>
      </c>
      <c r="D445" s="96">
        <v>-12.051171699999999</v>
      </c>
      <c r="E445" s="96">
        <v>-77.125688299999993</v>
      </c>
    </row>
    <row r="446" spans="2:5" x14ac:dyDescent="0.25">
      <c r="B446" t="s">
        <v>4732</v>
      </c>
      <c r="C446" s="97" t="s">
        <v>5140</v>
      </c>
      <c r="D446" s="96">
        <v>-16.625571099999998</v>
      </c>
      <c r="E446" s="96">
        <v>-72.710498299999998</v>
      </c>
    </row>
    <row r="447" spans="2:5" x14ac:dyDescent="0.25">
      <c r="B447" t="s">
        <v>4733</v>
      </c>
      <c r="C447" s="97" t="s">
        <v>5140</v>
      </c>
      <c r="D447" s="96" t="s">
        <v>5056</v>
      </c>
      <c r="E447" s="96" t="s">
        <v>5114</v>
      </c>
    </row>
    <row r="448" spans="2:5" x14ac:dyDescent="0.25">
      <c r="B448" t="s">
        <v>4734</v>
      </c>
      <c r="C448" s="97" t="s">
        <v>5140</v>
      </c>
      <c r="D448" s="96">
        <v>-12.051385700000001</v>
      </c>
      <c r="E448" s="96">
        <v>-77.025465999999994</v>
      </c>
    </row>
    <row r="449" spans="2:5" x14ac:dyDescent="0.25">
      <c r="B449" t="s">
        <v>4735</v>
      </c>
      <c r="C449" s="97" t="s">
        <v>5140</v>
      </c>
      <c r="D449" s="96">
        <v>-11.877750600000001</v>
      </c>
      <c r="E449" s="96">
        <v>-77.026043999999999</v>
      </c>
    </row>
    <row r="450" spans="2:5" x14ac:dyDescent="0.25">
      <c r="B450" t="s">
        <v>4736</v>
      </c>
      <c r="C450" s="97" t="s">
        <v>5140</v>
      </c>
      <c r="D450" s="96">
        <v>-11.5666572</v>
      </c>
      <c r="E450" s="96">
        <v>-77.268579099999997</v>
      </c>
    </row>
    <row r="451" spans="2:5" x14ac:dyDescent="0.25">
      <c r="B451" t="s">
        <v>4737</v>
      </c>
      <c r="C451" s="97" t="s">
        <v>5140</v>
      </c>
      <c r="D451" s="96">
        <v>-11.915086499999999</v>
      </c>
      <c r="E451" s="96">
        <v>-77.047848200000004</v>
      </c>
    </row>
    <row r="452" spans="2:5" x14ac:dyDescent="0.25">
      <c r="B452" t="s">
        <v>4738</v>
      </c>
      <c r="C452" s="97" t="s">
        <v>5140</v>
      </c>
      <c r="D452" s="96">
        <v>-11.994907899999999</v>
      </c>
      <c r="E452" s="96">
        <v>-77.077624599999993</v>
      </c>
    </row>
    <row r="453" spans="2:5" x14ac:dyDescent="0.25">
      <c r="B453" t="s">
        <v>4739</v>
      </c>
      <c r="C453" s="97" t="s">
        <v>5140</v>
      </c>
      <c r="D453" s="96">
        <v>-12.0675946</v>
      </c>
      <c r="E453" s="96">
        <v>-77.013049300000006</v>
      </c>
    </row>
    <row r="454" spans="2:5" x14ac:dyDescent="0.25">
      <c r="B454" t="s">
        <v>4740</v>
      </c>
      <c r="C454" s="97" t="s">
        <v>5140</v>
      </c>
      <c r="D454" s="96">
        <v>-12.040437000000001</v>
      </c>
      <c r="E454" s="96">
        <v>-76.997734399999999</v>
      </c>
    </row>
    <row r="455" spans="2:5" x14ac:dyDescent="0.25">
      <c r="B455" t="s">
        <v>4741</v>
      </c>
      <c r="C455" s="97" t="s">
        <v>5140</v>
      </c>
      <c r="D455" s="96">
        <v>-11.972068999999999</v>
      </c>
      <c r="E455" s="96">
        <v>-76.962393000000006</v>
      </c>
    </row>
    <row r="456" spans="2:5" x14ac:dyDescent="0.25">
      <c r="B456" t="s">
        <v>4482</v>
      </c>
      <c r="C456" s="97" t="s">
        <v>5140</v>
      </c>
      <c r="D456" s="96">
        <v>-11.9363283</v>
      </c>
      <c r="E456" s="96">
        <v>-77.064131700000004</v>
      </c>
    </row>
    <row r="457" spans="2:5" x14ac:dyDescent="0.25">
      <c r="B457" t="s">
        <v>4742</v>
      </c>
      <c r="C457" s="97" t="s">
        <v>5140</v>
      </c>
      <c r="D457" s="96">
        <v>-11.9864835</v>
      </c>
      <c r="E457" s="96">
        <v>-77.007659500000003</v>
      </c>
    </row>
    <row r="458" spans="2:5" x14ac:dyDescent="0.25">
      <c r="B458" t="s">
        <v>4743</v>
      </c>
      <c r="C458" s="97" t="s">
        <v>5140</v>
      </c>
      <c r="D458" s="96">
        <v>-12.0408791</v>
      </c>
      <c r="E458" s="96">
        <v>-77.0175093</v>
      </c>
    </row>
    <row r="459" spans="2:5" x14ac:dyDescent="0.25">
      <c r="B459" t="s">
        <v>4744</v>
      </c>
      <c r="C459" s="97" t="s">
        <v>5140</v>
      </c>
      <c r="D459" s="96">
        <v>-12.073449699999999</v>
      </c>
      <c r="E459" s="96">
        <v>-77.016289900000004</v>
      </c>
    </row>
    <row r="460" spans="2:5" x14ac:dyDescent="0.25">
      <c r="B460" t="s">
        <v>4745</v>
      </c>
      <c r="C460" s="97" t="s">
        <v>5140</v>
      </c>
      <c r="D460" s="96">
        <v>-12.059313299999999</v>
      </c>
      <c r="E460" s="96">
        <v>-77.022818000000001</v>
      </c>
    </row>
    <row r="461" spans="2:5" x14ac:dyDescent="0.25">
      <c r="B461" t="s">
        <v>4746</v>
      </c>
      <c r="C461" s="97" t="s">
        <v>5140</v>
      </c>
      <c r="D461" s="96">
        <v>-12.057599700000001</v>
      </c>
      <c r="E461" s="96">
        <v>-77.068313900000007</v>
      </c>
    </row>
    <row r="462" spans="2:5" x14ac:dyDescent="0.25">
      <c r="B462" t="s">
        <v>4747</v>
      </c>
      <c r="C462" s="97" t="s">
        <v>5140</v>
      </c>
      <c r="D462" s="96">
        <v>-11.9992353</v>
      </c>
      <c r="E462" s="96">
        <v>-77.061578800000007</v>
      </c>
    </row>
    <row r="463" spans="2:5" x14ac:dyDescent="0.25">
      <c r="B463" t="s">
        <v>4748</v>
      </c>
      <c r="C463" s="97" t="s">
        <v>5140</v>
      </c>
      <c r="D463" s="96">
        <v>-12.007261</v>
      </c>
      <c r="E463" s="96">
        <v>-77.055790700000003</v>
      </c>
    </row>
    <row r="464" spans="2:5" x14ac:dyDescent="0.25">
      <c r="B464" t="s">
        <v>4749</v>
      </c>
      <c r="C464" s="97" t="s">
        <v>5140</v>
      </c>
      <c r="D464" s="96">
        <v>-12.065460099999999</v>
      </c>
      <c r="E464" s="96">
        <v>-77.013253500000005</v>
      </c>
    </row>
    <row r="465" spans="2:5" x14ac:dyDescent="0.25">
      <c r="B465" t="s">
        <v>4750</v>
      </c>
      <c r="C465" s="97" t="s">
        <v>5140</v>
      </c>
      <c r="D465" s="96">
        <v>-7.5934227999999999</v>
      </c>
      <c r="E465" s="96">
        <v>-78.702267800000001</v>
      </c>
    </row>
    <row r="466" spans="2:5" x14ac:dyDescent="0.25">
      <c r="B466" t="s">
        <v>4751</v>
      </c>
      <c r="C466" s="97" t="s">
        <v>5140</v>
      </c>
      <c r="D466" s="96">
        <v>-11.1078098</v>
      </c>
      <c r="E466" s="96">
        <v>-77.611941099999996</v>
      </c>
    </row>
    <row r="467" spans="2:5" x14ac:dyDescent="0.25">
      <c r="B467" t="s">
        <v>4752</v>
      </c>
      <c r="C467" s="97" t="s">
        <v>5140</v>
      </c>
      <c r="D467" s="96">
        <v>-11.4955123</v>
      </c>
      <c r="E467" s="96">
        <v>-77.214463300000006</v>
      </c>
    </row>
    <row r="468" spans="2:5" x14ac:dyDescent="0.25">
      <c r="B468" t="s">
        <v>4753</v>
      </c>
      <c r="C468" s="97" t="s">
        <v>5140</v>
      </c>
      <c r="D468" s="96">
        <v>-11.981431000000001</v>
      </c>
      <c r="E468" s="96">
        <v>-77.096975799999996</v>
      </c>
    </row>
    <row r="469" spans="2:5" x14ac:dyDescent="0.25">
      <c r="B469" t="s">
        <v>4754</v>
      </c>
      <c r="C469" s="97" t="s">
        <v>5140</v>
      </c>
      <c r="D469" s="96">
        <v>-11.9908553</v>
      </c>
      <c r="E469" s="96">
        <v>-77.071262300000001</v>
      </c>
    </row>
    <row r="470" spans="2:5" x14ac:dyDescent="0.25">
      <c r="B470" t="s">
        <v>4755</v>
      </c>
      <c r="C470" s="97" t="s">
        <v>5140</v>
      </c>
      <c r="D470" s="96">
        <v>-12.0463808</v>
      </c>
      <c r="E470" s="96">
        <v>-77.043224600000002</v>
      </c>
    </row>
    <row r="471" spans="2:5" x14ac:dyDescent="0.25">
      <c r="B471" t="s">
        <v>4756</v>
      </c>
      <c r="C471" s="97" t="s">
        <v>5140</v>
      </c>
      <c r="D471" s="96">
        <v>-12.085773400000001</v>
      </c>
      <c r="E471" s="96">
        <v>-77.010632799999996</v>
      </c>
    </row>
    <row r="472" spans="2:5" x14ac:dyDescent="0.25">
      <c r="B472" t="s">
        <v>4757</v>
      </c>
      <c r="C472" s="97" t="s">
        <v>5140</v>
      </c>
      <c r="D472" s="96">
        <v>-11.9744805</v>
      </c>
      <c r="E472" s="96">
        <v>-77.002573999999996</v>
      </c>
    </row>
    <row r="473" spans="2:5" x14ac:dyDescent="0.25">
      <c r="B473" t="s">
        <v>4758</v>
      </c>
      <c r="C473" s="97" t="s">
        <v>5140</v>
      </c>
      <c r="D473" s="96">
        <v>-12.0466888</v>
      </c>
      <c r="E473" s="96">
        <v>-77.043088600000004</v>
      </c>
    </row>
    <row r="474" spans="2:5" x14ac:dyDescent="0.25">
      <c r="B474" t="s">
        <v>4759</v>
      </c>
      <c r="C474" s="97" t="s">
        <v>5140</v>
      </c>
      <c r="D474" s="96">
        <v>-12.028628700000001</v>
      </c>
      <c r="E474" s="96">
        <v>-77.103090699999996</v>
      </c>
    </row>
    <row r="475" spans="2:5" x14ac:dyDescent="0.25">
      <c r="B475" t="s">
        <v>4760</v>
      </c>
      <c r="C475" s="97" t="s">
        <v>5140</v>
      </c>
      <c r="D475" s="96">
        <v>-11.9594191</v>
      </c>
      <c r="E475" s="96">
        <v>-77.075892300000007</v>
      </c>
    </row>
    <row r="476" spans="2:5" x14ac:dyDescent="0.25">
      <c r="B476" t="s">
        <v>4761</v>
      </c>
      <c r="C476" s="97" t="s">
        <v>5140</v>
      </c>
      <c r="D476" s="96">
        <v>-11.993328</v>
      </c>
      <c r="E476" s="96">
        <v>-77.061761200000007</v>
      </c>
    </row>
    <row r="477" spans="2:5" x14ac:dyDescent="0.25">
      <c r="B477" t="s">
        <v>4762</v>
      </c>
      <c r="C477" s="97" t="s">
        <v>5140</v>
      </c>
      <c r="D477" s="96">
        <v>-12.088484299999999</v>
      </c>
      <c r="E477" s="96">
        <v>-77.038971399999994</v>
      </c>
    </row>
    <row r="478" spans="2:5" x14ac:dyDescent="0.25">
      <c r="B478" t="s">
        <v>4763</v>
      </c>
      <c r="C478" s="97" t="s">
        <v>5140</v>
      </c>
      <c r="D478" s="96">
        <v>-12.074250899999999</v>
      </c>
      <c r="E478" s="96">
        <v>-77.020167799999996</v>
      </c>
    </row>
    <row r="479" spans="2:5" x14ac:dyDescent="0.25">
      <c r="B479" t="s">
        <v>4764</v>
      </c>
      <c r="C479" s="97" t="s">
        <v>5140</v>
      </c>
      <c r="D479" s="96">
        <v>-11.9899778</v>
      </c>
      <c r="E479" s="96">
        <v>-77.062287999999995</v>
      </c>
    </row>
    <row r="480" spans="2:5" x14ac:dyDescent="0.25">
      <c r="B480" t="s">
        <v>4765</v>
      </c>
      <c r="C480" s="97" t="s">
        <v>5140</v>
      </c>
      <c r="D480" s="96">
        <v>-11.9769649</v>
      </c>
      <c r="E480" s="96">
        <v>-77.065493700000005</v>
      </c>
    </row>
    <row r="481" spans="2:5" x14ac:dyDescent="0.25">
      <c r="B481" t="s">
        <v>4766</v>
      </c>
      <c r="C481" s="97" t="s">
        <v>5140</v>
      </c>
      <c r="D481" s="96">
        <v>-12.089920100000001</v>
      </c>
      <c r="E481" s="96">
        <v>-77.018293</v>
      </c>
    </row>
    <row r="482" spans="2:5" x14ac:dyDescent="0.25">
      <c r="B482" t="s">
        <v>4767</v>
      </c>
      <c r="C482" s="97" t="s">
        <v>5140</v>
      </c>
      <c r="D482" s="96">
        <v>-12.0760469</v>
      </c>
      <c r="E482" s="96">
        <v>-77.010257600000003</v>
      </c>
    </row>
    <row r="483" spans="2:5" x14ac:dyDescent="0.25">
      <c r="B483" t="s">
        <v>4768</v>
      </c>
      <c r="C483" s="97" t="s">
        <v>5140</v>
      </c>
      <c r="D483" s="96">
        <v>-11.994641400000001</v>
      </c>
      <c r="E483" s="96">
        <v>-77.1224335</v>
      </c>
    </row>
    <row r="484" spans="2:5" x14ac:dyDescent="0.25">
      <c r="B484" t="s">
        <v>4769</v>
      </c>
      <c r="C484" s="97" t="s">
        <v>5140</v>
      </c>
      <c r="D484" s="96">
        <v>-12.0218001</v>
      </c>
      <c r="E484" s="96">
        <v>-77.059616899999995</v>
      </c>
    </row>
    <row r="485" spans="2:5" x14ac:dyDescent="0.25">
      <c r="B485" t="s">
        <v>4770</v>
      </c>
      <c r="C485" s="97" t="s">
        <v>5140</v>
      </c>
      <c r="D485" s="96">
        <v>-13.761506900000001</v>
      </c>
      <c r="E485" s="96">
        <v>-71.848979999999997</v>
      </c>
    </row>
    <row r="486" spans="2:5" x14ac:dyDescent="0.25">
      <c r="B486" t="s">
        <v>4771</v>
      </c>
      <c r="C486" s="97" t="s">
        <v>5140</v>
      </c>
      <c r="D486" s="96">
        <v>-11.1094613</v>
      </c>
      <c r="E486" s="96">
        <v>-77.613694800000005</v>
      </c>
    </row>
    <row r="487" spans="2:5" x14ac:dyDescent="0.25">
      <c r="B487" t="s">
        <v>4772</v>
      </c>
      <c r="C487" s="97" t="s">
        <v>5140</v>
      </c>
      <c r="D487" s="96">
        <v>-12.0071558</v>
      </c>
      <c r="E487" s="96">
        <v>-77.059456999999995</v>
      </c>
    </row>
    <row r="488" spans="2:5" x14ac:dyDescent="0.25">
      <c r="B488" t="s">
        <v>4773</v>
      </c>
      <c r="C488" s="97" t="s">
        <v>5140</v>
      </c>
      <c r="D488" s="96">
        <v>-11.9379083</v>
      </c>
      <c r="E488" s="96">
        <v>-77.072270399999994</v>
      </c>
    </row>
    <row r="489" spans="2:5" x14ac:dyDescent="0.25">
      <c r="B489" t="s">
        <v>4774</v>
      </c>
      <c r="C489" s="97" t="s">
        <v>5140</v>
      </c>
      <c r="D489" s="96">
        <v>-11.8647192</v>
      </c>
      <c r="E489" s="96">
        <v>-77.0748696</v>
      </c>
    </row>
    <row r="490" spans="2:5" x14ac:dyDescent="0.25">
      <c r="B490" t="s">
        <v>4775</v>
      </c>
      <c r="C490" s="97" t="s">
        <v>5140</v>
      </c>
      <c r="D490" s="96">
        <v>-12.0567891</v>
      </c>
      <c r="E490" s="96">
        <v>-77.037417300000001</v>
      </c>
    </row>
    <row r="491" spans="2:5" x14ac:dyDescent="0.25">
      <c r="B491" t="s">
        <v>4776</v>
      </c>
      <c r="C491" s="97" t="s">
        <v>5140</v>
      </c>
      <c r="D491" s="96">
        <v>-11.940424699999999</v>
      </c>
      <c r="E491" s="96">
        <v>-77.070253899999997</v>
      </c>
    </row>
    <row r="492" spans="2:5" x14ac:dyDescent="0.25">
      <c r="B492" t="s">
        <v>4777</v>
      </c>
      <c r="C492" s="97" t="s">
        <v>5140</v>
      </c>
      <c r="D492" s="96">
        <v>-12.0487066122305</v>
      </c>
      <c r="E492" s="96">
        <v>-77.058215564830704</v>
      </c>
    </row>
    <row r="493" spans="2:5" x14ac:dyDescent="0.25">
      <c r="B493" t="s">
        <v>4778</v>
      </c>
      <c r="C493" s="97" t="s">
        <v>5140</v>
      </c>
      <c r="D493" s="96">
        <v>-12.025238999999999</v>
      </c>
      <c r="E493" s="96">
        <v>-77.033234199999995</v>
      </c>
    </row>
    <row r="494" spans="2:5" x14ac:dyDescent="0.25">
      <c r="B494" t="s">
        <v>4779</v>
      </c>
      <c r="C494" s="97" t="s">
        <v>5140</v>
      </c>
      <c r="D494" s="96">
        <v>-12.0278086</v>
      </c>
      <c r="E494" s="96">
        <v>-77.032703299999994</v>
      </c>
    </row>
    <row r="495" spans="2:5" x14ac:dyDescent="0.25">
      <c r="B495" t="s">
        <v>4780</v>
      </c>
      <c r="C495" s="97" t="s">
        <v>5140</v>
      </c>
      <c r="D495" s="96">
        <v>-11.9008828</v>
      </c>
      <c r="E495" s="96">
        <v>-77.040153599999996</v>
      </c>
    </row>
    <row r="496" spans="2:5" x14ac:dyDescent="0.25">
      <c r="B496" t="s">
        <v>4781</v>
      </c>
      <c r="C496" s="97" t="s">
        <v>5140</v>
      </c>
      <c r="D496" s="96">
        <v>-11.981431000000001</v>
      </c>
      <c r="E496" s="96">
        <v>-77.096975799999996</v>
      </c>
    </row>
    <row r="497" spans="2:5" x14ac:dyDescent="0.25">
      <c r="B497" t="s">
        <v>4782</v>
      </c>
      <c r="C497" s="97" t="s">
        <v>5140</v>
      </c>
      <c r="D497" s="96">
        <v>-12.048251799999999</v>
      </c>
      <c r="E497" s="96">
        <v>-77.058968800000002</v>
      </c>
    </row>
    <row r="498" spans="2:5" x14ac:dyDescent="0.25">
      <c r="B498" t="s">
        <v>4783</v>
      </c>
      <c r="C498" s="97" t="s">
        <v>5140</v>
      </c>
      <c r="D498" s="96">
        <v>-12.0687213</v>
      </c>
      <c r="E498" s="96">
        <v>-77.030257500000005</v>
      </c>
    </row>
    <row r="499" spans="2:5" x14ac:dyDescent="0.25">
      <c r="B499" t="s">
        <v>4784</v>
      </c>
      <c r="C499" s="97" t="s">
        <v>5140</v>
      </c>
      <c r="D499" s="96" t="s">
        <v>5045</v>
      </c>
      <c r="E499" s="96" t="s">
        <v>5103</v>
      </c>
    </row>
    <row r="500" spans="2:5" x14ac:dyDescent="0.25">
      <c r="B500" t="s">
        <v>4785</v>
      </c>
      <c r="C500" s="97" t="s">
        <v>5140</v>
      </c>
      <c r="D500" s="96">
        <v>-12.0551066</v>
      </c>
      <c r="E500" s="96">
        <v>-77.051141599999994</v>
      </c>
    </row>
    <row r="501" spans="2:5" x14ac:dyDescent="0.25">
      <c r="B501" t="s">
        <v>4786</v>
      </c>
      <c r="C501" s="97" t="s">
        <v>5140</v>
      </c>
      <c r="D501" s="96">
        <v>-12.0551066</v>
      </c>
      <c r="E501" s="96">
        <v>-77.051141599999994</v>
      </c>
    </row>
    <row r="502" spans="2:5" x14ac:dyDescent="0.25">
      <c r="B502" t="s">
        <v>4787</v>
      </c>
      <c r="C502" s="97" t="s">
        <v>5140</v>
      </c>
      <c r="D502" s="96">
        <v>-12.0551066</v>
      </c>
      <c r="E502" s="96">
        <v>-77.051141599999994</v>
      </c>
    </row>
    <row r="503" spans="2:5" x14ac:dyDescent="0.25">
      <c r="B503" t="s">
        <v>4788</v>
      </c>
      <c r="C503" s="97" t="s">
        <v>5140</v>
      </c>
      <c r="D503" s="96">
        <v>-11.8775146</v>
      </c>
      <c r="E503" s="96">
        <v>-77.128697299999999</v>
      </c>
    </row>
    <row r="504" spans="2:5" x14ac:dyDescent="0.25">
      <c r="B504" t="s">
        <v>4789</v>
      </c>
      <c r="C504" s="97" t="s">
        <v>5140</v>
      </c>
      <c r="D504" s="96">
        <v>-11.965133</v>
      </c>
      <c r="E504" s="96">
        <v>-77.067159700000005</v>
      </c>
    </row>
    <row r="505" spans="2:5" x14ac:dyDescent="0.25">
      <c r="B505" t="s">
        <v>4790</v>
      </c>
      <c r="C505" s="97" t="s">
        <v>5140</v>
      </c>
      <c r="D505" s="96">
        <v>-12.022960599999999</v>
      </c>
      <c r="E505" s="96">
        <v>-76.9960205</v>
      </c>
    </row>
    <row r="506" spans="2:5" x14ac:dyDescent="0.25">
      <c r="B506" t="s">
        <v>4791</v>
      </c>
      <c r="C506" s="97" t="s">
        <v>5140</v>
      </c>
      <c r="D506" s="96">
        <v>-11.992644500000001</v>
      </c>
      <c r="E506" s="96">
        <v>-77.064264499999993</v>
      </c>
    </row>
    <row r="507" spans="2:5" x14ac:dyDescent="0.25">
      <c r="B507" t="s">
        <v>4792</v>
      </c>
      <c r="C507" s="97" t="s">
        <v>5140</v>
      </c>
      <c r="D507" s="96">
        <v>-11.968179599999999</v>
      </c>
      <c r="E507" s="96">
        <v>-77.004263699999996</v>
      </c>
    </row>
    <row r="508" spans="2:5" x14ac:dyDescent="0.25">
      <c r="B508" t="s">
        <v>4793</v>
      </c>
      <c r="C508" s="97" t="s">
        <v>5140</v>
      </c>
      <c r="D508" s="96">
        <v>-12.0848075</v>
      </c>
      <c r="E508" s="96">
        <v>-77.035562900000002</v>
      </c>
    </row>
    <row r="509" spans="2:5" x14ac:dyDescent="0.25">
      <c r="B509" t="s">
        <v>4794</v>
      </c>
      <c r="C509" s="97" t="s">
        <v>5140</v>
      </c>
      <c r="D509" s="96">
        <v>-9.1899669999999993</v>
      </c>
      <c r="E509" s="96">
        <v>-75.015152</v>
      </c>
    </row>
    <row r="510" spans="2:5" x14ac:dyDescent="0.25">
      <c r="B510" t="s">
        <v>4795</v>
      </c>
      <c r="C510" s="97" t="s">
        <v>5140</v>
      </c>
      <c r="D510" s="96">
        <v>-16.405700100000001</v>
      </c>
      <c r="E510" s="96">
        <v>-71.540099400000003</v>
      </c>
    </row>
    <row r="511" spans="2:5" x14ac:dyDescent="0.25">
      <c r="B511" t="s">
        <v>4796</v>
      </c>
      <c r="C511" s="97" t="s">
        <v>5140</v>
      </c>
      <c r="D511" s="96">
        <v>-13.53195</v>
      </c>
      <c r="E511" s="96">
        <v>-71.967462600000005</v>
      </c>
    </row>
    <row r="512" spans="2:5" x14ac:dyDescent="0.25">
      <c r="B512" t="s">
        <v>4797</v>
      </c>
      <c r="C512" s="97" t="s">
        <v>5140</v>
      </c>
      <c r="D512" s="96">
        <v>-12.0686357</v>
      </c>
      <c r="E512" s="96">
        <v>-75.210297600000004</v>
      </c>
    </row>
    <row r="513" spans="2:5" x14ac:dyDescent="0.25">
      <c r="B513" t="s">
        <v>4798</v>
      </c>
      <c r="C513" s="97" t="s">
        <v>5140</v>
      </c>
      <c r="D513" s="96">
        <v>-8.3811967999999997</v>
      </c>
      <c r="E513" s="96">
        <v>-74.539467099999996</v>
      </c>
    </row>
    <row r="514" spans="2:5" x14ac:dyDescent="0.25">
      <c r="B514" t="s">
        <v>4799</v>
      </c>
      <c r="C514" s="97" t="s">
        <v>5140</v>
      </c>
      <c r="D514" s="96">
        <v>-13.6616515</v>
      </c>
      <c r="E514" s="96">
        <v>-73.376764100000003</v>
      </c>
    </row>
    <row r="515" spans="2:5" x14ac:dyDescent="0.25">
      <c r="B515" t="s">
        <v>4800</v>
      </c>
      <c r="C515" s="97" t="s">
        <v>5140</v>
      </c>
      <c r="D515" s="96">
        <v>-16.405700100000001</v>
      </c>
      <c r="E515" s="96">
        <v>-71.540099400000003</v>
      </c>
    </row>
    <row r="516" spans="2:5" x14ac:dyDescent="0.25">
      <c r="B516" t="s">
        <v>4801</v>
      </c>
      <c r="C516" s="97" t="s">
        <v>5140</v>
      </c>
      <c r="D516" s="96">
        <v>-13.164032300000001</v>
      </c>
      <c r="E516" s="96">
        <v>-74.221260900000004</v>
      </c>
    </row>
    <row r="517" spans="2:5" x14ac:dyDescent="0.25">
      <c r="B517" t="s">
        <v>4802</v>
      </c>
      <c r="C517" s="97" t="s">
        <v>5140</v>
      </c>
      <c r="D517" s="96">
        <v>-5.7566749000000002</v>
      </c>
      <c r="E517" s="96">
        <v>-78.443932000000004</v>
      </c>
    </row>
    <row r="518" spans="2:5" x14ac:dyDescent="0.25">
      <c r="B518" t="s">
        <v>4803</v>
      </c>
      <c r="C518" s="97" t="s">
        <v>5140</v>
      </c>
      <c r="D518" s="96">
        <v>-6.4887287999999996</v>
      </c>
      <c r="E518" s="96">
        <v>-76.364255900000003</v>
      </c>
    </row>
    <row r="519" spans="2:5" x14ac:dyDescent="0.25">
      <c r="B519" t="s">
        <v>4804</v>
      </c>
      <c r="C519" s="97" t="s">
        <v>5140</v>
      </c>
      <c r="D519" s="96">
        <v>-3.7588879493290999</v>
      </c>
      <c r="E519" s="96">
        <v>-73.249110197243198</v>
      </c>
    </row>
    <row r="520" spans="2:5" x14ac:dyDescent="0.25">
      <c r="B520" t="s">
        <v>4805</v>
      </c>
      <c r="C520" s="97" t="s">
        <v>5140</v>
      </c>
      <c r="D520" s="96">
        <v>-12.0551303</v>
      </c>
      <c r="E520" s="96">
        <v>-77.102621799999994</v>
      </c>
    </row>
    <row r="521" spans="2:5" x14ac:dyDescent="0.25">
      <c r="B521" t="s">
        <v>4806</v>
      </c>
      <c r="C521" s="97" t="s">
        <v>5140</v>
      </c>
      <c r="D521" s="96">
        <v>44.494886999999999</v>
      </c>
      <c r="E521" s="96">
        <v>11.3426163</v>
      </c>
    </row>
    <row r="522" spans="2:5" x14ac:dyDescent="0.25">
      <c r="B522" t="s">
        <v>4807</v>
      </c>
      <c r="C522" s="97" t="s">
        <v>5140</v>
      </c>
      <c r="D522" s="96">
        <v>-12.066629300000001</v>
      </c>
      <c r="E522" s="96">
        <v>-75.204620800000001</v>
      </c>
    </row>
    <row r="523" spans="2:5" x14ac:dyDescent="0.25">
      <c r="B523" t="s">
        <v>4808</v>
      </c>
      <c r="C523" s="97" t="s">
        <v>5140</v>
      </c>
      <c r="D523" s="96">
        <v>-7.1462611000000003</v>
      </c>
      <c r="E523" s="96">
        <v>-78.509516099999999</v>
      </c>
    </row>
    <row r="524" spans="2:5" x14ac:dyDescent="0.25">
      <c r="B524" t="s">
        <v>4809</v>
      </c>
      <c r="C524" s="97" t="s">
        <v>5140</v>
      </c>
      <c r="D524" s="96">
        <v>-16.625571099999998</v>
      </c>
      <c r="E524" s="96">
        <v>-72.710498299999998</v>
      </c>
    </row>
    <row r="525" spans="2:5" x14ac:dyDescent="0.25">
      <c r="B525" t="s">
        <v>4810</v>
      </c>
      <c r="C525" s="97" t="s">
        <v>5140</v>
      </c>
      <c r="D525" s="96">
        <v>-16.326487499999999</v>
      </c>
      <c r="E525" s="96">
        <v>-71.540448100000006</v>
      </c>
    </row>
    <row r="526" spans="2:5" x14ac:dyDescent="0.25">
      <c r="B526" t="s">
        <v>4811</v>
      </c>
      <c r="C526" s="97" t="s">
        <v>5140</v>
      </c>
      <c r="D526" s="96">
        <v>-16.3794091</v>
      </c>
      <c r="E526" s="96">
        <v>-71.562485699999996</v>
      </c>
    </row>
    <row r="527" spans="2:5" x14ac:dyDescent="0.25">
      <c r="B527" t="s">
        <v>4812</v>
      </c>
      <c r="C527" s="97" t="s">
        <v>5140</v>
      </c>
      <c r="D527" s="96">
        <v>-10.681408599999999</v>
      </c>
      <c r="E527" s="96">
        <v>-76.253344900000002</v>
      </c>
    </row>
    <row r="528" spans="2:5" x14ac:dyDescent="0.25">
      <c r="B528" t="s">
        <v>4813</v>
      </c>
      <c r="C528" s="97" t="s">
        <v>5140</v>
      </c>
      <c r="D528" s="96">
        <v>-6.5581930000000002</v>
      </c>
      <c r="E528" s="96">
        <v>-78.648384300000004</v>
      </c>
    </row>
    <row r="529" spans="2:5" x14ac:dyDescent="0.25">
      <c r="B529" t="s">
        <v>4814</v>
      </c>
      <c r="C529" s="97" t="s">
        <v>5140</v>
      </c>
      <c r="D529" s="96">
        <v>-13.5220875</v>
      </c>
      <c r="E529" s="96">
        <v>-71.978100299999994</v>
      </c>
    </row>
    <row r="530" spans="2:5" x14ac:dyDescent="0.25">
      <c r="B530" t="s">
        <v>4815</v>
      </c>
      <c r="C530" s="97" t="s">
        <v>5140</v>
      </c>
      <c r="D530" s="96">
        <v>-16.396286400000001</v>
      </c>
      <c r="E530" s="96">
        <v>-71.544545200000002</v>
      </c>
    </row>
    <row r="531" spans="2:5" x14ac:dyDescent="0.25">
      <c r="B531" t="s">
        <v>4816</v>
      </c>
      <c r="C531" s="97" t="s">
        <v>5140</v>
      </c>
      <c r="D531" s="96">
        <v>-7.1487230000000004</v>
      </c>
      <c r="E531" s="96">
        <v>-78.509769300000002</v>
      </c>
    </row>
    <row r="532" spans="2:5" x14ac:dyDescent="0.25">
      <c r="B532" t="s">
        <v>4817</v>
      </c>
      <c r="C532" s="97" t="s">
        <v>5140</v>
      </c>
      <c r="D532" s="96">
        <v>-2.9051833999999999</v>
      </c>
      <c r="E532" s="96">
        <v>-76.402793599999995</v>
      </c>
    </row>
    <row r="533" spans="2:5" x14ac:dyDescent="0.25">
      <c r="B533" t="s">
        <v>4818</v>
      </c>
      <c r="C533" s="97" t="s">
        <v>5140</v>
      </c>
      <c r="D533" s="96">
        <v>-12.0715279</v>
      </c>
      <c r="E533" s="96">
        <v>-75.213472300000006</v>
      </c>
    </row>
    <row r="534" spans="2:5" x14ac:dyDescent="0.25">
      <c r="B534" t="s">
        <v>4819</v>
      </c>
      <c r="C534" s="97" t="s">
        <v>5140</v>
      </c>
      <c r="D534" s="96">
        <v>-9.9207648000000006</v>
      </c>
      <c r="E534" s="96">
        <v>-76.241084299999997</v>
      </c>
    </row>
    <row r="535" spans="2:5" x14ac:dyDescent="0.25">
      <c r="B535" t="s">
        <v>4820</v>
      </c>
      <c r="C535" s="97" t="s">
        <v>5140</v>
      </c>
      <c r="D535" s="96">
        <v>-9.5294538000000006</v>
      </c>
      <c r="E535" s="96">
        <v>-77.529157699999999</v>
      </c>
    </row>
    <row r="536" spans="2:5" x14ac:dyDescent="0.25">
      <c r="B536" t="s">
        <v>4821</v>
      </c>
      <c r="C536" s="97" t="s">
        <v>5140</v>
      </c>
      <c r="D536" s="96">
        <v>-17.642112300000001</v>
      </c>
      <c r="E536" s="96">
        <v>-71.338550499999997</v>
      </c>
    </row>
    <row r="537" spans="2:5" x14ac:dyDescent="0.25">
      <c r="B537" t="s">
        <v>4822</v>
      </c>
      <c r="C537" s="97" t="s">
        <v>5140</v>
      </c>
      <c r="D537" s="96">
        <v>-3.7447734000000001</v>
      </c>
      <c r="E537" s="96">
        <v>-73.244398200000006</v>
      </c>
    </row>
    <row r="538" spans="2:5" x14ac:dyDescent="0.25">
      <c r="B538" t="s">
        <v>4823</v>
      </c>
      <c r="C538" s="97" t="s">
        <v>5140</v>
      </c>
      <c r="D538" s="96">
        <v>-5.6421009144929002</v>
      </c>
      <c r="E538" s="96">
        <v>-78.825134675259804</v>
      </c>
    </row>
    <row r="539" spans="2:5" x14ac:dyDescent="0.25">
      <c r="B539" t="s">
        <v>4824</v>
      </c>
      <c r="C539" s="97" t="s">
        <v>5140</v>
      </c>
      <c r="D539" s="96">
        <v>-16.429249800000001</v>
      </c>
      <c r="E539" s="96">
        <v>-71.523754600000004</v>
      </c>
    </row>
    <row r="540" spans="2:5" x14ac:dyDescent="0.25">
      <c r="B540" t="s">
        <v>4825</v>
      </c>
      <c r="C540" s="97" t="s">
        <v>5140</v>
      </c>
      <c r="D540" s="96">
        <v>-7.1731495000000001</v>
      </c>
      <c r="E540" s="96">
        <v>-76.727880299999995</v>
      </c>
    </row>
    <row r="541" spans="2:5" x14ac:dyDescent="0.25">
      <c r="B541" t="s">
        <v>4826</v>
      </c>
      <c r="C541" s="97" t="s">
        <v>5140</v>
      </c>
      <c r="D541" s="96">
        <v>-15.4996879</v>
      </c>
      <c r="E541" s="96">
        <v>-70.129653000000005</v>
      </c>
    </row>
    <row r="542" spans="2:5" x14ac:dyDescent="0.25">
      <c r="B542" t="s">
        <v>4827</v>
      </c>
      <c r="C542" s="97" t="s">
        <v>5140</v>
      </c>
      <c r="D542" s="96">
        <v>-11.062393500000001</v>
      </c>
      <c r="E542" s="96">
        <v>-75.332472300000006</v>
      </c>
    </row>
    <row r="543" spans="2:5" x14ac:dyDescent="0.25">
      <c r="B543" t="s">
        <v>4828</v>
      </c>
      <c r="C543" s="97" t="s">
        <v>5140</v>
      </c>
      <c r="D543" s="96">
        <v>-11.525401799999999</v>
      </c>
      <c r="E543" s="96">
        <v>-75.898415400000005</v>
      </c>
    </row>
    <row r="544" spans="2:5" x14ac:dyDescent="0.25">
      <c r="B544" t="s">
        <v>4829</v>
      </c>
      <c r="C544" s="97" t="s">
        <v>5140</v>
      </c>
      <c r="D544" s="96">
        <v>-13.5296702</v>
      </c>
      <c r="E544" s="96">
        <v>-71.900118500000005</v>
      </c>
    </row>
    <row r="545" spans="2:5" x14ac:dyDescent="0.25">
      <c r="B545" t="s">
        <v>4830</v>
      </c>
      <c r="C545" s="97" t="s">
        <v>5140</v>
      </c>
      <c r="D545" s="96">
        <v>-13.5292995</v>
      </c>
      <c r="E545" s="96">
        <v>-71.950393300000002</v>
      </c>
    </row>
    <row r="546" spans="2:5" x14ac:dyDescent="0.25">
      <c r="B546" t="s">
        <v>4831</v>
      </c>
      <c r="C546" s="97" t="s">
        <v>5140</v>
      </c>
      <c r="D546" s="96">
        <v>-16.417342900000001</v>
      </c>
      <c r="E546" s="96">
        <v>-71.513775600000002</v>
      </c>
    </row>
    <row r="547" spans="2:5" x14ac:dyDescent="0.25">
      <c r="B547" t="s">
        <v>4832</v>
      </c>
      <c r="C547" s="97" t="s">
        <v>5140</v>
      </c>
      <c r="D547" s="96">
        <v>-12.0847774</v>
      </c>
      <c r="E547" s="96">
        <v>-75.205605800000001</v>
      </c>
    </row>
    <row r="548" spans="2:5" x14ac:dyDescent="0.25">
      <c r="B548" t="s">
        <v>4833</v>
      </c>
      <c r="C548" s="97" t="s">
        <v>5140</v>
      </c>
      <c r="D548" s="96">
        <v>-16.381529400000002</v>
      </c>
      <c r="E548" s="96">
        <v>-71.508850300000006</v>
      </c>
    </row>
    <row r="549" spans="2:5" x14ac:dyDescent="0.25">
      <c r="B549" t="s">
        <v>4834</v>
      </c>
      <c r="C549" s="97" t="s">
        <v>5140</v>
      </c>
      <c r="D549" s="96">
        <v>-17.188269399999999</v>
      </c>
      <c r="E549" s="96">
        <v>-70.931794999999994</v>
      </c>
    </row>
    <row r="550" spans="2:5" x14ac:dyDescent="0.25">
      <c r="B550" t="s">
        <v>4835</v>
      </c>
      <c r="C550" s="97" t="s">
        <v>5140</v>
      </c>
      <c r="D550" s="96">
        <v>-6.0419881999999996</v>
      </c>
      <c r="E550" s="96">
        <v>-76.970066900000006</v>
      </c>
    </row>
    <row r="551" spans="2:5" x14ac:dyDescent="0.25">
      <c r="B551" t="s">
        <v>4836</v>
      </c>
      <c r="C551" s="97" t="s">
        <v>5140</v>
      </c>
      <c r="D551" s="96">
        <v>-8.3883986000000004</v>
      </c>
      <c r="E551" s="96">
        <v>-74.5667641</v>
      </c>
    </row>
    <row r="552" spans="2:5" x14ac:dyDescent="0.25">
      <c r="B552" t="s">
        <v>4837</v>
      </c>
      <c r="C552" s="97" t="s">
        <v>5140</v>
      </c>
      <c r="D552" s="96">
        <v>-16.4145149</v>
      </c>
      <c r="E552" s="96">
        <v>-71.542370500000004</v>
      </c>
    </row>
    <row r="553" spans="2:5" x14ac:dyDescent="0.25">
      <c r="B553" t="s">
        <v>4838</v>
      </c>
      <c r="C553" s="97" t="s">
        <v>5140</v>
      </c>
      <c r="D553" s="96">
        <v>-10.926581499999999</v>
      </c>
      <c r="E553" s="96">
        <v>-74.874554500000002</v>
      </c>
    </row>
    <row r="554" spans="2:5" x14ac:dyDescent="0.25">
      <c r="B554" t="s">
        <v>4839</v>
      </c>
      <c r="C554" s="97" t="s">
        <v>5140</v>
      </c>
      <c r="D554" s="96">
        <v>-9.9295127999999995</v>
      </c>
      <c r="E554" s="96">
        <v>-76.239681300000001</v>
      </c>
    </row>
    <row r="555" spans="2:5" x14ac:dyDescent="0.25">
      <c r="B555" t="s">
        <v>4840</v>
      </c>
      <c r="C555" s="97" t="s">
        <v>5140</v>
      </c>
      <c r="D555" s="96">
        <v>-8.3928621999999997</v>
      </c>
      <c r="E555" s="96">
        <v>-74.582616599999994</v>
      </c>
    </row>
    <row r="556" spans="2:5" x14ac:dyDescent="0.25">
      <c r="B556" t="s">
        <v>4841</v>
      </c>
      <c r="C556" s="97" t="s">
        <v>5140</v>
      </c>
      <c r="D556" s="96">
        <v>-12.5808749</v>
      </c>
      <c r="E556" s="96">
        <v>-69.203242500000002</v>
      </c>
    </row>
    <row r="557" spans="2:5" x14ac:dyDescent="0.25">
      <c r="B557" t="s">
        <v>4842</v>
      </c>
      <c r="C557" s="97" t="s">
        <v>5140</v>
      </c>
      <c r="D557" s="96">
        <v>-15.8402218</v>
      </c>
      <c r="E557" s="96">
        <v>-70.021880499999995</v>
      </c>
    </row>
    <row r="558" spans="2:5" x14ac:dyDescent="0.25">
      <c r="B558" t="s">
        <v>4843</v>
      </c>
      <c r="C558" s="97" t="s">
        <v>5140</v>
      </c>
      <c r="D558" s="96">
        <v>-12.8661212</v>
      </c>
      <c r="E558" s="96">
        <v>-72.693600799999999</v>
      </c>
    </row>
    <row r="559" spans="2:5" x14ac:dyDescent="0.25">
      <c r="B559" t="s">
        <v>4844</v>
      </c>
      <c r="C559" s="97" t="s">
        <v>5140</v>
      </c>
      <c r="D559" s="96">
        <v>-13.5239432</v>
      </c>
      <c r="E559" s="96">
        <v>-71.950472700000006</v>
      </c>
    </row>
    <row r="560" spans="2:5" x14ac:dyDescent="0.25">
      <c r="B560" t="s">
        <v>4845</v>
      </c>
      <c r="C560" s="97" t="s">
        <v>5140</v>
      </c>
      <c r="D560" s="96">
        <v>-15.4957671</v>
      </c>
      <c r="E560" s="96">
        <v>-70.130126300000001</v>
      </c>
    </row>
    <row r="561" spans="2:5" x14ac:dyDescent="0.25">
      <c r="B561" t="s">
        <v>4846</v>
      </c>
      <c r="C561" s="97" t="s">
        <v>5140</v>
      </c>
      <c r="D561" s="96">
        <v>-6.0567923392903902</v>
      </c>
      <c r="E561" s="96">
        <v>-77.165846707393101</v>
      </c>
    </row>
    <row r="562" spans="2:5" x14ac:dyDescent="0.25">
      <c r="B562" t="s">
        <v>4847</v>
      </c>
      <c r="C562" s="97" t="s">
        <v>5140</v>
      </c>
      <c r="D562" s="96">
        <v>-16.402687499999999</v>
      </c>
      <c r="E562" s="96">
        <v>-71.534174100000001</v>
      </c>
    </row>
    <row r="563" spans="2:5" x14ac:dyDescent="0.25">
      <c r="B563" t="s">
        <v>4848</v>
      </c>
      <c r="C563" s="97" t="s">
        <v>5140</v>
      </c>
      <c r="D563" s="96">
        <v>-3.7610989816578799</v>
      </c>
      <c r="E563" s="96">
        <v>-73.273624447896395</v>
      </c>
    </row>
    <row r="564" spans="2:5" x14ac:dyDescent="0.25">
      <c r="B564" t="s">
        <v>4849</v>
      </c>
      <c r="C564" s="97" t="s">
        <v>5140</v>
      </c>
      <c r="D564" s="96">
        <v>-11.252678</v>
      </c>
      <c r="E564" s="96">
        <v>-74.637115399999999</v>
      </c>
    </row>
    <row r="565" spans="2:5" x14ac:dyDescent="0.25">
      <c r="B565" t="s">
        <v>4850</v>
      </c>
      <c r="C565" s="97" t="s">
        <v>5140</v>
      </c>
      <c r="D565" s="96">
        <v>-18.023287799999999</v>
      </c>
      <c r="E565" s="96">
        <v>-70.253722999999994</v>
      </c>
    </row>
    <row r="566" spans="2:5" x14ac:dyDescent="0.25">
      <c r="B566" t="s">
        <v>4851</v>
      </c>
      <c r="C566" s="97" t="s">
        <v>5140</v>
      </c>
      <c r="D566" s="96">
        <v>-6.4824783999999998</v>
      </c>
      <c r="E566" s="96">
        <v>-76.372689100000002</v>
      </c>
    </row>
    <row r="567" spans="2:5" x14ac:dyDescent="0.25">
      <c r="B567" t="s">
        <v>4852</v>
      </c>
      <c r="C567" s="97" t="s">
        <v>5140</v>
      </c>
      <c r="D567" s="96">
        <v>-11.4193347</v>
      </c>
      <c r="E567" s="96">
        <v>-75.688949300000004</v>
      </c>
    </row>
    <row r="568" spans="2:5" x14ac:dyDescent="0.25">
      <c r="B568" t="s">
        <v>4853</v>
      </c>
      <c r="C568" s="97" t="s">
        <v>5140</v>
      </c>
      <c r="D568" s="96">
        <v>-9.2976466000000002</v>
      </c>
      <c r="E568" s="96">
        <v>-76.000020199999994</v>
      </c>
    </row>
    <row r="569" spans="2:5" x14ac:dyDescent="0.25">
      <c r="B569" t="s">
        <v>4854</v>
      </c>
      <c r="C569" s="97" t="s">
        <v>5140</v>
      </c>
      <c r="D569" s="96">
        <v>-14.8013391</v>
      </c>
      <c r="E569" s="96">
        <v>-72.554390400000003</v>
      </c>
    </row>
    <row r="570" spans="2:5" x14ac:dyDescent="0.25">
      <c r="B570" t="s">
        <v>4855</v>
      </c>
      <c r="C570" s="97" t="s">
        <v>5140</v>
      </c>
      <c r="D570" s="96">
        <v>-16.389685262812801</v>
      </c>
      <c r="E570" s="96">
        <v>-71.535283289955103</v>
      </c>
    </row>
    <row r="571" spans="2:5" x14ac:dyDescent="0.25">
      <c r="B571" t="s">
        <v>4856</v>
      </c>
      <c r="C571" s="97" t="s">
        <v>5140</v>
      </c>
      <c r="D571" s="96">
        <v>-13.534690899999999</v>
      </c>
      <c r="E571" s="96">
        <v>-71.949025700000007</v>
      </c>
    </row>
    <row r="572" spans="2:5" x14ac:dyDescent="0.25">
      <c r="B572" t="s">
        <v>4857</v>
      </c>
      <c r="C572" s="97" t="s">
        <v>5140</v>
      </c>
      <c r="D572" s="96">
        <v>-16.398832500000001</v>
      </c>
      <c r="E572" s="96">
        <v>-71.553756000000007</v>
      </c>
    </row>
    <row r="573" spans="2:5" x14ac:dyDescent="0.25">
      <c r="B573" t="s">
        <v>4858</v>
      </c>
      <c r="C573" s="97" t="s">
        <v>5140</v>
      </c>
      <c r="D573" s="96">
        <v>-5.8966767000000004</v>
      </c>
      <c r="E573" s="96">
        <v>-76.106762700000004</v>
      </c>
    </row>
    <row r="574" spans="2:5" x14ac:dyDescent="0.25">
      <c r="B574" t="s">
        <v>4859</v>
      </c>
      <c r="C574" s="97" t="s">
        <v>5140</v>
      </c>
      <c r="D574" s="96">
        <v>-12.0686357</v>
      </c>
      <c r="E574" s="96">
        <v>-75.210297600000004</v>
      </c>
    </row>
    <row r="575" spans="2:5" x14ac:dyDescent="0.25">
      <c r="B575" t="s">
        <v>4860</v>
      </c>
      <c r="C575" s="97" t="s">
        <v>5140</v>
      </c>
      <c r="D575" s="96">
        <v>-16.344890400000001</v>
      </c>
      <c r="E575" s="96">
        <v>-71.540883899999997</v>
      </c>
    </row>
    <row r="576" spans="2:5" x14ac:dyDescent="0.25">
      <c r="B576" t="s">
        <v>4861</v>
      </c>
      <c r="C576" s="97" t="s">
        <v>5140</v>
      </c>
      <c r="D576" s="96">
        <v>-13.6321943</v>
      </c>
      <c r="E576" s="96">
        <v>-72.878892699999994</v>
      </c>
    </row>
    <row r="577" spans="2:5" x14ac:dyDescent="0.25">
      <c r="B577" t="s">
        <v>4862</v>
      </c>
      <c r="C577" s="97" t="s">
        <v>5140</v>
      </c>
      <c r="D577" s="96">
        <v>-16.405700100000001</v>
      </c>
      <c r="E577" s="96">
        <v>-71.540099400000003</v>
      </c>
    </row>
    <row r="578" spans="2:5" x14ac:dyDescent="0.25">
      <c r="B578" t="s">
        <v>4863</v>
      </c>
      <c r="C578" s="97" t="s">
        <v>5140</v>
      </c>
      <c r="D578" s="96">
        <v>-13.5438951</v>
      </c>
      <c r="E578" s="96">
        <v>-71.887025300000005</v>
      </c>
    </row>
    <row r="579" spans="2:5" x14ac:dyDescent="0.25">
      <c r="B579" t="s">
        <v>4864</v>
      </c>
      <c r="C579" s="97" t="s">
        <v>5140</v>
      </c>
      <c r="D579" s="96">
        <v>-13.0188443</v>
      </c>
      <c r="E579" s="96">
        <v>-73.499406500000006</v>
      </c>
    </row>
    <row r="580" spans="2:5" x14ac:dyDescent="0.25">
      <c r="B580" t="s">
        <v>4865</v>
      </c>
      <c r="C580" s="97" t="s">
        <v>5140</v>
      </c>
      <c r="D580" s="96">
        <v>-15.4996879</v>
      </c>
      <c r="E580" s="96">
        <v>-70.129653000000005</v>
      </c>
    </row>
    <row r="581" spans="2:5" x14ac:dyDescent="0.25">
      <c r="B581" t="s">
        <v>4866</v>
      </c>
      <c r="C581" s="97" t="s">
        <v>5140</v>
      </c>
      <c r="D581" s="96">
        <v>-12.5808749</v>
      </c>
      <c r="E581" s="96">
        <v>-69.203242500000002</v>
      </c>
    </row>
    <row r="582" spans="2:5" x14ac:dyDescent="0.25">
      <c r="B582" t="s">
        <v>4867</v>
      </c>
      <c r="C582" s="97" t="s">
        <v>5140</v>
      </c>
      <c r="D582" s="96">
        <v>-16.397671800000001</v>
      </c>
      <c r="E582" s="96">
        <v>-71.534930799999998</v>
      </c>
    </row>
    <row r="583" spans="2:5" x14ac:dyDescent="0.25">
      <c r="B583" t="s">
        <v>4868</v>
      </c>
      <c r="C583" s="97" t="s">
        <v>5140</v>
      </c>
      <c r="D583" s="96">
        <v>-7.1548540000000003</v>
      </c>
      <c r="E583" s="96">
        <v>-78.505426400000005</v>
      </c>
    </row>
    <row r="584" spans="2:5" x14ac:dyDescent="0.25">
      <c r="B584" t="s">
        <v>4869</v>
      </c>
      <c r="C584" s="97" t="s">
        <v>5140</v>
      </c>
      <c r="D584" s="96">
        <v>-16.405700100000001</v>
      </c>
      <c r="E584" s="96">
        <v>-71.540099400000003</v>
      </c>
    </row>
    <row r="585" spans="2:5" x14ac:dyDescent="0.25">
      <c r="B585" t="s">
        <v>4870</v>
      </c>
      <c r="C585" s="97" t="s">
        <v>5140</v>
      </c>
      <c r="D585" s="96">
        <v>-3.7437643999999999</v>
      </c>
      <c r="E585" s="96">
        <v>-73.251553200000004</v>
      </c>
    </row>
    <row r="586" spans="2:5" x14ac:dyDescent="0.25">
      <c r="B586" t="s">
        <v>4871</v>
      </c>
      <c r="C586" s="97" t="s">
        <v>5140</v>
      </c>
      <c r="D586" s="96">
        <v>-3.7637057</v>
      </c>
      <c r="E586" s="96">
        <v>-73.272703899999996</v>
      </c>
    </row>
    <row r="587" spans="2:5" x14ac:dyDescent="0.25">
      <c r="B587" t="s">
        <v>4872</v>
      </c>
      <c r="C587" s="97" t="s">
        <v>5140</v>
      </c>
      <c r="D587" s="96">
        <v>-5.1782883999999996</v>
      </c>
      <c r="E587" s="96">
        <v>-80.654888200000002</v>
      </c>
    </row>
    <row r="588" spans="2:5" x14ac:dyDescent="0.25">
      <c r="B588" t="s">
        <v>4873</v>
      </c>
      <c r="C588" s="97" t="s">
        <v>5140</v>
      </c>
      <c r="D588" s="96">
        <v>-6.4824783999999998</v>
      </c>
      <c r="E588" s="96">
        <v>-76.372689100000002</v>
      </c>
    </row>
    <row r="589" spans="2:5" x14ac:dyDescent="0.25">
      <c r="B589" t="s">
        <v>4874</v>
      </c>
      <c r="C589" s="97" t="s">
        <v>5140</v>
      </c>
      <c r="D589" s="96">
        <v>-9.9207648000000006</v>
      </c>
      <c r="E589" s="96">
        <v>-76.241084299999997</v>
      </c>
    </row>
    <row r="590" spans="2:5" x14ac:dyDescent="0.25">
      <c r="B590" t="s">
        <v>4875</v>
      </c>
      <c r="C590" s="97" t="s">
        <v>5140</v>
      </c>
      <c r="D590" s="96">
        <v>-8.3928621999999997</v>
      </c>
      <c r="E590" s="96">
        <v>-74.582616599999994</v>
      </c>
    </row>
    <row r="591" spans="2:5" x14ac:dyDescent="0.25">
      <c r="B591" t="s">
        <v>4876</v>
      </c>
      <c r="C591" s="97" t="s">
        <v>5140</v>
      </c>
      <c r="D591" s="96">
        <v>-13.42553</v>
      </c>
      <c r="E591" s="96">
        <v>-76.136711000000005</v>
      </c>
    </row>
    <row r="592" spans="2:5" x14ac:dyDescent="0.25">
      <c r="B592" t="s">
        <v>4877</v>
      </c>
      <c r="C592" s="97" t="s">
        <v>5140</v>
      </c>
      <c r="D592" s="96">
        <v>-12.082019600000001</v>
      </c>
      <c r="E592" s="96">
        <v>-76.928234000000003</v>
      </c>
    </row>
    <row r="593" spans="2:5" x14ac:dyDescent="0.25">
      <c r="B593" t="s">
        <v>4878</v>
      </c>
      <c r="C593" s="97" t="s">
        <v>5140</v>
      </c>
      <c r="D593" s="96">
        <v>-12.196510999999999</v>
      </c>
      <c r="E593" s="96">
        <v>-76.939443199999999</v>
      </c>
    </row>
    <row r="594" spans="2:5" x14ac:dyDescent="0.25">
      <c r="B594" t="s">
        <v>4879</v>
      </c>
      <c r="C594" s="97" t="s">
        <v>5140</v>
      </c>
      <c r="D594" s="96">
        <v>-12.096500799999999</v>
      </c>
      <c r="E594" s="96">
        <v>-77.002038900000002</v>
      </c>
    </row>
    <row r="595" spans="2:5" x14ac:dyDescent="0.25">
      <c r="B595" t="s">
        <v>4880</v>
      </c>
      <c r="C595" s="97" t="s">
        <v>5140</v>
      </c>
      <c r="D595" s="96">
        <v>-12.0463833</v>
      </c>
      <c r="E595" s="96">
        <v>-76.943218200000004</v>
      </c>
    </row>
    <row r="596" spans="2:5" x14ac:dyDescent="0.25">
      <c r="B596" t="s">
        <v>4881</v>
      </c>
      <c r="C596" s="97" t="s">
        <v>5140</v>
      </c>
      <c r="D596" s="96">
        <v>-12.1550691</v>
      </c>
      <c r="E596" s="96">
        <v>-76.982249600000003</v>
      </c>
    </row>
    <row r="597" spans="2:5" x14ac:dyDescent="0.25">
      <c r="B597" t="s">
        <v>4882</v>
      </c>
      <c r="C597" s="97" t="s">
        <v>5140</v>
      </c>
      <c r="D597" s="96">
        <v>-12.1291279</v>
      </c>
      <c r="E597" s="96">
        <v>-76.984126900000007</v>
      </c>
    </row>
    <row r="598" spans="2:5" x14ac:dyDescent="0.25">
      <c r="B598" t="s">
        <v>4883</v>
      </c>
      <c r="C598" s="97" t="s">
        <v>5140</v>
      </c>
      <c r="D598" s="96">
        <v>-12.108794700000001</v>
      </c>
      <c r="E598" s="96">
        <v>-76.971623300000005</v>
      </c>
    </row>
    <row r="599" spans="2:5" x14ac:dyDescent="0.25">
      <c r="B599" t="s">
        <v>4884</v>
      </c>
      <c r="C599" s="97" t="s">
        <v>5140</v>
      </c>
      <c r="D599" s="96">
        <v>-12.0152597</v>
      </c>
      <c r="E599" s="96">
        <v>-76.885489199999995</v>
      </c>
    </row>
    <row r="600" spans="2:5" x14ac:dyDescent="0.25">
      <c r="B600" t="s">
        <v>4885</v>
      </c>
      <c r="C600" s="97" t="s">
        <v>5140</v>
      </c>
      <c r="D600" s="96">
        <v>-12.081086300000001</v>
      </c>
      <c r="E600" s="96">
        <v>-76.966630499999994</v>
      </c>
    </row>
    <row r="601" spans="2:5" x14ac:dyDescent="0.25">
      <c r="B601" t="s">
        <v>4886</v>
      </c>
      <c r="C601" s="97" t="s">
        <v>5140</v>
      </c>
      <c r="D601" s="96">
        <v>-12.111552400000001</v>
      </c>
      <c r="E601" s="96">
        <v>-76.993316899999996</v>
      </c>
    </row>
    <row r="602" spans="2:5" x14ac:dyDescent="0.25">
      <c r="B602" t="s">
        <v>4887</v>
      </c>
      <c r="C602" s="97" t="s">
        <v>5140</v>
      </c>
      <c r="D602" s="96">
        <v>-12.081121551843101</v>
      </c>
      <c r="E602" s="96">
        <v>-76.994007063093903</v>
      </c>
    </row>
    <row r="603" spans="2:5" x14ac:dyDescent="0.25">
      <c r="B603" t="s">
        <v>4888</v>
      </c>
      <c r="C603" s="97" t="s">
        <v>5140</v>
      </c>
      <c r="D603" s="96">
        <v>-13.0694722</v>
      </c>
      <c r="E603" s="96">
        <v>-76.355166699999998</v>
      </c>
    </row>
    <row r="604" spans="2:5" x14ac:dyDescent="0.25">
      <c r="B604" t="s">
        <v>4889</v>
      </c>
      <c r="C604" s="97" t="s">
        <v>5140</v>
      </c>
      <c r="D604" s="96">
        <v>-12.2065293</v>
      </c>
      <c r="E604" s="96">
        <v>-77.014703999999995</v>
      </c>
    </row>
    <row r="605" spans="2:5" x14ac:dyDescent="0.25">
      <c r="B605" t="s">
        <v>4890</v>
      </c>
      <c r="C605" s="97" t="s">
        <v>5140</v>
      </c>
      <c r="D605" s="96">
        <v>-12.1106441</v>
      </c>
      <c r="E605" s="96">
        <v>-76.9802325</v>
      </c>
    </row>
    <row r="606" spans="2:5" x14ac:dyDescent="0.25">
      <c r="B606" t="s">
        <v>4891</v>
      </c>
      <c r="C606" s="97" t="s">
        <v>5140</v>
      </c>
      <c r="D606" s="96">
        <v>-13.42553</v>
      </c>
      <c r="E606" s="96">
        <v>-76.136711000000005</v>
      </c>
    </row>
    <row r="607" spans="2:5" x14ac:dyDescent="0.25">
      <c r="B607" t="s">
        <v>4892</v>
      </c>
      <c r="C607" s="97" t="s">
        <v>5140</v>
      </c>
      <c r="D607" s="96">
        <v>-12.1848841</v>
      </c>
      <c r="E607" s="96">
        <v>-77.007450199999994</v>
      </c>
    </row>
    <row r="608" spans="2:5" x14ac:dyDescent="0.25">
      <c r="B608" t="s">
        <v>4893</v>
      </c>
      <c r="C608" s="97" t="s">
        <v>5140</v>
      </c>
      <c r="D608" s="96">
        <v>-12.005473</v>
      </c>
      <c r="E608" s="96">
        <v>-76.874383399999999</v>
      </c>
    </row>
    <row r="609" spans="2:5" x14ac:dyDescent="0.25">
      <c r="B609" t="s">
        <v>4894</v>
      </c>
      <c r="C609" s="97" t="s">
        <v>5140</v>
      </c>
      <c r="D609" s="96">
        <v>-12.166918799999999</v>
      </c>
      <c r="E609" s="96">
        <v>-77.031945500000006</v>
      </c>
    </row>
    <row r="610" spans="2:5" x14ac:dyDescent="0.25">
      <c r="B610" t="s">
        <v>4895</v>
      </c>
      <c r="C610" s="97" t="s">
        <v>5140</v>
      </c>
      <c r="D610" s="96">
        <v>-12.099876514925899</v>
      </c>
      <c r="E610" s="96">
        <v>-76.969031735380995</v>
      </c>
    </row>
    <row r="611" spans="2:5" x14ac:dyDescent="0.25">
      <c r="B611" t="s">
        <v>4896</v>
      </c>
      <c r="C611" s="97" t="s">
        <v>5140</v>
      </c>
      <c r="D611" s="96">
        <v>-12.1007421</v>
      </c>
      <c r="E611" s="96">
        <v>-76.9868077</v>
      </c>
    </row>
    <row r="612" spans="2:5" x14ac:dyDescent="0.25">
      <c r="B612" t="s">
        <v>4897</v>
      </c>
      <c r="C612" s="97" t="s">
        <v>5140</v>
      </c>
      <c r="D612" s="96">
        <v>-12.0723463</v>
      </c>
      <c r="E612" s="96">
        <v>-76.992764399999999</v>
      </c>
    </row>
    <row r="613" spans="2:5" x14ac:dyDescent="0.25">
      <c r="B613" t="s">
        <v>4898</v>
      </c>
      <c r="C613" s="97" t="s">
        <v>5140</v>
      </c>
      <c r="D613" s="96">
        <v>-12.101390200000001</v>
      </c>
      <c r="E613" s="96">
        <v>-76.970967000000002</v>
      </c>
    </row>
    <row r="614" spans="2:5" x14ac:dyDescent="0.25">
      <c r="B614" t="s">
        <v>4899</v>
      </c>
      <c r="C614" s="97" t="s">
        <v>5140</v>
      </c>
      <c r="D614" s="96">
        <v>-14.07546</v>
      </c>
      <c r="E614" s="96">
        <v>-75.734181100000001</v>
      </c>
    </row>
    <row r="615" spans="2:5" x14ac:dyDescent="0.25">
      <c r="B615" t="s">
        <v>4900</v>
      </c>
      <c r="C615" s="97" t="s">
        <v>5140</v>
      </c>
      <c r="D615" s="96">
        <v>-12.090494700000001</v>
      </c>
      <c r="E615" s="96">
        <v>-76.951159399999995</v>
      </c>
    </row>
    <row r="616" spans="2:5" x14ac:dyDescent="0.25">
      <c r="B616" t="s">
        <v>4901</v>
      </c>
      <c r="C616" s="97" t="s">
        <v>5140</v>
      </c>
      <c r="D616" s="96">
        <v>-12.126906699999999</v>
      </c>
      <c r="E616" s="96">
        <v>-76.987131700000006</v>
      </c>
    </row>
    <row r="617" spans="2:5" x14ac:dyDescent="0.25">
      <c r="B617" t="s">
        <v>4902</v>
      </c>
      <c r="C617" s="97" t="s">
        <v>5140</v>
      </c>
      <c r="D617" s="96">
        <v>-12.0202627</v>
      </c>
      <c r="E617" s="96">
        <v>-76.935893500000006</v>
      </c>
    </row>
    <row r="618" spans="2:5" x14ac:dyDescent="0.25">
      <c r="B618" t="s">
        <v>4903</v>
      </c>
      <c r="C618" s="97" t="s">
        <v>5140</v>
      </c>
      <c r="D618" s="96">
        <v>-12.1214359</v>
      </c>
      <c r="E618" s="96">
        <v>-76.991667500000005</v>
      </c>
    </row>
    <row r="619" spans="2:5" x14ac:dyDescent="0.25">
      <c r="B619" t="s">
        <v>4904</v>
      </c>
      <c r="C619" s="97" t="s">
        <v>5140</v>
      </c>
      <c r="D619" s="96">
        <v>-12.0201464</v>
      </c>
      <c r="E619" s="96">
        <v>-76.8175454</v>
      </c>
    </row>
    <row r="620" spans="2:5" x14ac:dyDescent="0.25">
      <c r="B620" t="s">
        <v>4905</v>
      </c>
      <c r="C620" s="97" t="s">
        <v>5140</v>
      </c>
      <c r="D620" s="96">
        <v>-14.0723235</v>
      </c>
      <c r="E620" s="96">
        <v>-75.7281397</v>
      </c>
    </row>
    <row r="621" spans="2:5" x14ac:dyDescent="0.25">
      <c r="B621" t="s">
        <v>4906</v>
      </c>
      <c r="C621" s="97" t="s">
        <v>5140</v>
      </c>
      <c r="D621" s="96">
        <v>-12.0852535</v>
      </c>
      <c r="E621" s="96">
        <v>-76.977249299999997</v>
      </c>
    </row>
    <row r="622" spans="2:5" x14ac:dyDescent="0.25">
      <c r="B622" t="s">
        <v>4907</v>
      </c>
      <c r="C622" s="97" t="s">
        <v>5140</v>
      </c>
      <c r="D622" s="96">
        <v>-12.1111562</v>
      </c>
      <c r="E622" s="96">
        <v>-76.987345000000005</v>
      </c>
    </row>
    <row r="623" spans="2:5" x14ac:dyDescent="0.25">
      <c r="B623" t="s">
        <v>4908</v>
      </c>
      <c r="C623" s="97" t="s">
        <v>5140</v>
      </c>
      <c r="D623" s="96">
        <v>-12.065222800000001</v>
      </c>
      <c r="E623" s="96">
        <v>-76.954017399999998</v>
      </c>
    </row>
    <row r="624" spans="2:5" x14ac:dyDescent="0.25">
      <c r="B624" t="s">
        <v>4909</v>
      </c>
      <c r="C624" s="97" t="s">
        <v>5140</v>
      </c>
      <c r="D624" s="96">
        <v>-11.9796704</v>
      </c>
      <c r="E624" s="96">
        <v>-77.002826299999995</v>
      </c>
    </row>
    <row r="625" spans="2:5" x14ac:dyDescent="0.25">
      <c r="B625" t="s">
        <v>4910</v>
      </c>
      <c r="C625" s="97" t="s">
        <v>5140</v>
      </c>
      <c r="D625" s="96">
        <v>-12.0888516</v>
      </c>
      <c r="E625" s="96">
        <v>-77.005157299999993</v>
      </c>
    </row>
    <row r="626" spans="2:5" x14ac:dyDescent="0.25">
      <c r="B626" t="s">
        <v>4911</v>
      </c>
      <c r="C626" s="97" t="s">
        <v>5140</v>
      </c>
      <c r="D626" s="96">
        <v>-12.0736732</v>
      </c>
      <c r="E626" s="96">
        <v>-76.956134500000005</v>
      </c>
    </row>
    <row r="627" spans="2:5" x14ac:dyDescent="0.25">
      <c r="B627" t="s">
        <v>4912</v>
      </c>
      <c r="C627" s="97" t="s">
        <v>5140</v>
      </c>
      <c r="D627" s="96">
        <v>-12.172768599999999</v>
      </c>
      <c r="E627" s="96">
        <v>-77.013213800000003</v>
      </c>
    </row>
    <row r="628" spans="2:5" x14ac:dyDescent="0.25">
      <c r="B628" t="s">
        <v>4913</v>
      </c>
      <c r="C628" s="97" t="s">
        <v>5140</v>
      </c>
      <c r="D628" s="96">
        <v>-12.0998921</v>
      </c>
      <c r="E628" s="96">
        <v>-77.024494300000001</v>
      </c>
    </row>
    <row r="629" spans="2:5" x14ac:dyDescent="0.25">
      <c r="B629" t="s">
        <v>4914</v>
      </c>
      <c r="C629" s="97" t="s">
        <v>5140</v>
      </c>
      <c r="D629" s="96">
        <v>-12.1051799827575</v>
      </c>
      <c r="E629" s="96">
        <v>-76.9654223477486</v>
      </c>
    </row>
    <row r="630" spans="2:5" x14ac:dyDescent="0.25">
      <c r="B630" t="s">
        <v>4915</v>
      </c>
      <c r="C630" s="97" t="s">
        <v>5140</v>
      </c>
      <c r="D630" s="96">
        <v>-12.1351177</v>
      </c>
      <c r="E630" s="96">
        <v>-76.996788199999997</v>
      </c>
    </row>
    <row r="631" spans="2:5" x14ac:dyDescent="0.25">
      <c r="B631" t="s">
        <v>4916</v>
      </c>
      <c r="C631" s="97" t="s">
        <v>5140</v>
      </c>
      <c r="D631" s="96">
        <v>-12.2526987</v>
      </c>
      <c r="E631" s="96">
        <v>-76.884085900000002</v>
      </c>
    </row>
    <row r="632" spans="2:5" x14ac:dyDescent="0.25">
      <c r="B632" t="s">
        <v>4917</v>
      </c>
      <c r="C632" s="97" t="s">
        <v>5140</v>
      </c>
      <c r="D632" s="96">
        <v>-12.6551338</v>
      </c>
      <c r="E632" s="96">
        <v>-76.636009200000004</v>
      </c>
    </row>
    <row r="633" spans="2:5" x14ac:dyDescent="0.25">
      <c r="B633" t="s">
        <v>4918</v>
      </c>
      <c r="C633" s="97" t="s">
        <v>5140</v>
      </c>
      <c r="D633" s="96">
        <v>-12.0568533</v>
      </c>
      <c r="E633" s="96">
        <v>-76.970742200000004</v>
      </c>
    </row>
    <row r="634" spans="2:5" x14ac:dyDescent="0.25">
      <c r="B634" t="s">
        <v>4919</v>
      </c>
      <c r="C634" s="97" t="s">
        <v>5140</v>
      </c>
      <c r="D634" s="96">
        <v>-12.2160493</v>
      </c>
      <c r="E634" s="96">
        <v>-76.941678899999999</v>
      </c>
    </row>
    <row r="635" spans="2:5" x14ac:dyDescent="0.25">
      <c r="B635" t="s">
        <v>4920</v>
      </c>
      <c r="C635" s="97" t="s">
        <v>5140</v>
      </c>
      <c r="D635" s="96">
        <v>-12.0411807</v>
      </c>
      <c r="E635" s="96">
        <v>-76.947764699999993</v>
      </c>
    </row>
    <row r="636" spans="2:5" x14ac:dyDescent="0.25">
      <c r="B636" t="s">
        <v>4921</v>
      </c>
      <c r="C636" s="97" t="s">
        <v>5140</v>
      </c>
      <c r="D636" s="96">
        <v>-12.111641937780901</v>
      </c>
      <c r="E636" s="96">
        <v>-76.990583163093206</v>
      </c>
    </row>
    <row r="637" spans="2:5" x14ac:dyDescent="0.25">
      <c r="B637" t="s">
        <v>4922</v>
      </c>
      <c r="C637" s="97" t="s">
        <v>5140</v>
      </c>
      <c r="D637" s="96">
        <v>-12.0632681</v>
      </c>
      <c r="E637" s="96">
        <v>-76.984725400000002</v>
      </c>
    </row>
    <row r="638" spans="2:5" x14ac:dyDescent="0.25">
      <c r="B638" t="s">
        <v>4923</v>
      </c>
      <c r="C638" s="97" t="s">
        <v>5140</v>
      </c>
      <c r="D638" s="96">
        <v>-6.7700076999999999</v>
      </c>
      <c r="E638" s="96">
        <v>-79.855407099999994</v>
      </c>
    </row>
    <row r="639" spans="2:5" x14ac:dyDescent="0.25">
      <c r="B639" t="s">
        <v>4924</v>
      </c>
      <c r="C639" s="97" t="s">
        <v>5140</v>
      </c>
      <c r="D639" s="96">
        <v>-12.131834100000001</v>
      </c>
      <c r="E639" s="96">
        <v>-76.981659199999996</v>
      </c>
    </row>
    <row r="640" spans="2:5" x14ac:dyDescent="0.25">
      <c r="B640" t="s">
        <v>4925</v>
      </c>
      <c r="C640" s="97" t="s">
        <v>5140</v>
      </c>
      <c r="D640" s="96">
        <v>-12.1294473445748</v>
      </c>
      <c r="E640" s="96">
        <v>-77.001025261239405</v>
      </c>
    </row>
    <row r="641" spans="2:5" x14ac:dyDescent="0.25">
      <c r="B641" t="s">
        <v>4926</v>
      </c>
      <c r="C641" s="97" t="s">
        <v>5140</v>
      </c>
      <c r="D641" s="96">
        <v>-13.7110191</v>
      </c>
      <c r="E641" s="96">
        <v>-76.194359199999994</v>
      </c>
    </row>
    <row r="642" spans="2:5" x14ac:dyDescent="0.25">
      <c r="B642" t="s">
        <v>4927</v>
      </c>
      <c r="C642" s="97" t="s">
        <v>5140</v>
      </c>
      <c r="D642" s="96">
        <v>-12.1013302</v>
      </c>
      <c r="E642" s="96">
        <v>-76.971680399999997</v>
      </c>
    </row>
    <row r="643" spans="2:5" x14ac:dyDescent="0.25">
      <c r="B643" t="s">
        <v>4928</v>
      </c>
      <c r="C643" s="97" t="s">
        <v>5140</v>
      </c>
      <c r="D643" s="96">
        <v>-12.034054100000001</v>
      </c>
      <c r="E643" s="96">
        <v>-76.933336999999995</v>
      </c>
    </row>
    <row r="644" spans="2:5" x14ac:dyDescent="0.25">
      <c r="B644" t="s">
        <v>4929</v>
      </c>
      <c r="C644" s="97" t="s">
        <v>5140</v>
      </c>
      <c r="D644" s="96">
        <v>-12.0786534</v>
      </c>
      <c r="E644" s="96">
        <v>-76.948854299999994</v>
      </c>
    </row>
    <row r="645" spans="2:5" x14ac:dyDescent="0.25">
      <c r="B645" t="s">
        <v>4930</v>
      </c>
      <c r="C645" s="97" t="s">
        <v>5140</v>
      </c>
      <c r="D645" s="96">
        <v>-12.0712258079341</v>
      </c>
      <c r="E645" s="96">
        <v>-76.985430768977906</v>
      </c>
    </row>
    <row r="646" spans="2:5" x14ac:dyDescent="0.25">
      <c r="B646" t="s">
        <v>4931</v>
      </c>
      <c r="C646" s="97" t="s">
        <v>5140</v>
      </c>
      <c r="D646" s="96">
        <v>-12.097918999999999</v>
      </c>
      <c r="E646" s="96">
        <v>-77.002076900000006</v>
      </c>
    </row>
    <row r="647" spans="2:5" x14ac:dyDescent="0.25">
      <c r="B647" t="s">
        <v>4932</v>
      </c>
      <c r="C647" s="97" t="s">
        <v>5140</v>
      </c>
      <c r="D647" s="96">
        <v>-12.1004182</v>
      </c>
      <c r="E647" s="96">
        <v>-76.999863199999993</v>
      </c>
    </row>
    <row r="648" spans="2:5" x14ac:dyDescent="0.25">
      <c r="B648" t="s">
        <v>4933</v>
      </c>
      <c r="C648" s="97" t="s">
        <v>5140</v>
      </c>
      <c r="D648" s="96">
        <v>-12.155131900000001</v>
      </c>
      <c r="E648" s="96">
        <v>-76.972263600000005</v>
      </c>
    </row>
    <row r="649" spans="2:5" x14ac:dyDescent="0.25">
      <c r="B649" t="s">
        <v>4934</v>
      </c>
      <c r="C649" s="97" t="s">
        <v>5140</v>
      </c>
      <c r="D649" s="96">
        <v>-12.089131</v>
      </c>
      <c r="E649" s="96">
        <v>-76.995964700000002</v>
      </c>
    </row>
    <row r="650" spans="2:5" x14ac:dyDescent="0.25">
      <c r="B650" t="s">
        <v>4935</v>
      </c>
      <c r="C650" s="97" t="s">
        <v>5140</v>
      </c>
      <c r="D650" s="96">
        <v>-14.038073499999999</v>
      </c>
      <c r="E650" s="96">
        <v>-75.736129800000001</v>
      </c>
    </row>
    <row r="651" spans="2:5" x14ac:dyDescent="0.25">
      <c r="B651" t="s">
        <v>4936</v>
      </c>
      <c r="C651" s="97" t="s">
        <v>5140</v>
      </c>
      <c r="D651" s="96">
        <v>-12.0458152</v>
      </c>
      <c r="E651" s="96">
        <v>-76.958556999999999</v>
      </c>
    </row>
    <row r="652" spans="2:5" x14ac:dyDescent="0.25">
      <c r="B652" t="s">
        <v>4937</v>
      </c>
      <c r="C652" s="97" t="s">
        <v>5140</v>
      </c>
      <c r="D652" s="96">
        <v>-12.0713223</v>
      </c>
      <c r="E652" s="96">
        <v>-76.981006100000002</v>
      </c>
    </row>
    <row r="653" spans="2:5" x14ac:dyDescent="0.25">
      <c r="B653" t="s">
        <v>4938</v>
      </c>
      <c r="C653" s="97" t="s">
        <v>5140</v>
      </c>
      <c r="D653" s="96">
        <v>-12.156504</v>
      </c>
      <c r="E653" s="96">
        <v>-76.989894000000007</v>
      </c>
    </row>
    <row r="654" spans="2:5" x14ac:dyDescent="0.25">
      <c r="B654" t="s">
        <v>4939</v>
      </c>
      <c r="C654" s="97" t="s">
        <v>5140</v>
      </c>
      <c r="D654" s="96">
        <v>-12.171609999999999</v>
      </c>
      <c r="E654" s="96">
        <v>-76.967749999999995</v>
      </c>
    </row>
    <row r="655" spans="2:5" x14ac:dyDescent="0.25">
      <c r="B655" t="s">
        <v>4940</v>
      </c>
      <c r="C655" s="97" t="s">
        <v>5140</v>
      </c>
      <c r="D655" s="96">
        <v>-12.1653311</v>
      </c>
      <c r="E655" s="96">
        <v>-76.973131499999994</v>
      </c>
    </row>
    <row r="656" spans="2:5" x14ac:dyDescent="0.25">
      <c r="B656" t="s">
        <v>4941</v>
      </c>
      <c r="C656" s="97" t="s">
        <v>5140</v>
      </c>
      <c r="D656" s="96">
        <v>-12.123942599999999</v>
      </c>
      <c r="E656" s="96">
        <v>-76.984130199999996</v>
      </c>
    </row>
    <row r="657" spans="2:5" x14ac:dyDescent="0.25">
      <c r="B657" t="s">
        <v>4942</v>
      </c>
      <c r="C657" s="97" t="s">
        <v>5140</v>
      </c>
      <c r="D657" s="96">
        <v>-12.2060567</v>
      </c>
      <c r="E657" s="96">
        <v>-76.9513824</v>
      </c>
    </row>
    <row r="658" spans="2:5" x14ac:dyDescent="0.25">
      <c r="B658" t="s">
        <v>4943</v>
      </c>
      <c r="C658" s="97" t="s">
        <v>5140</v>
      </c>
      <c r="D658" s="96">
        <v>-12.166082100000001</v>
      </c>
      <c r="E658" s="96">
        <v>-76.952060599999996</v>
      </c>
    </row>
    <row r="659" spans="2:5" x14ac:dyDescent="0.25">
      <c r="B659" t="s">
        <v>4944</v>
      </c>
      <c r="C659" s="97" t="s">
        <v>5140</v>
      </c>
      <c r="D659" s="96">
        <v>-12.1850063</v>
      </c>
      <c r="E659" s="96">
        <v>-77.006808800000002</v>
      </c>
    </row>
    <row r="660" spans="2:5" x14ac:dyDescent="0.25">
      <c r="B660" t="s">
        <v>4945</v>
      </c>
      <c r="C660" s="97" t="s">
        <v>5140</v>
      </c>
      <c r="D660" s="96">
        <v>-12.027447199999999</v>
      </c>
      <c r="E660" s="96">
        <v>-76.948822500000006</v>
      </c>
    </row>
    <row r="661" spans="2:5" x14ac:dyDescent="0.25">
      <c r="B661" t="s">
        <v>4946</v>
      </c>
      <c r="C661" s="97" t="s">
        <v>5140</v>
      </c>
      <c r="D661" s="96">
        <v>-13.436809500000001</v>
      </c>
      <c r="E661" s="96">
        <v>-76.135689999999997</v>
      </c>
    </row>
    <row r="662" spans="2:5" x14ac:dyDescent="0.25">
      <c r="B662" t="s">
        <v>4947</v>
      </c>
      <c r="C662" s="97" t="s">
        <v>5140</v>
      </c>
      <c r="D662" s="96">
        <v>-13.452767100000001</v>
      </c>
      <c r="E662" s="96">
        <v>-76.028109000000001</v>
      </c>
    </row>
    <row r="663" spans="2:5" x14ac:dyDescent="0.25">
      <c r="B663" t="s">
        <v>4948</v>
      </c>
      <c r="C663" s="97" t="s">
        <v>5140</v>
      </c>
      <c r="D663" s="96">
        <v>-12.168060199999999</v>
      </c>
      <c r="E663" s="96">
        <v>-76.951342800000006</v>
      </c>
    </row>
    <row r="664" spans="2:5" x14ac:dyDescent="0.25">
      <c r="B664" t="s">
        <v>4949</v>
      </c>
      <c r="C664" s="97" t="s">
        <v>5140</v>
      </c>
      <c r="D664" s="96">
        <v>-12.2774059</v>
      </c>
      <c r="E664" s="96">
        <v>-76.887917900000005</v>
      </c>
    </row>
    <row r="665" spans="2:5" x14ac:dyDescent="0.25">
      <c r="B665" t="s">
        <v>4950</v>
      </c>
      <c r="C665" s="97" t="s">
        <v>5140</v>
      </c>
      <c r="D665" s="96">
        <v>-12.0466888</v>
      </c>
      <c r="E665" s="96">
        <v>-77.043088600000004</v>
      </c>
    </row>
    <row r="666" spans="2:5" x14ac:dyDescent="0.25">
      <c r="B666" t="s">
        <v>4951</v>
      </c>
      <c r="C666" s="97" t="s">
        <v>5140</v>
      </c>
      <c r="D666" s="96">
        <v>-12.0466888</v>
      </c>
      <c r="E666" s="96">
        <v>-77.043088600000004</v>
      </c>
    </row>
    <row r="667" spans="2:5" x14ac:dyDescent="0.25">
      <c r="B667" t="s">
        <v>4952</v>
      </c>
      <c r="C667" s="97" t="s">
        <v>5140</v>
      </c>
      <c r="D667" s="96">
        <v>-12.112767</v>
      </c>
      <c r="E667" s="96">
        <v>-76.985907699999998</v>
      </c>
    </row>
    <row r="668" spans="2:5" x14ac:dyDescent="0.25">
      <c r="B668" t="s">
        <v>4953</v>
      </c>
      <c r="C668" s="97" t="s">
        <v>5140</v>
      </c>
      <c r="D668" s="96">
        <v>-6.7781048999999998</v>
      </c>
      <c r="E668" s="96">
        <v>-79.835541599999999</v>
      </c>
    </row>
    <row r="669" spans="2:5" x14ac:dyDescent="0.25">
      <c r="B669" t="s">
        <v>4954</v>
      </c>
      <c r="C669" s="97" t="s">
        <v>5140</v>
      </c>
      <c r="D669" s="96">
        <v>-12.128042900000001</v>
      </c>
      <c r="E669" s="96">
        <v>-76.992795299999997</v>
      </c>
    </row>
    <row r="670" spans="2:5" x14ac:dyDescent="0.25">
      <c r="B670" t="s">
        <v>4955</v>
      </c>
      <c r="C670" s="97" t="s">
        <v>5140</v>
      </c>
      <c r="D670" s="96">
        <v>-11.9349516</v>
      </c>
      <c r="E670" s="96">
        <v>-77.052072600000002</v>
      </c>
    </row>
    <row r="671" spans="2:5" x14ac:dyDescent="0.25">
      <c r="B671" t="s">
        <v>4956</v>
      </c>
      <c r="C671" s="97" t="s">
        <v>5140</v>
      </c>
      <c r="D671" s="96">
        <v>-12.097340000000001</v>
      </c>
      <c r="E671" s="96">
        <v>-77.014703999999995</v>
      </c>
    </row>
    <row r="672" spans="2:5" x14ac:dyDescent="0.25">
      <c r="B672" t="s">
        <v>4957</v>
      </c>
      <c r="C672" s="97" t="s">
        <v>5140</v>
      </c>
      <c r="D672" s="96">
        <v>-8.0853201000000006</v>
      </c>
      <c r="E672" s="96">
        <v>-79.002201400000004</v>
      </c>
    </row>
    <row r="673" spans="2:5" x14ac:dyDescent="0.25">
      <c r="B673" t="s">
        <v>4958</v>
      </c>
      <c r="C673" s="97" t="s">
        <v>5140</v>
      </c>
      <c r="D673" s="96">
        <v>-12.006592100000001</v>
      </c>
      <c r="E673" s="96">
        <v>-77.055367000000004</v>
      </c>
    </row>
    <row r="674" spans="2:5" x14ac:dyDescent="0.25">
      <c r="B674" t="s">
        <v>4959</v>
      </c>
      <c r="C674" s="97" t="s">
        <v>5140</v>
      </c>
      <c r="D674" s="96">
        <v>-12.105383</v>
      </c>
      <c r="E674" s="96">
        <v>-76.970744999999994</v>
      </c>
    </row>
    <row r="675" spans="2:5" x14ac:dyDescent="0.25">
      <c r="B675" t="s">
        <v>4960</v>
      </c>
      <c r="C675" s="97" t="s">
        <v>5140</v>
      </c>
      <c r="D675" s="96">
        <v>-12.059824600000001</v>
      </c>
      <c r="E675" s="96">
        <v>-77.135129199999994</v>
      </c>
    </row>
    <row r="676" spans="2:5" x14ac:dyDescent="0.25">
      <c r="B676" t="s">
        <v>4961</v>
      </c>
      <c r="C676" s="97" t="s">
        <v>5140</v>
      </c>
      <c r="D676" s="96">
        <v>-12.068029900000001</v>
      </c>
      <c r="E676" s="96">
        <v>-77.016143600000007</v>
      </c>
    </row>
    <row r="677" spans="2:5" x14ac:dyDescent="0.25">
      <c r="B677" t="s">
        <v>4962</v>
      </c>
      <c r="C677" s="97" t="s">
        <v>5140</v>
      </c>
      <c r="D677" s="96">
        <v>-12.043385900000001</v>
      </c>
      <c r="E677" s="96">
        <v>-77.042856400000005</v>
      </c>
    </row>
    <row r="678" spans="2:5" x14ac:dyDescent="0.25">
      <c r="B678" t="s">
        <v>4963</v>
      </c>
      <c r="C678" s="97" t="s">
        <v>5140</v>
      </c>
      <c r="D678" s="96">
        <v>-10.689132499999999</v>
      </c>
      <c r="E678" s="96">
        <v>-77.774180200000004</v>
      </c>
    </row>
    <row r="679" spans="2:5" x14ac:dyDescent="0.25">
      <c r="B679" t="s">
        <v>4964</v>
      </c>
      <c r="C679" s="97" t="s">
        <v>5140</v>
      </c>
      <c r="D679" s="96">
        <v>-12.107408299999999</v>
      </c>
      <c r="E679" s="96">
        <v>-77.015799000000001</v>
      </c>
    </row>
    <row r="680" spans="2:5" x14ac:dyDescent="0.25">
      <c r="B680" t="s">
        <v>4965</v>
      </c>
      <c r="C680" s="97" t="s">
        <v>5140</v>
      </c>
      <c r="D680" s="96">
        <v>-5.2061931000000001</v>
      </c>
      <c r="E680" s="96">
        <v>-80.618387200000001</v>
      </c>
    </row>
    <row r="681" spans="2:5" x14ac:dyDescent="0.25">
      <c r="B681" t="s">
        <v>4966</v>
      </c>
      <c r="C681" s="97" t="s">
        <v>5140</v>
      </c>
      <c r="D681" s="96">
        <v>-9.9324581999999992</v>
      </c>
      <c r="E681" s="96">
        <v>-76.244449599999996</v>
      </c>
    </row>
    <row r="682" spans="2:5" x14ac:dyDescent="0.25">
      <c r="B682" t="s">
        <v>4967</v>
      </c>
      <c r="C682" s="97" t="s">
        <v>5140</v>
      </c>
      <c r="D682" s="96">
        <v>-8.3928621999999997</v>
      </c>
      <c r="E682" s="96">
        <v>-74.582616599999994</v>
      </c>
    </row>
    <row r="683" spans="2:5" x14ac:dyDescent="0.25">
      <c r="B683" t="s">
        <v>4968</v>
      </c>
      <c r="C683" s="97" t="s">
        <v>5140</v>
      </c>
      <c r="D683" s="96">
        <v>-11.9548121</v>
      </c>
      <c r="E683" s="96">
        <v>-77.069038199999994</v>
      </c>
    </row>
    <row r="684" spans="2:5" x14ac:dyDescent="0.25">
      <c r="B684" t="s">
        <v>4969</v>
      </c>
      <c r="C684" s="97" t="s">
        <v>5140</v>
      </c>
      <c r="D684" s="96">
        <v>-12.018179099999999</v>
      </c>
      <c r="E684" s="96">
        <v>-76.967186499999997</v>
      </c>
    </row>
    <row r="685" spans="2:5" x14ac:dyDescent="0.25">
      <c r="B685" t="s">
        <v>4970</v>
      </c>
      <c r="C685" s="97" t="s">
        <v>5140</v>
      </c>
      <c r="D685" s="96">
        <v>-6.7724488000000003</v>
      </c>
      <c r="E685" s="96">
        <v>-79.838711599999996</v>
      </c>
    </row>
    <row r="686" spans="2:5" x14ac:dyDescent="0.25">
      <c r="B686" t="s">
        <v>4971</v>
      </c>
      <c r="C686" s="97" t="s">
        <v>5140</v>
      </c>
      <c r="D686" s="96">
        <v>-5.2384969000000003</v>
      </c>
      <c r="E686" s="96">
        <v>-80.543845000000005</v>
      </c>
    </row>
    <row r="687" spans="2:5" x14ac:dyDescent="0.25">
      <c r="B687" t="s">
        <v>4972</v>
      </c>
      <c r="C687" s="97" t="s">
        <v>5140</v>
      </c>
      <c r="D687" s="96">
        <v>-8.1157845999999996</v>
      </c>
      <c r="E687" s="96">
        <v>-79.025738099999998</v>
      </c>
    </row>
    <row r="688" spans="2:5" x14ac:dyDescent="0.25">
      <c r="B688" t="s">
        <v>4973</v>
      </c>
      <c r="C688" s="97" t="s">
        <v>5140</v>
      </c>
      <c r="D688" s="96">
        <v>-6.7712767999999999</v>
      </c>
      <c r="E688" s="96">
        <v>-79.845161000000004</v>
      </c>
    </row>
    <row r="689" spans="2:5" x14ac:dyDescent="0.25">
      <c r="B689" t="s">
        <v>4974</v>
      </c>
      <c r="C689" s="97" t="s">
        <v>5140</v>
      </c>
      <c r="D689" s="96">
        <v>-11.865477500000001</v>
      </c>
      <c r="E689" s="96">
        <v>-77.078031600000003</v>
      </c>
    </row>
    <row r="690" spans="2:5" x14ac:dyDescent="0.25">
      <c r="B690" t="s">
        <v>4975</v>
      </c>
      <c r="C690" s="97" t="s">
        <v>5140</v>
      </c>
      <c r="D690" s="96">
        <v>-6.7724488000000003</v>
      </c>
      <c r="E690" s="96">
        <v>-79.838711599999996</v>
      </c>
    </row>
    <row r="691" spans="2:5" x14ac:dyDescent="0.25">
      <c r="B691" t="s">
        <v>4976</v>
      </c>
      <c r="C691" s="97" t="s">
        <v>5140</v>
      </c>
      <c r="D691" s="96">
        <v>-9.0773776999999995</v>
      </c>
      <c r="E691" s="96">
        <v>-78.591778500000004</v>
      </c>
    </row>
    <row r="692" spans="2:5" x14ac:dyDescent="0.25">
      <c r="B692" t="s">
        <v>4977</v>
      </c>
      <c r="C692" s="97" t="s">
        <v>5140</v>
      </c>
      <c r="D692" s="96">
        <v>-6.7780899999999997</v>
      </c>
      <c r="E692" s="96">
        <v>-79.8324724</v>
      </c>
    </row>
    <row r="693" spans="2:5" x14ac:dyDescent="0.25">
      <c r="B693" t="s">
        <v>4978</v>
      </c>
      <c r="C693" s="97" t="s">
        <v>5140</v>
      </c>
      <c r="D693" s="96">
        <v>-8.1234383000000001</v>
      </c>
      <c r="E693" s="96">
        <v>-79.034694099999996</v>
      </c>
    </row>
    <row r="694" spans="2:5" x14ac:dyDescent="0.25">
      <c r="B694" t="s">
        <v>4979</v>
      </c>
      <c r="C694" s="97" t="s">
        <v>5140</v>
      </c>
      <c r="D694" s="96">
        <v>-6.7044468000000004</v>
      </c>
      <c r="E694" s="96">
        <v>-79.9042472</v>
      </c>
    </row>
    <row r="695" spans="2:5" x14ac:dyDescent="0.25">
      <c r="B695" t="s">
        <v>4980</v>
      </c>
      <c r="C695" s="97" t="s">
        <v>5140</v>
      </c>
      <c r="D695" s="96">
        <v>-8.1172638999999993</v>
      </c>
      <c r="E695" s="96">
        <v>-79.032223500000001</v>
      </c>
    </row>
    <row r="696" spans="2:5" x14ac:dyDescent="0.25">
      <c r="B696" t="s">
        <v>4981</v>
      </c>
      <c r="C696" s="97" t="s">
        <v>5140</v>
      </c>
      <c r="D696" s="96">
        <v>-6.7701164</v>
      </c>
      <c r="E696" s="96">
        <v>-79.836108400000001</v>
      </c>
    </row>
    <row r="697" spans="2:5" x14ac:dyDescent="0.25">
      <c r="B697" t="s">
        <v>4982</v>
      </c>
      <c r="C697" s="97" t="s">
        <v>5140</v>
      </c>
      <c r="D697" s="96">
        <v>-8.1021204000000004</v>
      </c>
      <c r="E697" s="96">
        <v>-79.045784600000005</v>
      </c>
    </row>
    <row r="698" spans="2:5" x14ac:dyDescent="0.25">
      <c r="B698" t="s">
        <v>4983</v>
      </c>
      <c r="C698" s="97" t="s">
        <v>5140</v>
      </c>
      <c r="D698" s="96">
        <v>-9.0749326000000003</v>
      </c>
      <c r="E698" s="96">
        <v>-78.594224400000002</v>
      </c>
    </row>
    <row r="699" spans="2:5" x14ac:dyDescent="0.25">
      <c r="B699" t="s">
        <v>4984</v>
      </c>
      <c r="C699" s="97" t="s">
        <v>5140</v>
      </c>
      <c r="D699" s="96">
        <v>-8.1109702000000006</v>
      </c>
      <c r="E699" s="96">
        <v>-79.018351300000006</v>
      </c>
    </row>
    <row r="700" spans="2:5" x14ac:dyDescent="0.25">
      <c r="B700" t="s">
        <v>4985</v>
      </c>
      <c r="C700" s="97" t="s">
        <v>5140</v>
      </c>
      <c r="D700" s="96">
        <v>-6.7712767999999999</v>
      </c>
      <c r="E700" s="96">
        <v>-79.845161000000004</v>
      </c>
    </row>
    <row r="701" spans="2:5" x14ac:dyDescent="0.25">
      <c r="B701" t="s">
        <v>4986</v>
      </c>
      <c r="C701" s="97" t="s">
        <v>5140</v>
      </c>
      <c r="D701" s="96">
        <v>-5.1902267000000002</v>
      </c>
      <c r="E701" s="96">
        <v>-80.6323881</v>
      </c>
    </row>
    <row r="702" spans="2:5" x14ac:dyDescent="0.25">
      <c r="B702" t="s">
        <v>4987</v>
      </c>
      <c r="C702" s="97" t="s">
        <v>5140</v>
      </c>
      <c r="D702" s="96">
        <v>-9.0743158000000008</v>
      </c>
      <c r="E702" s="96">
        <v>-78.590036900000001</v>
      </c>
    </row>
    <row r="703" spans="2:5" x14ac:dyDescent="0.25">
      <c r="B703" t="s">
        <v>4988</v>
      </c>
      <c r="C703" s="97" t="s">
        <v>5140</v>
      </c>
      <c r="D703" s="96">
        <v>-6.7720789000000003</v>
      </c>
      <c r="E703" s="96">
        <v>-79.863065800000001</v>
      </c>
    </row>
    <row r="704" spans="2:5" x14ac:dyDescent="0.25">
      <c r="B704" t="s">
        <v>4989</v>
      </c>
      <c r="C704" s="97" t="s">
        <v>5140</v>
      </c>
      <c r="D704" s="96">
        <v>-5.1936488000000001</v>
      </c>
      <c r="E704" s="96">
        <v>-80.619689100000002</v>
      </c>
    </row>
    <row r="705" spans="2:5" x14ac:dyDescent="0.25">
      <c r="B705" t="s">
        <v>4990</v>
      </c>
      <c r="C705" s="97" t="s">
        <v>5140</v>
      </c>
      <c r="D705" s="96">
        <v>-6.7035961000000004</v>
      </c>
      <c r="E705" s="96">
        <v>-79.906441999999998</v>
      </c>
    </row>
    <row r="706" spans="2:5" x14ac:dyDescent="0.25">
      <c r="B706" t="s">
        <v>4991</v>
      </c>
      <c r="C706" s="97" t="s">
        <v>5140</v>
      </c>
      <c r="D706" s="96">
        <v>-9.1286781000000001</v>
      </c>
      <c r="E706" s="96">
        <v>-78.517130600000002</v>
      </c>
    </row>
    <row r="707" spans="2:5" x14ac:dyDescent="0.25">
      <c r="B707" t="s">
        <v>4992</v>
      </c>
      <c r="C707" s="97" t="s">
        <v>5140</v>
      </c>
      <c r="D707" s="96">
        <v>-5.1822790000000003</v>
      </c>
      <c r="E707" s="96">
        <v>-80.622139000000004</v>
      </c>
    </row>
    <row r="708" spans="2:5" x14ac:dyDescent="0.25">
      <c r="B708" t="s">
        <v>4993</v>
      </c>
      <c r="C708" s="97" t="s">
        <v>5140</v>
      </c>
      <c r="D708" s="96">
        <v>-8.1238030999999999</v>
      </c>
      <c r="E708" s="96">
        <v>-79.0388102</v>
      </c>
    </row>
    <row r="709" spans="2:5" x14ac:dyDescent="0.25">
      <c r="B709" t="s">
        <v>4994</v>
      </c>
      <c r="C709" s="97" t="s">
        <v>5140</v>
      </c>
      <c r="D709" s="96">
        <v>-8.11941863849583</v>
      </c>
      <c r="E709" s="96">
        <v>-79.040936105506304</v>
      </c>
    </row>
    <row r="710" spans="2:5" x14ac:dyDescent="0.25">
      <c r="B710" t="s">
        <v>4995</v>
      </c>
      <c r="C710" s="97" t="s">
        <v>5140</v>
      </c>
      <c r="D710" s="96">
        <v>-7.4040051</v>
      </c>
      <c r="E710" s="96">
        <v>-79.565078</v>
      </c>
    </row>
    <row r="711" spans="2:5" x14ac:dyDescent="0.25">
      <c r="B711" t="s">
        <v>4996</v>
      </c>
      <c r="C711" s="97" t="s">
        <v>5140</v>
      </c>
      <c r="D711" s="96">
        <v>-5.1782883999999996</v>
      </c>
      <c r="E711" s="96">
        <v>-80.654888200000002</v>
      </c>
    </row>
    <row r="712" spans="2:5" x14ac:dyDescent="0.25">
      <c r="B712" t="s">
        <v>4997</v>
      </c>
      <c r="C712" s="97" t="s">
        <v>5140</v>
      </c>
      <c r="D712" s="96">
        <v>-5.1973380000000002</v>
      </c>
      <c r="E712" s="96">
        <v>-80.627144000000001</v>
      </c>
    </row>
    <row r="713" spans="2:5" x14ac:dyDescent="0.25">
      <c r="B713" t="s">
        <v>4998</v>
      </c>
      <c r="C713" s="97" t="s">
        <v>5140</v>
      </c>
      <c r="D713" s="96">
        <v>-8.1013724316468192</v>
      </c>
      <c r="E713" s="96">
        <v>-79.035373329806006</v>
      </c>
    </row>
    <row r="714" spans="2:5" x14ac:dyDescent="0.25">
      <c r="B714" t="s">
        <v>4999</v>
      </c>
      <c r="C714" s="97" t="s">
        <v>5140</v>
      </c>
      <c r="D714" s="96">
        <v>-5.2204819999999996</v>
      </c>
      <c r="E714" s="96">
        <v>-80.654111</v>
      </c>
    </row>
    <row r="715" spans="2:5" x14ac:dyDescent="0.25">
      <c r="B715" t="s">
        <v>5000</v>
      </c>
      <c r="C715" s="97" t="s">
        <v>5140</v>
      </c>
      <c r="D715" s="96">
        <v>-8.1091947999999991</v>
      </c>
      <c r="E715" s="96">
        <v>-79.047533400000006</v>
      </c>
    </row>
    <row r="716" spans="2:5" x14ac:dyDescent="0.25">
      <c r="B716" t="s">
        <v>5001</v>
      </c>
      <c r="C716" s="97" t="s">
        <v>5140</v>
      </c>
      <c r="D716" s="96">
        <v>-12.0408791</v>
      </c>
      <c r="E716" s="96">
        <v>-77.0175093</v>
      </c>
    </row>
    <row r="717" spans="2:5" x14ac:dyDescent="0.25">
      <c r="B717" t="s">
        <v>5002</v>
      </c>
      <c r="C717" s="97" t="s">
        <v>5140</v>
      </c>
      <c r="D717" s="96">
        <v>-12.0779798</v>
      </c>
      <c r="E717" s="96">
        <v>-76.872096099999993</v>
      </c>
    </row>
    <row r="718" spans="2:5" x14ac:dyDescent="0.25">
      <c r="B718" t="s">
        <v>5003</v>
      </c>
      <c r="C718" s="97" t="s">
        <v>5140</v>
      </c>
      <c r="D718" s="96">
        <v>-4.5864687000000002</v>
      </c>
      <c r="E718" s="96">
        <v>-81.254320699999994</v>
      </c>
    </row>
    <row r="719" spans="2:5" x14ac:dyDescent="0.25">
      <c r="B719" t="s">
        <v>5004</v>
      </c>
      <c r="C719" s="97" t="s">
        <v>5140</v>
      </c>
      <c r="D719" s="96">
        <v>-8.1106195000000003</v>
      </c>
      <c r="E719" s="96">
        <v>-79.0264667</v>
      </c>
    </row>
    <row r="720" spans="2:5" x14ac:dyDescent="0.25">
      <c r="B720" t="s">
        <v>5005</v>
      </c>
      <c r="C720" s="97" t="s">
        <v>5140</v>
      </c>
      <c r="D720" s="96">
        <v>-3.5804402</v>
      </c>
      <c r="E720" s="96">
        <v>-80.450520800000007</v>
      </c>
    </row>
    <row r="721" spans="2:5" x14ac:dyDescent="0.25">
      <c r="B721" t="s">
        <v>5006</v>
      </c>
      <c r="C721" s="97" t="s">
        <v>5140</v>
      </c>
      <c r="D721" s="96">
        <v>-8.1234696</v>
      </c>
      <c r="E721" s="96">
        <v>-79.035247400000003</v>
      </c>
    </row>
    <row r="722" spans="2:5" x14ac:dyDescent="0.25">
      <c r="B722" t="s">
        <v>5007</v>
      </c>
      <c r="C722" s="97" t="s">
        <v>5140</v>
      </c>
      <c r="D722" s="96">
        <v>-8.1157845999999996</v>
      </c>
      <c r="E722" s="96">
        <v>-79.025738099999998</v>
      </c>
    </row>
    <row r="723" spans="2:5" x14ac:dyDescent="0.25">
      <c r="B723" t="s">
        <v>5008</v>
      </c>
      <c r="C723" s="97" t="s">
        <v>5140</v>
      </c>
      <c r="D723" s="96">
        <v>-7.7439171</v>
      </c>
      <c r="E723" s="96">
        <v>-79.188057700000002</v>
      </c>
    </row>
    <row r="724" spans="2:5" x14ac:dyDescent="0.25">
      <c r="B724" t="s">
        <v>5009</v>
      </c>
      <c r="C724" s="97" t="s">
        <v>5140</v>
      </c>
      <c r="D724" s="96">
        <v>-8.1157845999999996</v>
      </c>
      <c r="E724" s="96">
        <v>-79.025738099999998</v>
      </c>
    </row>
    <row r="725" spans="2:5" x14ac:dyDescent="0.25">
      <c r="B725" t="s">
        <v>5010</v>
      </c>
      <c r="C725" s="97" t="s">
        <v>5140</v>
      </c>
      <c r="D725" s="96">
        <v>-6.7028777000000002</v>
      </c>
      <c r="E725" s="96">
        <v>-79.914630700000004</v>
      </c>
    </row>
    <row r="726" spans="2:5" x14ac:dyDescent="0.25">
      <c r="B726" t="s">
        <v>5011</v>
      </c>
      <c r="C726" s="97" t="s">
        <v>5140</v>
      </c>
      <c r="D726" s="96">
        <v>-3.5507982</v>
      </c>
      <c r="E726" s="96">
        <v>-80.384581800000007</v>
      </c>
    </row>
    <row r="727" spans="2:5" x14ac:dyDescent="0.25">
      <c r="B727" t="s">
        <v>5012</v>
      </c>
      <c r="C727" s="97" t="s">
        <v>5140</v>
      </c>
      <c r="D727" s="96">
        <v>-8.1131305000000005</v>
      </c>
      <c r="E727" s="96">
        <v>-79.030339799999993</v>
      </c>
    </row>
    <row r="728" spans="2:5" x14ac:dyDescent="0.25">
      <c r="B728" t="s">
        <v>5013</v>
      </c>
      <c r="C728" s="97" t="s">
        <v>5140</v>
      </c>
      <c r="D728" s="96">
        <v>-12.0466888</v>
      </c>
      <c r="E728" s="96">
        <v>-77.043088600000004</v>
      </c>
    </row>
    <row r="729" spans="2:5" x14ac:dyDescent="0.25">
      <c r="B729" t="s">
        <v>5014</v>
      </c>
      <c r="C729" s="97" t="s">
        <v>5140</v>
      </c>
      <c r="D729" s="96">
        <v>-13.42553</v>
      </c>
      <c r="E729" s="96">
        <v>-76.136711000000005</v>
      </c>
    </row>
    <row r="730" spans="2:5" x14ac:dyDescent="0.25">
      <c r="B730" t="s">
        <v>5015</v>
      </c>
      <c r="C730" s="97" t="s">
        <v>5140</v>
      </c>
      <c r="D730" s="96">
        <v>-16.4082574</v>
      </c>
      <c r="E730" s="96">
        <v>-71.538358799999997</v>
      </c>
    </row>
    <row r="731" spans="2:5" x14ac:dyDescent="0.25">
      <c r="B731" t="s">
        <v>5016</v>
      </c>
      <c r="C731" s="97" t="s">
        <v>5140</v>
      </c>
      <c r="D731" s="96">
        <v>-12.0686357</v>
      </c>
      <c r="E731" s="96">
        <v>-75.210297600000004</v>
      </c>
    </row>
    <row r="732" spans="2:5" x14ac:dyDescent="0.25">
      <c r="B732" t="s">
        <v>5017</v>
      </c>
      <c r="C732" s="97" t="s">
        <v>5140</v>
      </c>
      <c r="D732" s="96">
        <v>-12.0970431</v>
      </c>
      <c r="E732" s="96">
        <v>-77.033937100000003</v>
      </c>
    </row>
    <row r="733" spans="2:5" x14ac:dyDescent="0.25">
      <c r="B733" t="s">
        <v>4793</v>
      </c>
      <c r="C733" s="97" t="s">
        <v>5140</v>
      </c>
      <c r="D733" s="96">
        <v>-12.0848075</v>
      </c>
      <c r="E733" s="96">
        <v>-77.035562900000002</v>
      </c>
    </row>
    <row r="734" spans="2:5" x14ac:dyDescent="0.25">
      <c r="B734" t="s">
        <v>5018</v>
      </c>
      <c r="C734" s="97" t="s">
        <v>5140</v>
      </c>
      <c r="D734" s="96">
        <v>-12.5808749</v>
      </c>
      <c r="E734" s="96">
        <v>-69.203242500000002</v>
      </c>
    </row>
    <row r="735" spans="2:5" x14ac:dyDescent="0.25">
      <c r="B735" t="s">
        <v>5019</v>
      </c>
      <c r="C735" s="97" t="s">
        <v>5140</v>
      </c>
      <c r="D735" s="96">
        <v>-7.1633144</v>
      </c>
      <c r="E735" s="96">
        <v>-78.510942799999995</v>
      </c>
    </row>
    <row r="736" spans="2:5" x14ac:dyDescent="0.25">
      <c r="B736" t="s">
        <v>5020</v>
      </c>
      <c r="C736" s="97" t="s">
        <v>5140</v>
      </c>
      <c r="D736" s="96">
        <v>-5.946466</v>
      </c>
      <c r="E736" s="96">
        <v>-77.303723000000005</v>
      </c>
    </row>
    <row r="737" spans="2:5" x14ac:dyDescent="0.25">
      <c r="B737" t="s">
        <v>5021</v>
      </c>
      <c r="C737" s="97" t="s">
        <v>5140</v>
      </c>
      <c r="D737" s="96">
        <v>-18.006760199999999</v>
      </c>
      <c r="E737" s="96">
        <v>-70.246024599999998</v>
      </c>
    </row>
  </sheetData>
  <conditionalFormatting sqref="A2">
    <cfRule type="expression" dxfId="253" priority="1" stopIfTrue="1">
      <formula>ISBLANK(A2)</formula>
    </cfRule>
  </conditionalFormatting>
  <conditionalFormatting sqref="B2">
    <cfRule type="expression" dxfId="252" priority="2" stopIfTrue="1">
      <formula>ISBLANK(B2)</formula>
    </cfRule>
  </conditionalFormatting>
  <conditionalFormatting sqref="F2">
    <cfRule type="cellIs" dxfId="251" priority="3" stopIfTrue="1" operator="greaterThan">
      <formula>G2-$I$2</formula>
    </cfRule>
  </conditionalFormatting>
  <conditionalFormatting sqref="G2">
    <cfRule type="cellIs" dxfId="250" priority="4" stopIfTrue="1" operator="lessThan">
      <formula>F2+$I$2</formula>
    </cfRule>
  </conditionalFormatting>
  <conditionalFormatting sqref="I2">
    <cfRule type="cellIs" dxfId="249" priority="5" stopIfTrue="1" operator="greaterThan">
      <formula>G2-F2 + 0.0001</formula>
    </cfRule>
  </conditionalFormatting>
  <conditionalFormatting sqref="A3">
    <cfRule type="expression" dxfId="248" priority="6" stopIfTrue="1">
      <formula>ISBLANK(A3)</formula>
    </cfRule>
  </conditionalFormatting>
  <conditionalFormatting sqref="B3">
    <cfRule type="expression" dxfId="247" priority="7" stopIfTrue="1">
      <formula>ISBLANK(B3)</formula>
    </cfRule>
  </conditionalFormatting>
  <conditionalFormatting sqref="F3">
    <cfRule type="cellIs" dxfId="246" priority="8" stopIfTrue="1" operator="greaterThan">
      <formula>G3-$I$3</formula>
    </cfRule>
  </conditionalFormatting>
  <conditionalFormatting sqref="G3">
    <cfRule type="cellIs" dxfId="245" priority="9" stopIfTrue="1" operator="lessThan">
      <formula>F3+$I$3</formula>
    </cfRule>
  </conditionalFormatting>
  <conditionalFormatting sqref="I3">
    <cfRule type="cellIs" dxfId="244" priority="10" stopIfTrue="1" operator="greaterThan">
      <formula>G3-F3 + 0.0001</formula>
    </cfRule>
  </conditionalFormatting>
  <conditionalFormatting sqref="A4">
    <cfRule type="expression" dxfId="243" priority="11" stopIfTrue="1">
      <formula>ISBLANK(A4)</formula>
    </cfRule>
  </conditionalFormatting>
  <conditionalFormatting sqref="B4">
    <cfRule type="expression" dxfId="242" priority="12" stopIfTrue="1">
      <formula>ISBLANK(B4)</formula>
    </cfRule>
  </conditionalFormatting>
  <conditionalFormatting sqref="F4">
    <cfRule type="cellIs" dxfId="241" priority="13" stopIfTrue="1" operator="greaterThan">
      <formula>G4-$I$4</formula>
    </cfRule>
  </conditionalFormatting>
  <conditionalFormatting sqref="G4">
    <cfRule type="cellIs" dxfId="240" priority="14" stopIfTrue="1" operator="lessThan">
      <formula>F4+$I$4</formula>
    </cfRule>
  </conditionalFormatting>
  <conditionalFormatting sqref="I4">
    <cfRule type="cellIs" dxfId="239" priority="15" stopIfTrue="1" operator="greaterThan">
      <formula>G4-F4 + 0.0001</formula>
    </cfRule>
  </conditionalFormatting>
  <conditionalFormatting sqref="A5">
    <cfRule type="expression" dxfId="238" priority="16" stopIfTrue="1">
      <formula>ISBLANK(A5)</formula>
    </cfRule>
  </conditionalFormatting>
  <conditionalFormatting sqref="B5">
    <cfRule type="expression" dxfId="237" priority="17" stopIfTrue="1">
      <formula>ISBLANK(B5)</formula>
    </cfRule>
  </conditionalFormatting>
  <conditionalFormatting sqref="F5">
    <cfRule type="cellIs" dxfId="236" priority="18" stopIfTrue="1" operator="greaterThan">
      <formula>G5-$I$5</formula>
    </cfRule>
  </conditionalFormatting>
  <conditionalFormatting sqref="G5">
    <cfRule type="cellIs" dxfId="235" priority="19" stopIfTrue="1" operator="lessThan">
      <formula>F5+$I$5</formula>
    </cfRule>
  </conditionalFormatting>
  <conditionalFormatting sqref="H5">
    <cfRule type="cellIs" dxfId="234" priority="20" stopIfTrue="1" operator="equal">
      <formula>"Puede ser visitado"</formula>
    </cfRule>
    <cfRule type="cellIs" dxfId="233" priority="21" stopIfTrue="1" operator="equal">
      <formula>"No visitar"</formula>
    </cfRule>
  </conditionalFormatting>
  <conditionalFormatting sqref="I5">
    <cfRule type="cellIs" dxfId="232" priority="22" stopIfTrue="1" operator="greaterThan">
      <formula>G5-F5 + 0.0001</formula>
    </cfRule>
  </conditionalFormatting>
  <conditionalFormatting sqref="A6">
    <cfRule type="expression" dxfId="231" priority="23" stopIfTrue="1">
      <formula>ISBLANK(A6)</formula>
    </cfRule>
  </conditionalFormatting>
  <conditionalFormatting sqref="B6">
    <cfRule type="expression" dxfId="230" priority="24" stopIfTrue="1">
      <formula>ISBLANK(B6)</formula>
    </cfRule>
  </conditionalFormatting>
  <conditionalFormatting sqref="F6">
    <cfRule type="cellIs" dxfId="229" priority="25" stopIfTrue="1" operator="greaterThan">
      <formula>G6-$I$6</formula>
    </cfRule>
  </conditionalFormatting>
  <conditionalFormatting sqref="G6">
    <cfRule type="cellIs" dxfId="228" priority="26" stopIfTrue="1" operator="lessThan">
      <formula>F6+$I$6</formula>
    </cfRule>
  </conditionalFormatting>
  <conditionalFormatting sqref="H6">
    <cfRule type="cellIs" dxfId="227" priority="27" stopIfTrue="1" operator="equal">
      <formula>"Puede ser visitado"</formula>
    </cfRule>
  </conditionalFormatting>
  <conditionalFormatting sqref="H6">
    <cfRule type="cellIs" dxfId="226" priority="28" stopIfTrue="1" operator="equal">
      <formula>"No visitar"</formula>
    </cfRule>
  </conditionalFormatting>
  <conditionalFormatting sqref="I6">
    <cfRule type="cellIs" dxfId="225" priority="29" stopIfTrue="1" operator="greaterThan">
      <formula>G6-F6 + 0.0001</formula>
    </cfRule>
  </conditionalFormatting>
  <conditionalFormatting sqref="A7">
    <cfRule type="expression" dxfId="224" priority="30" stopIfTrue="1">
      <formula>ISBLANK(A7)</formula>
    </cfRule>
  </conditionalFormatting>
  <conditionalFormatting sqref="B7">
    <cfRule type="expression" dxfId="223" priority="31" stopIfTrue="1">
      <formula>ISBLANK(B7)</formula>
    </cfRule>
  </conditionalFormatting>
  <conditionalFormatting sqref="F7">
    <cfRule type="cellIs" dxfId="222" priority="32" stopIfTrue="1" operator="greaterThan">
      <formula>G7-$I$7</formula>
    </cfRule>
  </conditionalFormatting>
  <conditionalFormatting sqref="G7">
    <cfRule type="cellIs" dxfId="221" priority="33" stopIfTrue="1" operator="lessThan">
      <formula>F7+$I$7</formula>
    </cfRule>
  </conditionalFormatting>
  <conditionalFormatting sqref="H7">
    <cfRule type="cellIs" dxfId="220" priority="34" stopIfTrue="1" operator="equal">
      <formula>"Puede ser visitado"</formula>
    </cfRule>
  </conditionalFormatting>
  <conditionalFormatting sqref="H7">
    <cfRule type="cellIs" dxfId="219" priority="35" stopIfTrue="1" operator="equal">
      <formula>"No visitar"</formula>
    </cfRule>
  </conditionalFormatting>
  <conditionalFormatting sqref="I7">
    <cfRule type="cellIs" dxfId="218" priority="36" stopIfTrue="1" operator="greaterThan">
      <formula>G7-F7 + 0.0001</formula>
    </cfRule>
  </conditionalFormatting>
  <conditionalFormatting sqref="A8">
    <cfRule type="expression" dxfId="217" priority="37" stopIfTrue="1">
      <formula>ISBLANK(A8)</formula>
    </cfRule>
  </conditionalFormatting>
  <conditionalFormatting sqref="B8">
    <cfRule type="expression" dxfId="216" priority="38" stopIfTrue="1">
      <formula>ISBLANK(B8)</formula>
    </cfRule>
  </conditionalFormatting>
  <conditionalFormatting sqref="F8">
    <cfRule type="cellIs" dxfId="215" priority="39" stopIfTrue="1" operator="greaterThan">
      <formula>G8-$I$8</formula>
    </cfRule>
  </conditionalFormatting>
  <conditionalFormatting sqref="G8">
    <cfRule type="cellIs" dxfId="214" priority="40" stopIfTrue="1" operator="lessThan">
      <formula>F8+$I$8</formula>
    </cfRule>
  </conditionalFormatting>
  <conditionalFormatting sqref="H8">
    <cfRule type="cellIs" dxfId="213" priority="41" stopIfTrue="1" operator="equal">
      <formula>"Puede ser visitado"</formula>
    </cfRule>
  </conditionalFormatting>
  <conditionalFormatting sqref="H8">
    <cfRule type="cellIs" dxfId="212" priority="42" stopIfTrue="1" operator="equal">
      <formula>"No visitar"</formula>
    </cfRule>
  </conditionalFormatting>
  <conditionalFormatting sqref="I8">
    <cfRule type="cellIs" dxfId="211" priority="43" stopIfTrue="1" operator="greaterThan">
      <formula>G8-F8 + 0.0001</formula>
    </cfRule>
  </conditionalFormatting>
  <conditionalFormatting sqref="A9">
    <cfRule type="expression" dxfId="210" priority="44" stopIfTrue="1">
      <formula>ISBLANK(A9)</formula>
    </cfRule>
  </conditionalFormatting>
  <conditionalFormatting sqref="B9">
    <cfRule type="expression" dxfId="209" priority="45" stopIfTrue="1">
      <formula>ISBLANK(B9)</formula>
    </cfRule>
  </conditionalFormatting>
  <conditionalFormatting sqref="F9">
    <cfRule type="cellIs" dxfId="208" priority="46" stopIfTrue="1" operator="greaterThan">
      <formula>G9-$I$9</formula>
    </cfRule>
  </conditionalFormatting>
  <conditionalFormatting sqref="G9">
    <cfRule type="cellIs" dxfId="207" priority="47" stopIfTrue="1" operator="lessThan">
      <formula>F9+$I$9</formula>
    </cfRule>
  </conditionalFormatting>
  <conditionalFormatting sqref="H9">
    <cfRule type="cellIs" dxfId="206" priority="48" stopIfTrue="1" operator="equal">
      <formula>"Puede ser visitado"</formula>
    </cfRule>
  </conditionalFormatting>
  <conditionalFormatting sqref="H9">
    <cfRule type="cellIs" dxfId="205" priority="49" stopIfTrue="1" operator="equal">
      <formula>"No visitar"</formula>
    </cfRule>
  </conditionalFormatting>
  <conditionalFormatting sqref="I9">
    <cfRule type="cellIs" dxfId="204" priority="50" stopIfTrue="1" operator="greaterThan">
      <formula>G9-F9 + 0.0001</formula>
    </cfRule>
  </conditionalFormatting>
  <conditionalFormatting sqref="A10">
    <cfRule type="expression" dxfId="203" priority="51" stopIfTrue="1">
      <formula>ISBLANK(A10)</formula>
    </cfRule>
  </conditionalFormatting>
  <conditionalFormatting sqref="B10">
    <cfRule type="expression" dxfId="202" priority="52" stopIfTrue="1">
      <formula>ISBLANK(B10)</formula>
    </cfRule>
  </conditionalFormatting>
  <conditionalFormatting sqref="F10">
    <cfRule type="cellIs" dxfId="201" priority="53" stopIfTrue="1" operator="greaterThan">
      <formula>G10-$I$10</formula>
    </cfRule>
  </conditionalFormatting>
  <conditionalFormatting sqref="G10">
    <cfRule type="cellIs" dxfId="200" priority="54" stopIfTrue="1" operator="lessThan">
      <formula>F10+$I$10</formula>
    </cfRule>
  </conditionalFormatting>
  <conditionalFormatting sqref="H10">
    <cfRule type="cellIs" dxfId="199" priority="55" stopIfTrue="1" operator="equal">
      <formula>"Puede ser visitado"</formula>
    </cfRule>
  </conditionalFormatting>
  <conditionalFormatting sqref="H10">
    <cfRule type="cellIs" dxfId="198" priority="56" stopIfTrue="1" operator="equal">
      <formula>"No visitar"</formula>
    </cfRule>
  </conditionalFormatting>
  <conditionalFormatting sqref="I10">
    <cfRule type="cellIs" dxfId="197" priority="57" stopIfTrue="1" operator="greaterThan">
      <formula>G10-F10 + 0.0001</formula>
    </cfRule>
  </conditionalFormatting>
  <conditionalFormatting sqref="A11">
    <cfRule type="expression" dxfId="196" priority="58" stopIfTrue="1">
      <formula>ISBLANK(A11)</formula>
    </cfRule>
  </conditionalFormatting>
  <conditionalFormatting sqref="B11">
    <cfRule type="expression" dxfId="195" priority="59" stopIfTrue="1">
      <formula>ISBLANK(B11)</formula>
    </cfRule>
  </conditionalFormatting>
  <conditionalFormatting sqref="F11">
    <cfRule type="cellIs" dxfId="194" priority="60" stopIfTrue="1" operator="greaterThan">
      <formula>G11-$I$11</formula>
    </cfRule>
  </conditionalFormatting>
  <conditionalFormatting sqref="G11">
    <cfRule type="cellIs" dxfId="193" priority="61" stopIfTrue="1" operator="lessThan">
      <formula>F11+$I$11</formula>
    </cfRule>
  </conditionalFormatting>
  <conditionalFormatting sqref="H11">
    <cfRule type="cellIs" dxfId="192" priority="62" stopIfTrue="1" operator="equal">
      <formula>"Puede ser visitado"</formula>
    </cfRule>
  </conditionalFormatting>
  <conditionalFormatting sqref="H11">
    <cfRule type="cellIs" dxfId="191" priority="63" stopIfTrue="1" operator="equal">
      <formula>"No visitar"</formula>
    </cfRule>
  </conditionalFormatting>
  <conditionalFormatting sqref="I11">
    <cfRule type="cellIs" dxfId="190" priority="64" stopIfTrue="1" operator="greaterThan">
      <formula>G11-F11 + 0.0001</formula>
    </cfRule>
  </conditionalFormatting>
  <conditionalFormatting sqref="A12">
    <cfRule type="expression" dxfId="189" priority="65" stopIfTrue="1">
      <formula>ISBLANK(A12)</formula>
    </cfRule>
  </conditionalFormatting>
  <conditionalFormatting sqref="B12">
    <cfRule type="expression" dxfId="188" priority="66" stopIfTrue="1">
      <formula>ISBLANK(B12)</formula>
    </cfRule>
  </conditionalFormatting>
  <conditionalFormatting sqref="F12">
    <cfRule type="cellIs" dxfId="187" priority="67" stopIfTrue="1" operator="greaterThan">
      <formula>G12-$I$12</formula>
    </cfRule>
  </conditionalFormatting>
  <conditionalFormatting sqref="G12">
    <cfRule type="cellIs" dxfId="186" priority="68" stopIfTrue="1" operator="lessThan">
      <formula>F12+$I$12</formula>
    </cfRule>
  </conditionalFormatting>
  <conditionalFormatting sqref="H12">
    <cfRule type="cellIs" dxfId="185" priority="69" stopIfTrue="1" operator="equal">
      <formula>"Puede ser visitado"</formula>
    </cfRule>
  </conditionalFormatting>
  <conditionalFormatting sqref="H12">
    <cfRule type="cellIs" dxfId="184" priority="70" stopIfTrue="1" operator="equal">
      <formula>"No visitar"</formula>
    </cfRule>
  </conditionalFormatting>
  <conditionalFormatting sqref="I12">
    <cfRule type="cellIs" dxfId="183" priority="71" stopIfTrue="1" operator="greaterThan">
      <formula>G12-F12 + 0.0001</formula>
    </cfRule>
  </conditionalFormatting>
  <conditionalFormatting sqref="A13">
    <cfRule type="expression" dxfId="182" priority="72" stopIfTrue="1">
      <formula>ISBLANK(A13)</formula>
    </cfRule>
  </conditionalFormatting>
  <conditionalFormatting sqref="B13">
    <cfRule type="expression" dxfId="181" priority="73" stopIfTrue="1">
      <formula>ISBLANK(B13)</formula>
    </cfRule>
  </conditionalFormatting>
  <conditionalFormatting sqref="F13">
    <cfRule type="cellIs" dxfId="180" priority="74" stopIfTrue="1" operator="greaterThan">
      <formula>G13-$I$13</formula>
    </cfRule>
  </conditionalFormatting>
  <conditionalFormatting sqref="G13">
    <cfRule type="cellIs" dxfId="179" priority="75" stopIfTrue="1" operator="lessThan">
      <formula>F13+$I$13</formula>
    </cfRule>
  </conditionalFormatting>
  <conditionalFormatting sqref="H13">
    <cfRule type="cellIs" dxfId="178" priority="76" stopIfTrue="1" operator="equal">
      <formula>"Puede ser visitado"</formula>
    </cfRule>
  </conditionalFormatting>
  <conditionalFormatting sqref="H13">
    <cfRule type="cellIs" dxfId="177" priority="77" stopIfTrue="1" operator="equal">
      <formula>"No visitar"</formula>
    </cfRule>
  </conditionalFormatting>
  <conditionalFormatting sqref="I13">
    <cfRule type="cellIs" dxfId="176" priority="78" stopIfTrue="1" operator="greaterThan">
      <formula>G13-F13 + 0.0001</formula>
    </cfRule>
  </conditionalFormatting>
  <conditionalFormatting sqref="A14">
    <cfRule type="expression" dxfId="175" priority="79" stopIfTrue="1">
      <formula>ISBLANK(A14)</formula>
    </cfRule>
  </conditionalFormatting>
  <conditionalFormatting sqref="B14">
    <cfRule type="expression" dxfId="174" priority="80" stopIfTrue="1">
      <formula>ISBLANK(B14)</formula>
    </cfRule>
  </conditionalFormatting>
  <conditionalFormatting sqref="F14">
    <cfRule type="cellIs" dxfId="173" priority="81" stopIfTrue="1" operator="greaterThan">
      <formula>G14-$I$14</formula>
    </cfRule>
  </conditionalFormatting>
  <conditionalFormatting sqref="G14">
    <cfRule type="cellIs" dxfId="172" priority="82" stopIfTrue="1" operator="lessThan">
      <formula>F14+$I$14</formula>
    </cfRule>
  </conditionalFormatting>
  <conditionalFormatting sqref="H14">
    <cfRule type="cellIs" dxfId="171" priority="83" stopIfTrue="1" operator="equal">
      <formula>"Puede ser visitado"</formula>
    </cfRule>
  </conditionalFormatting>
  <conditionalFormatting sqref="H14">
    <cfRule type="cellIs" dxfId="170" priority="84" stopIfTrue="1" operator="equal">
      <formula>"No visitar"</formula>
    </cfRule>
  </conditionalFormatting>
  <conditionalFormatting sqref="I14">
    <cfRule type="cellIs" dxfId="169" priority="85" stopIfTrue="1" operator="greaterThan">
      <formula>G14-F14 + 0.0001</formula>
    </cfRule>
  </conditionalFormatting>
  <conditionalFormatting sqref="A15">
    <cfRule type="expression" dxfId="168" priority="86" stopIfTrue="1">
      <formula>ISBLANK(A15)</formula>
    </cfRule>
  </conditionalFormatting>
  <conditionalFormatting sqref="B15">
    <cfRule type="expression" dxfId="167" priority="87" stopIfTrue="1">
      <formula>ISBLANK(B15)</formula>
    </cfRule>
  </conditionalFormatting>
  <conditionalFormatting sqref="F15">
    <cfRule type="cellIs" dxfId="166" priority="88" stopIfTrue="1" operator="greaterThan">
      <formula>G15-$I$15</formula>
    </cfRule>
  </conditionalFormatting>
  <conditionalFormatting sqref="G15">
    <cfRule type="cellIs" dxfId="165" priority="89" stopIfTrue="1" operator="lessThan">
      <formula>F15+$I$15</formula>
    </cfRule>
  </conditionalFormatting>
  <conditionalFormatting sqref="H15">
    <cfRule type="cellIs" dxfId="164" priority="90" stopIfTrue="1" operator="equal">
      <formula>"Puede ser visitado"</formula>
    </cfRule>
  </conditionalFormatting>
  <conditionalFormatting sqref="H15">
    <cfRule type="cellIs" dxfId="163" priority="91" stopIfTrue="1" operator="equal">
      <formula>"No visitar"</formula>
    </cfRule>
  </conditionalFormatting>
  <conditionalFormatting sqref="I15">
    <cfRule type="cellIs" dxfId="162" priority="92" stopIfTrue="1" operator="greaterThan">
      <formula>G15-F15 + 0.0001</formula>
    </cfRule>
  </conditionalFormatting>
  <conditionalFormatting sqref="A16">
    <cfRule type="expression" dxfId="161" priority="93" stopIfTrue="1">
      <formula>ISBLANK(A16)</formula>
    </cfRule>
  </conditionalFormatting>
  <conditionalFormatting sqref="B16">
    <cfRule type="expression" dxfId="160" priority="94" stopIfTrue="1">
      <formula>ISBLANK(B16)</formula>
    </cfRule>
  </conditionalFormatting>
  <conditionalFormatting sqref="F16">
    <cfRule type="cellIs" dxfId="159" priority="95" stopIfTrue="1" operator="greaterThan">
      <formula>G16-$I$16</formula>
    </cfRule>
  </conditionalFormatting>
  <conditionalFormatting sqref="G16">
    <cfRule type="cellIs" dxfId="158" priority="96" stopIfTrue="1" operator="lessThan">
      <formula>F16+$I$16</formula>
    </cfRule>
  </conditionalFormatting>
  <conditionalFormatting sqref="H16">
    <cfRule type="cellIs" dxfId="157" priority="97" stopIfTrue="1" operator="equal">
      <formula>"Puede ser visitado"</formula>
    </cfRule>
  </conditionalFormatting>
  <conditionalFormatting sqref="H16">
    <cfRule type="cellIs" dxfId="156" priority="98" stopIfTrue="1" operator="equal">
      <formula>"No visitar"</formula>
    </cfRule>
  </conditionalFormatting>
  <conditionalFormatting sqref="I16">
    <cfRule type="cellIs" dxfId="155" priority="99" stopIfTrue="1" operator="greaterThan">
      <formula>G16-F16 + 0.0001</formula>
    </cfRule>
  </conditionalFormatting>
  <conditionalFormatting sqref="A17">
    <cfRule type="expression" dxfId="154" priority="100" stopIfTrue="1">
      <formula>ISBLANK(A17)</formula>
    </cfRule>
  </conditionalFormatting>
  <conditionalFormatting sqref="B17">
    <cfRule type="expression" dxfId="153" priority="101" stopIfTrue="1">
      <formula>ISBLANK(B17)</formula>
    </cfRule>
  </conditionalFormatting>
  <conditionalFormatting sqref="F17">
    <cfRule type="cellIs" dxfId="152" priority="102" stopIfTrue="1" operator="greaterThan">
      <formula>G17-$I$17</formula>
    </cfRule>
  </conditionalFormatting>
  <conditionalFormatting sqref="G17">
    <cfRule type="cellIs" dxfId="151" priority="103" stopIfTrue="1" operator="lessThan">
      <formula>F17+$I$17</formula>
    </cfRule>
  </conditionalFormatting>
  <conditionalFormatting sqref="H17">
    <cfRule type="cellIs" dxfId="150" priority="104" stopIfTrue="1" operator="equal">
      <formula>"Puede ser visitado"</formula>
    </cfRule>
  </conditionalFormatting>
  <conditionalFormatting sqref="H17">
    <cfRule type="cellIs" dxfId="149" priority="105" stopIfTrue="1" operator="equal">
      <formula>"No visitar"</formula>
    </cfRule>
  </conditionalFormatting>
  <conditionalFormatting sqref="I17">
    <cfRule type="cellIs" dxfId="148" priority="106" stopIfTrue="1" operator="greaterThan">
      <formula>G17-F17 + 0.0001</formula>
    </cfRule>
  </conditionalFormatting>
  <conditionalFormatting sqref="A18">
    <cfRule type="expression" dxfId="147" priority="107" stopIfTrue="1">
      <formula>ISBLANK(A18)</formula>
    </cfRule>
  </conditionalFormatting>
  <conditionalFormatting sqref="B18">
    <cfRule type="expression" dxfId="146" priority="108" stopIfTrue="1">
      <formula>ISBLANK(B18)</formula>
    </cfRule>
  </conditionalFormatting>
  <conditionalFormatting sqref="F18">
    <cfRule type="cellIs" dxfId="145" priority="109" stopIfTrue="1" operator="greaterThan">
      <formula>G18-$I$18</formula>
    </cfRule>
  </conditionalFormatting>
  <conditionalFormatting sqref="G18">
    <cfRule type="cellIs" dxfId="144" priority="110" stopIfTrue="1" operator="lessThan">
      <formula>F18+$I$18</formula>
    </cfRule>
  </conditionalFormatting>
  <conditionalFormatting sqref="H18">
    <cfRule type="cellIs" dxfId="143" priority="111" stopIfTrue="1" operator="equal">
      <formula>"Puede ser visitado"</formula>
    </cfRule>
  </conditionalFormatting>
  <conditionalFormatting sqref="H18">
    <cfRule type="cellIs" dxfId="142" priority="112" stopIfTrue="1" operator="equal">
      <formula>"No visitar"</formula>
    </cfRule>
  </conditionalFormatting>
  <conditionalFormatting sqref="I18">
    <cfRule type="cellIs" dxfId="141" priority="113" stopIfTrue="1" operator="greaterThan">
      <formula>G18-F18 + 0.0001</formula>
    </cfRule>
  </conditionalFormatting>
  <conditionalFormatting sqref="A19">
    <cfRule type="expression" dxfId="140" priority="114" stopIfTrue="1">
      <formula>ISBLANK(A19)</formula>
    </cfRule>
  </conditionalFormatting>
  <conditionalFormatting sqref="B19">
    <cfRule type="expression" dxfId="139" priority="115" stopIfTrue="1">
      <formula>ISBLANK(B19)</formula>
    </cfRule>
  </conditionalFormatting>
  <conditionalFormatting sqref="F19">
    <cfRule type="cellIs" dxfId="138" priority="116" stopIfTrue="1" operator="greaterThan">
      <formula>G19-$I$19</formula>
    </cfRule>
  </conditionalFormatting>
  <conditionalFormatting sqref="G19">
    <cfRule type="cellIs" dxfId="137" priority="117" stopIfTrue="1" operator="lessThan">
      <formula>F19+$I$19</formula>
    </cfRule>
  </conditionalFormatting>
  <conditionalFormatting sqref="H19">
    <cfRule type="cellIs" dxfId="136" priority="118" stopIfTrue="1" operator="equal">
      <formula>"Puede ser visitado"</formula>
    </cfRule>
  </conditionalFormatting>
  <conditionalFormatting sqref="H19">
    <cfRule type="cellIs" dxfId="135" priority="119" stopIfTrue="1" operator="equal">
      <formula>"No visitar"</formula>
    </cfRule>
  </conditionalFormatting>
  <conditionalFormatting sqref="I19">
    <cfRule type="cellIs" dxfId="134" priority="120" stopIfTrue="1" operator="greaterThan">
      <formula>G19-F19 + 0.0001</formula>
    </cfRule>
  </conditionalFormatting>
  <conditionalFormatting sqref="A20">
    <cfRule type="expression" dxfId="133" priority="121" stopIfTrue="1">
      <formula>ISBLANK(A20)</formula>
    </cfRule>
  </conditionalFormatting>
  <conditionalFormatting sqref="B20">
    <cfRule type="expression" dxfId="132" priority="122" stopIfTrue="1">
      <formula>ISBLANK(B20)</formula>
    </cfRule>
  </conditionalFormatting>
  <conditionalFormatting sqref="F20">
    <cfRule type="cellIs" dxfId="131" priority="123" stopIfTrue="1" operator="greaterThan">
      <formula>G20-$I$20</formula>
    </cfRule>
  </conditionalFormatting>
  <conditionalFormatting sqref="G20">
    <cfRule type="cellIs" dxfId="130" priority="124" stopIfTrue="1" operator="lessThan">
      <formula>F20+$I$20</formula>
    </cfRule>
  </conditionalFormatting>
  <conditionalFormatting sqref="H20">
    <cfRule type="cellIs" dxfId="129" priority="125" stopIfTrue="1" operator="equal">
      <formula>"Puede ser visitado"</formula>
    </cfRule>
  </conditionalFormatting>
  <conditionalFormatting sqref="H20">
    <cfRule type="cellIs" dxfId="128" priority="126" stopIfTrue="1" operator="equal">
      <formula>"No visitar"</formula>
    </cfRule>
  </conditionalFormatting>
  <conditionalFormatting sqref="I20">
    <cfRule type="cellIs" dxfId="127" priority="127" stopIfTrue="1" operator="greaterThan">
      <formula>G20-F20 + 0.0001</formula>
    </cfRule>
  </conditionalFormatting>
  <conditionalFormatting sqref="A21">
    <cfRule type="expression" dxfId="126" priority="128" stopIfTrue="1">
      <formula>ISBLANK(A21)</formula>
    </cfRule>
  </conditionalFormatting>
  <conditionalFormatting sqref="B21">
    <cfRule type="expression" dxfId="125" priority="129" stopIfTrue="1">
      <formula>ISBLANK(B21)</formula>
    </cfRule>
  </conditionalFormatting>
  <conditionalFormatting sqref="F21">
    <cfRule type="cellIs" dxfId="124" priority="130" stopIfTrue="1" operator="greaterThan">
      <formula>G21-$I$21</formula>
    </cfRule>
  </conditionalFormatting>
  <conditionalFormatting sqref="G21">
    <cfRule type="cellIs" dxfId="123" priority="131" stopIfTrue="1" operator="lessThan">
      <formula>F21+$I$21</formula>
    </cfRule>
  </conditionalFormatting>
  <conditionalFormatting sqref="H21">
    <cfRule type="cellIs" dxfId="122" priority="132" stopIfTrue="1" operator="equal">
      <formula>"Puede ser visitado"</formula>
    </cfRule>
  </conditionalFormatting>
  <conditionalFormatting sqref="H21">
    <cfRule type="cellIs" dxfId="121" priority="133" stopIfTrue="1" operator="equal">
      <formula>"No visitar"</formula>
    </cfRule>
  </conditionalFormatting>
  <conditionalFormatting sqref="I21">
    <cfRule type="cellIs" dxfId="120" priority="134" stopIfTrue="1" operator="greaterThan">
      <formula>G21-F21 + 0.0001</formula>
    </cfRule>
  </conditionalFormatting>
  <conditionalFormatting sqref="A22">
    <cfRule type="expression" dxfId="119" priority="135" stopIfTrue="1">
      <formula>ISBLANK(A22)</formula>
    </cfRule>
  </conditionalFormatting>
  <conditionalFormatting sqref="B22">
    <cfRule type="expression" dxfId="118" priority="136" stopIfTrue="1">
      <formula>ISBLANK(B22)</formula>
    </cfRule>
  </conditionalFormatting>
  <conditionalFormatting sqref="F22">
    <cfRule type="cellIs" dxfId="117" priority="137" stopIfTrue="1" operator="greaterThan">
      <formula>G22-$I$22</formula>
    </cfRule>
  </conditionalFormatting>
  <conditionalFormatting sqref="G22">
    <cfRule type="cellIs" dxfId="116" priority="138" stopIfTrue="1" operator="lessThan">
      <formula>F22+$I$22</formula>
    </cfRule>
  </conditionalFormatting>
  <conditionalFormatting sqref="H22">
    <cfRule type="cellIs" dxfId="115" priority="139" stopIfTrue="1" operator="equal">
      <formula>"Puede ser visitado"</formula>
    </cfRule>
  </conditionalFormatting>
  <conditionalFormatting sqref="H22">
    <cfRule type="cellIs" dxfId="114" priority="140" stopIfTrue="1" operator="equal">
      <formula>"No visitar"</formula>
    </cfRule>
  </conditionalFormatting>
  <conditionalFormatting sqref="I22">
    <cfRule type="cellIs" dxfId="113" priority="141" stopIfTrue="1" operator="greaterThan">
      <formula>G22-F22 + 0.0001</formula>
    </cfRule>
  </conditionalFormatting>
  <conditionalFormatting sqref="J5:J22">
    <cfRule type="cellIs" dxfId="112" priority="261" stopIfTrue="1" operator="lessThan">
      <formula>0</formula>
    </cfRule>
  </conditionalFormatting>
  <conditionalFormatting sqref="B2:B22">
    <cfRule type="duplicateValues" dxfId="8" priority="970"/>
  </conditionalFormatting>
  <dataValidations count="2">
    <dataValidation type="decimal" operator="greaterThan" allowBlank="1" showInputMessage="1" showErrorMessage="1" error="Ingrese un valor no negativo" sqref="K2:K22" xr:uid="{CC29A5D3-B1B1-45CF-ACB1-D530D0B852B2}">
      <formula1>-0.0001</formula1>
    </dataValidation>
    <dataValidation type="list" allowBlank="1" showInputMessage="1" showErrorMessage="1" sqref="H5 H6 H7 H8 H9 H10 H11 H12 H13 H14 H15 H16 H17 H18 H19 H20 H21 H22" xr:uid="{7C6BD51D-648C-4B1B-A741-8EC6F023A20F}">
      <formula1>"Debe ser visitado,Puede ser visitado,No visitar"</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4726D-560E-41A7-BA8B-2DA47AE10DF2}">
  <dimension ref="A1:J1446"/>
  <sheetViews>
    <sheetView workbookViewId="0"/>
  </sheetViews>
  <sheetFormatPr baseColWidth="10" defaultRowHeight="15" x14ac:dyDescent="0.25"/>
  <cols>
    <col min="1" max="2" width="29.28515625" bestFit="1" customWidth="1"/>
    <col min="3" max="4" width="8.5703125" bestFit="1" customWidth="1"/>
    <col min="5" max="5" width="26.140625" hidden="1" customWidth="1"/>
    <col min="6" max="6" width="27.5703125" hidden="1" customWidth="1"/>
    <col min="7" max="7" width="26.140625" hidden="1" customWidth="1"/>
    <col min="8" max="8" width="27.5703125" hidden="1" customWidth="1"/>
    <col min="9" max="9" width="26.140625" hidden="1" customWidth="1"/>
    <col min="10" max="10" width="27.5703125" hidden="1" customWidth="1"/>
    <col min="11" max="11" width="0" hidden="1" customWidth="1"/>
  </cols>
  <sheetData>
    <row r="1" spans="1:10" x14ac:dyDescent="0.25">
      <c r="A1" s="19" t="s">
        <v>890</v>
      </c>
      <c r="B1" s="19" t="s">
        <v>4282</v>
      </c>
      <c r="C1" s="19"/>
      <c r="D1" s="19"/>
      <c r="E1" s="19"/>
      <c r="F1" s="19"/>
      <c r="G1" s="19"/>
      <c r="H1" s="19"/>
      <c r="I1" s="19"/>
      <c r="J1" s="19"/>
    </row>
    <row r="2" spans="1:10" x14ac:dyDescent="0.25">
      <c r="A2" s="19" t="s">
        <v>876</v>
      </c>
      <c r="B2" s="19" t="s">
        <v>1428</v>
      </c>
      <c r="C2" s="19" t="s">
        <v>856</v>
      </c>
      <c r="D2" s="19" t="s">
        <v>867</v>
      </c>
      <c r="E2" s="19" t="s">
        <v>4270</v>
      </c>
      <c r="F2" s="19" t="s">
        <v>4271</v>
      </c>
      <c r="G2" s="19" t="s">
        <v>4272</v>
      </c>
      <c r="H2" s="19" t="s">
        <v>4273</v>
      </c>
      <c r="I2" s="19" t="s">
        <v>4274</v>
      </c>
      <c r="J2" s="19" t="s">
        <v>4275</v>
      </c>
    </row>
    <row r="3" spans="1:10" x14ac:dyDescent="0.25">
      <c r="A3" s="16" t="s">
        <v>4267</v>
      </c>
      <c r="B3" s="16" t="s">
        <v>4267</v>
      </c>
      <c r="C3" s="78">
        <v>0</v>
      </c>
      <c r="D3" s="72">
        <v>0</v>
      </c>
      <c r="E3" s="79">
        <f>'1 ubicaciones'!D2</f>
        <v>-12.072199100000001</v>
      </c>
      <c r="F3" s="79">
        <f>'1 ubicaciones'!E2</f>
        <v>-77.002365100000006</v>
      </c>
      <c r="G3" s="79">
        <f>'1 ubicaciones'!D2</f>
        <v>-12.072199100000001</v>
      </c>
      <c r="H3" s="79">
        <f>'1 ubicaciones'!E2</f>
        <v>-77.002365100000006</v>
      </c>
      <c r="I3" s="79">
        <f>'1 ubicaciones'!D2</f>
        <v>-12.072199100000001</v>
      </c>
      <c r="J3" s="79">
        <f>'1 ubicaciones'!E2</f>
        <v>-77.002365100000006</v>
      </c>
    </row>
    <row r="4" spans="1:10" x14ac:dyDescent="0.25">
      <c r="A4" s="15" t="s">
        <v>4267</v>
      </c>
      <c r="B4" s="15" t="s">
        <v>4280</v>
      </c>
      <c r="C4" s="40">
        <v>16.965</v>
      </c>
      <c r="D4" s="29">
        <v>1.7361111111111112E-2</v>
      </c>
      <c r="E4" s="41">
        <v>-12.08808</v>
      </c>
      <c r="F4" s="41">
        <v>-77.024433000000002</v>
      </c>
      <c r="G4" s="41">
        <v>-12.134347999999999</v>
      </c>
      <c r="H4" s="41">
        <v>-77.021557999999999</v>
      </c>
      <c r="I4" s="41">
        <v>-12.162088000000001</v>
      </c>
      <c r="J4" s="41">
        <v>-77.025544999999994</v>
      </c>
    </row>
    <row r="5" spans="1:10" x14ac:dyDescent="0.25">
      <c r="A5" s="15" t="s">
        <v>4267</v>
      </c>
      <c r="B5" s="15" t="s">
        <v>4281</v>
      </c>
      <c r="C5" s="42">
        <v>15.968999999999999</v>
      </c>
      <c r="D5" s="25">
        <v>1.7361111111111112E-2</v>
      </c>
      <c r="E5" s="43">
        <v>-12.061799000000001</v>
      </c>
      <c r="F5" s="43">
        <v>-77.034746999999996</v>
      </c>
      <c r="G5" s="43">
        <v>-12.09061</v>
      </c>
      <c r="H5" s="43">
        <v>-77.020977000000002</v>
      </c>
      <c r="I5" s="43">
        <v>-12.077996000000001</v>
      </c>
      <c r="J5" s="43">
        <v>-76.964853000000005</v>
      </c>
    </row>
    <row r="6" spans="1:10" x14ac:dyDescent="0.25">
      <c r="A6" s="15" t="s">
        <v>4267</v>
      </c>
      <c r="B6" s="15" t="s">
        <v>4296</v>
      </c>
      <c r="C6" s="40">
        <v>4.42</v>
      </c>
      <c r="D6" s="29">
        <v>9.0277777777777769E-3</v>
      </c>
      <c r="E6" s="41">
        <v>-12.055417</v>
      </c>
      <c r="F6" s="41">
        <v>-77.037437999999995</v>
      </c>
      <c r="G6" s="41">
        <v>-12.060181</v>
      </c>
      <c r="H6" s="41">
        <v>-77.036090000000002</v>
      </c>
      <c r="I6" s="41">
        <v>-12.064423</v>
      </c>
      <c r="J6" s="41">
        <v>-77.039175</v>
      </c>
    </row>
    <row r="7" spans="1:10" x14ac:dyDescent="0.25">
      <c r="A7" s="15" t="s">
        <v>4267</v>
      </c>
      <c r="B7" s="15" t="s">
        <v>4297</v>
      </c>
      <c r="C7" s="42">
        <v>3.9550000000000001</v>
      </c>
      <c r="D7" s="25">
        <v>8.3333333333333332E-3</v>
      </c>
      <c r="E7" s="43">
        <v>-12.050672</v>
      </c>
      <c r="F7" s="43">
        <v>-77.036058999999995</v>
      </c>
      <c r="G7" s="43">
        <v>-12.052434</v>
      </c>
      <c r="H7" s="43">
        <v>-77.034431999999995</v>
      </c>
      <c r="I7" s="43">
        <v>-12.058498</v>
      </c>
      <c r="J7" s="43">
        <v>-77.024084999999999</v>
      </c>
    </row>
    <row r="8" spans="1:10" x14ac:dyDescent="0.25">
      <c r="A8" s="15" t="s">
        <v>4267</v>
      </c>
      <c r="B8" s="15" t="s">
        <v>4298</v>
      </c>
      <c r="C8" s="40">
        <v>9.1020000000000003</v>
      </c>
      <c r="D8" s="29">
        <v>1.1111111111111112E-2</v>
      </c>
      <c r="E8" s="41">
        <v>-12.055781</v>
      </c>
      <c r="F8" s="41">
        <v>-77.037098999999998</v>
      </c>
      <c r="G8" s="41">
        <v>-12.07643</v>
      </c>
      <c r="H8" s="41">
        <v>-77.029207999999997</v>
      </c>
      <c r="I8" s="41">
        <v>-12.105594999999999</v>
      </c>
      <c r="J8" s="41">
        <v>-77.027480999999995</v>
      </c>
    </row>
    <row r="9" spans="1:10" x14ac:dyDescent="0.25">
      <c r="A9" s="15" t="s">
        <v>4267</v>
      </c>
      <c r="B9" s="15" t="s">
        <v>4299</v>
      </c>
      <c r="C9" s="42">
        <v>9.2569999999999997</v>
      </c>
      <c r="D9" s="25">
        <v>1.1111111111111112E-2</v>
      </c>
      <c r="E9" s="43">
        <v>-12.055778999999999</v>
      </c>
      <c r="F9" s="43">
        <v>-77.037060999999994</v>
      </c>
      <c r="G9" s="43">
        <v>-12.08808</v>
      </c>
      <c r="H9" s="43">
        <v>-77.024433000000002</v>
      </c>
      <c r="I9" s="43">
        <v>-12.109499</v>
      </c>
      <c r="J9" s="43">
        <v>-77.026428999999993</v>
      </c>
    </row>
    <row r="10" spans="1:10" x14ac:dyDescent="0.25">
      <c r="A10" s="15" t="s">
        <v>4267</v>
      </c>
      <c r="B10" s="15" t="s">
        <v>4300</v>
      </c>
      <c r="C10" s="40">
        <v>12.837</v>
      </c>
      <c r="D10" s="29">
        <v>1.3888888888888888E-2</v>
      </c>
      <c r="E10" s="41">
        <v>-12.057525</v>
      </c>
      <c r="F10" s="41">
        <v>-77.036322999999996</v>
      </c>
      <c r="G10" s="41">
        <v>-12.091913</v>
      </c>
      <c r="H10" s="41">
        <v>-77.023544999999999</v>
      </c>
      <c r="I10" s="41">
        <v>-12.086126999999999</v>
      </c>
      <c r="J10" s="41">
        <v>-76.984513000000007</v>
      </c>
    </row>
    <row r="11" spans="1:10" x14ac:dyDescent="0.25">
      <c r="A11" s="15" t="s">
        <v>4267</v>
      </c>
      <c r="B11" s="15" t="s">
        <v>4301</v>
      </c>
      <c r="C11" s="42">
        <v>17.294</v>
      </c>
      <c r="D11" s="25">
        <v>1.8055555555555554E-2</v>
      </c>
      <c r="E11" s="43">
        <v>-12.04402</v>
      </c>
      <c r="F11" s="43">
        <v>-77.042910000000006</v>
      </c>
      <c r="G11" s="43">
        <v>-12.036550999999999</v>
      </c>
      <c r="H11" s="43">
        <v>-77.042327</v>
      </c>
      <c r="I11" s="43">
        <v>-12.029108000000001</v>
      </c>
      <c r="J11" s="43">
        <v>-77.057633999999993</v>
      </c>
    </row>
    <row r="12" spans="1:10" x14ac:dyDescent="0.25">
      <c r="A12" s="15" t="s">
        <v>4267</v>
      </c>
      <c r="B12" s="15" t="s">
        <v>4302</v>
      </c>
      <c r="C12" s="40">
        <v>8.8810000000000002</v>
      </c>
      <c r="D12" s="29">
        <v>1.1805555555555555E-2</v>
      </c>
      <c r="E12" s="41">
        <v>-12.055781</v>
      </c>
      <c r="F12" s="41">
        <v>-77.037098999999998</v>
      </c>
      <c r="G12" s="41">
        <v>-12.07643</v>
      </c>
      <c r="H12" s="41">
        <v>-77.029207999999997</v>
      </c>
      <c r="I12" s="41">
        <v>-12.091267999999999</v>
      </c>
      <c r="J12" s="41">
        <v>-77.023652999999996</v>
      </c>
    </row>
    <row r="13" spans="1:10" x14ac:dyDescent="0.25">
      <c r="A13" s="15" t="s">
        <v>4267</v>
      </c>
      <c r="B13" s="15" t="s">
        <v>4303</v>
      </c>
      <c r="C13" s="42">
        <v>4.2050000000000001</v>
      </c>
      <c r="D13" s="25">
        <v>9.0277777777777769E-3</v>
      </c>
      <c r="E13" s="43">
        <v>-12.050672</v>
      </c>
      <c r="F13" s="43">
        <v>-77.036058999999995</v>
      </c>
      <c r="G13" s="43">
        <v>-12.052434</v>
      </c>
      <c r="H13" s="43">
        <v>-77.034431999999995</v>
      </c>
      <c r="I13" s="43">
        <v>-12.058498</v>
      </c>
      <c r="J13" s="43">
        <v>-77.024084999999999</v>
      </c>
    </row>
    <row r="14" spans="1:10" x14ac:dyDescent="0.25">
      <c r="A14" s="15" t="s">
        <v>4267</v>
      </c>
      <c r="B14" s="15" t="s">
        <v>4304</v>
      </c>
      <c r="C14" s="40">
        <v>4.657</v>
      </c>
      <c r="D14" s="29">
        <v>9.0277777777777769E-3</v>
      </c>
      <c r="E14" s="41">
        <v>-12.05058</v>
      </c>
      <c r="F14" s="41">
        <v>-77.036012999999997</v>
      </c>
      <c r="G14" s="41">
        <v>-12.051807999999999</v>
      </c>
      <c r="H14" s="41">
        <v>-77.035404999999997</v>
      </c>
      <c r="I14" s="41">
        <v>-12.052047</v>
      </c>
      <c r="J14" s="41">
        <v>-77.034146000000007</v>
      </c>
    </row>
    <row r="15" spans="1:10" x14ac:dyDescent="0.25">
      <c r="A15" s="15" t="s">
        <v>4267</v>
      </c>
      <c r="B15" s="15" t="s">
        <v>4269</v>
      </c>
      <c r="C15" s="42">
        <v>21.251000000000001</v>
      </c>
      <c r="D15" s="25">
        <v>1.8749999999999999E-2</v>
      </c>
      <c r="E15" s="43">
        <v>-12.105117</v>
      </c>
      <c r="F15" s="43">
        <v>-77.027518999999998</v>
      </c>
      <c r="G15" s="43">
        <v>-12.133490999999999</v>
      </c>
      <c r="H15" s="43">
        <v>-77.030113999999998</v>
      </c>
      <c r="I15" s="43">
        <v>-12.104105000000001</v>
      </c>
      <c r="J15" s="43">
        <v>-77.063557000000003</v>
      </c>
    </row>
    <row r="16" spans="1:10" x14ac:dyDescent="0.25">
      <c r="A16" s="15" t="s">
        <v>4267</v>
      </c>
      <c r="B16" s="15" t="s">
        <v>4305</v>
      </c>
      <c r="C16" s="40">
        <v>2.3380000000000001</v>
      </c>
      <c r="D16" s="29">
        <v>6.9444444444444441E-3</v>
      </c>
      <c r="E16" s="41">
        <v>-12.050261000000001</v>
      </c>
      <c r="F16" s="41">
        <v>-77.035786999999999</v>
      </c>
      <c r="G16" s="41">
        <v>-12.054107999999999</v>
      </c>
      <c r="H16" s="41">
        <v>-77.037925999999999</v>
      </c>
      <c r="I16" s="41">
        <v>-12.057169999999999</v>
      </c>
      <c r="J16" s="41">
        <v>-77.041962999999996</v>
      </c>
    </row>
    <row r="17" spans="1:10" x14ac:dyDescent="0.25">
      <c r="A17" s="15" t="s">
        <v>4267</v>
      </c>
      <c r="B17" s="15" t="s">
        <v>4306</v>
      </c>
      <c r="C17" s="42">
        <v>15.494999999999999</v>
      </c>
      <c r="D17" s="25">
        <v>1.4583333333333334E-2</v>
      </c>
      <c r="E17" s="43">
        <v>-12.057346000000001</v>
      </c>
      <c r="F17" s="43">
        <v>-77.036365000000004</v>
      </c>
      <c r="G17" s="43">
        <v>-12.092001</v>
      </c>
      <c r="H17" s="43">
        <v>-77.023199000000005</v>
      </c>
      <c r="I17" s="43">
        <v>-12.085989</v>
      </c>
      <c r="J17" s="43">
        <v>-76.987696999999997</v>
      </c>
    </row>
    <row r="18" spans="1:10" x14ac:dyDescent="0.25">
      <c r="A18" s="15" t="s">
        <v>4267</v>
      </c>
      <c r="B18" s="15" t="s">
        <v>4277</v>
      </c>
      <c r="C18" s="40">
        <v>7.5720000000000001</v>
      </c>
      <c r="D18" s="29">
        <v>9.7222222222222224E-3</v>
      </c>
      <c r="E18" s="41">
        <v>-12.054171999999999</v>
      </c>
      <c r="F18" s="41">
        <v>-77.037440000000004</v>
      </c>
      <c r="G18" s="41">
        <v>-12.057525</v>
      </c>
      <c r="H18" s="41">
        <v>-77.036322999999996</v>
      </c>
      <c r="I18" s="41">
        <v>-12.085823</v>
      </c>
      <c r="J18" s="41">
        <v>-77.02552</v>
      </c>
    </row>
    <row r="19" spans="1:10" x14ac:dyDescent="0.25">
      <c r="A19" s="15" t="s">
        <v>4267</v>
      </c>
      <c r="B19" s="15" t="s">
        <v>4307</v>
      </c>
      <c r="C19" s="42">
        <v>11.513</v>
      </c>
      <c r="D19" s="25">
        <v>1.5972222222222221E-2</v>
      </c>
      <c r="E19" s="43">
        <v>-12.039968999999999</v>
      </c>
      <c r="F19" s="43">
        <v>-77.043126999999998</v>
      </c>
      <c r="G19" s="43">
        <v>-12.038993</v>
      </c>
      <c r="H19" s="43">
        <v>-77.013786999999994</v>
      </c>
      <c r="I19" s="43">
        <v>-12.039973</v>
      </c>
      <c r="J19" s="43">
        <v>-76.997649999999993</v>
      </c>
    </row>
    <row r="20" spans="1:10" x14ac:dyDescent="0.25">
      <c r="A20" s="15" t="s">
        <v>4267</v>
      </c>
      <c r="B20" s="15" t="s">
        <v>4308</v>
      </c>
      <c r="C20" s="40">
        <v>9.0210000000000008</v>
      </c>
      <c r="D20" s="29">
        <v>1.7361111111111112E-2</v>
      </c>
      <c r="E20" s="41">
        <v>-12.047427000000001</v>
      </c>
      <c r="F20" s="41">
        <v>-77.053888999999998</v>
      </c>
      <c r="G20" s="41">
        <v>-12.066800000000001</v>
      </c>
      <c r="H20" s="41">
        <v>-77.061091000000005</v>
      </c>
      <c r="I20" s="41">
        <v>-12.072823</v>
      </c>
      <c r="J20" s="41">
        <v>-77.078479999999999</v>
      </c>
    </row>
    <row r="21" spans="1:10" x14ac:dyDescent="0.25">
      <c r="A21" s="15" t="s">
        <v>4267</v>
      </c>
      <c r="B21" s="15" t="s">
        <v>4309</v>
      </c>
      <c r="C21" s="42">
        <v>5.3739999999999997</v>
      </c>
      <c r="D21" s="25">
        <v>8.3333333333333332E-3</v>
      </c>
      <c r="E21" s="43">
        <v>-12.054171999999999</v>
      </c>
      <c r="F21" s="43">
        <v>-77.037440000000004</v>
      </c>
      <c r="G21" s="43">
        <v>-12.057525</v>
      </c>
      <c r="H21" s="43">
        <v>-77.036322999999996</v>
      </c>
      <c r="I21" s="43">
        <v>-12.078832999999999</v>
      </c>
      <c r="J21" s="43">
        <v>-77.028351000000001</v>
      </c>
    </row>
    <row r="22" spans="1:10" x14ac:dyDescent="0.25">
      <c r="A22" s="15" t="s">
        <v>4267</v>
      </c>
      <c r="B22" s="15" t="s">
        <v>4278</v>
      </c>
      <c r="C22" s="40">
        <v>8.843</v>
      </c>
      <c r="D22" s="29">
        <v>1.2500000000000001E-2</v>
      </c>
      <c r="E22" s="41">
        <v>-12.038353000000001</v>
      </c>
      <c r="F22" s="41">
        <v>-77.043417000000005</v>
      </c>
      <c r="G22" s="41">
        <v>-12.036057</v>
      </c>
      <c r="H22" s="41">
        <v>-77.045051999999998</v>
      </c>
      <c r="I22" s="41">
        <v>-12.008202000000001</v>
      </c>
      <c r="J22" s="41">
        <v>-77.061321000000007</v>
      </c>
    </row>
    <row r="23" spans="1:10" x14ac:dyDescent="0.25">
      <c r="A23" s="15" t="s">
        <v>4267</v>
      </c>
      <c r="B23" s="15" t="s">
        <v>4310</v>
      </c>
      <c r="C23" s="42">
        <v>8.3559999999999999</v>
      </c>
      <c r="D23" s="25">
        <v>1.1805555555555555E-2</v>
      </c>
      <c r="E23" s="43">
        <v>-12.043054</v>
      </c>
      <c r="F23" s="43">
        <v>-77.042579000000003</v>
      </c>
      <c r="G23" s="43">
        <v>-12.043513000000001</v>
      </c>
      <c r="H23" s="43">
        <v>-77.026894999999996</v>
      </c>
      <c r="I23" s="43">
        <v>-12.034575</v>
      </c>
      <c r="J23" s="43">
        <v>-77.009486999999993</v>
      </c>
    </row>
    <row r="24" spans="1:10" x14ac:dyDescent="0.25">
      <c r="A24" s="15" t="s">
        <v>4267</v>
      </c>
      <c r="B24" s="15" t="s">
        <v>4311</v>
      </c>
      <c r="C24" s="40">
        <v>2.9660000000000002</v>
      </c>
      <c r="D24" s="29">
        <v>6.2500000000000003E-3</v>
      </c>
      <c r="E24" s="41">
        <v>-12.050261000000001</v>
      </c>
      <c r="F24" s="41">
        <v>-77.035786999999999</v>
      </c>
      <c r="G24" s="41">
        <v>-12.054107999999999</v>
      </c>
      <c r="H24" s="41">
        <v>-77.037925999999999</v>
      </c>
      <c r="I24" s="41">
        <v>-12.061945</v>
      </c>
      <c r="J24" s="41">
        <v>-77.037809999999993</v>
      </c>
    </row>
    <row r="25" spans="1:10" x14ac:dyDescent="0.25">
      <c r="A25" s="15" t="s">
        <v>4267</v>
      </c>
      <c r="B25" s="15" t="s">
        <v>4312</v>
      </c>
      <c r="C25" s="42">
        <v>4.1639999999999997</v>
      </c>
      <c r="D25" s="25">
        <v>9.0277777777777769E-3</v>
      </c>
      <c r="E25" s="43">
        <v>-12.050672</v>
      </c>
      <c r="F25" s="43">
        <v>-77.036058999999995</v>
      </c>
      <c r="G25" s="43">
        <v>-12.052434</v>
      </c>
      <c r="H25" s="43">
        <v>-77.034431999999995</v>
      </c>
      <c r="I25" s="43">
        <v>-12.058498</v>
      </c>
      <c r="J25" s="43">
        <v>-77.024084999999999</v>
      </c>
    </row>
    <row r="26" spans="1:10" x14ac:dyDescent="0.25">
      <c r="A26" s="15" t="s">
        <v>4267</v>
      </c>
      <c r="B26" s="15" t="s">
        <v>4313</v>
      </c>
      <c r="C26" s="40">
        <v>4.532</v>
      </c>
      <c r="D26" s="29">
        <v>9.0277777777777769E-3</v>
      </c>
      <c r="E26" s="41">
        <v>-12.055781</v>
      </c>
      <c r="F26" s="41">
        <v>-77.037098999999998</v>
      </c>
      <c r="G26" s="41">
        <v>-12.063283</v>
      </c>
      <c r="H26" s="41">
        <v>-77.034310000000005</v>
      </c>
      <c r="I26" s="41">
        <v>-12.068205000000001</v>
      </c>
      <c r="J26" s="41">
        <v>-77.044004000000001</v>
      </c>
    </row>
    <row r="27" spans="1:10" x14ac:dyDescent="0.25">
      <c r="A27" s="15" t="s">
        <v>4267</v>
      </c>
      <c r="B27" s="15" t="s">
        <v>4314</v>
      </c>
      <c r="C27" s="42">
        <v>7.8490000000000002</v>
      </c>
      <c r="D27" s="25">
        <v>1.4583333333333334E-2</v>
      </c>
      <c r="E27" s="43">
        <v>-12.046379</v>
      </c>
      <c r="F27" s="43">
        <v>-77.043374</v>
      </c>
      <c r="G27" s="43">
        <v>-12.065715000000001</v>
      </c>
      <c r="H27" s="43">
        <v>-77.060629000000006</v>
      </c>
      <c r="I27" s="43">
        <v>-12.068459000000001</v>
      </c>
      <c r="J27" s="43">
        <v>-77.077894999999998</v>
      </c>
    </row>
    <row r="28" spans="1:10" x14ac:dyDescent="0.25">
      <c r="A28" s="15" t="s">
        <v>4267</v>
      </c>
      <c r="B28" s="15" t="s">
        <v>4315</v>
      </c>
      <c r="C28" s="40">
        <v>14.044</v>
      </c>
      <c r="D28" s="29">
        <v>1.5277777777777777E-2</v>
      </c>
      <c r="E28" s="41">
        <v>-12.060057</v>
      </c>
      <c r="F28" s="41">
        <v>-77.035999000000004</v>
      </c>
      <c r="G28" s="41">
        <v>-12.091018999999999</v>
      </c>
      <c r="H28" s="41">
        <v>-77.023420000000002</v>
      </c>
      <c r="I28" s="41">
        <v>-12.08907</v>
      </c>
      <c r="J28" s="41">
        <v>-76.981326999999993</v>
      </c>
    </row>
    <row r="29" spans="1:10" x14ac:dyDescent="0.25">
      <c r="A29" s="15" t="s">
        <v>4267</v>
      </c>
      <c r="B29" s="15" t="s">
        <v>4316</v>
      </c>
      <c r="C29" s="42">
        <v>9.32</v>
      </c>
      <c r="D29" s="25">
        <v>1.3194444444444444E-2</v>
      </c>
      <c r="E29" s="43">
        <v>-12.055417</v>
      </c>
      <c r="F29" s="43">
        <v>-77.037437999999995</v>
      </c>
      <c r="G29" s="43">
        <v>-12.061420999999999</v>
      </c>
      <c r="H29" s="43">
        <v>-77.034902000000002</v>
      </c>
      <c r="I29" s="43">
        <v>-12.090745999999999</v>
      </c>
      <c r="J29" s="43">
        <v>-77.023679000000001</v>
      </c>
    </row>
    <row r="30" spans="1:10" x14ac:dyDescent="0.25">
      <c r="A30" s="15" t="s">
        <v>4267</v>
      </c>
      <c r="B30" s="15" t="s">
        <v>4317</v>
      </c>
      <c r="C30" s="40">
        <v>20.780999999999999</v>
      </c>
      <c r="D30" s="29">
        <v>2.013888888888889E-2</v>
      </c>
      <c r="E30" s="41">
        <v>-12.062453</v>
      </c>
      <c r="F30" s="41">
        <v>-77.034496000000004</v>
      </c>
      <c r="G30" s="41">
        <v>-12.087278</v>
      </c>
      <c r="H30" s="41">
        <v>-76.998057000000003</v>
      </c>
      <c r="I30" s="41">
        <v>-12.146687</v>
      </c>
      <c r="J30" s="41">
        <v>-76.982330000000005</v>
      </c>
    </row>
    <row r="31" spans="1:10" x14ac:dyDescent="0.25">
      <c r="A31" s="15" t="s">
        <v>4267</v>
      </c>
      <c r="B31" s="15" t="s">
        <v>4318</v>
      </c>
      <c r="C31" s="42">
        <v>7.6079999999999997</v>
      </c>
      <c r="D31" s="25">
        <v>9.0277777777777769E-3</v>
      </c>
      <c r="E31" s="43">
        <v>-12.055580000000001</v>
      </c>
      <c r="F31" s="43">
        <v>-77.037368000000001</v>
      </c>
      <c r="G31" s="43">
        <v>-12.062453</v>
      </c>
      <c r="H31" s="43">
        <v>-77.034496000000004</v>
      </c>
      <c r="I31" s="43">
        <v>-12.092001</v>
      </c>
      <c r="J31" s="43">
        <v>-77.023199000000005</v>
      </c>
    </row>
    <row r="32" spans="1:10" x14ac:dyDescent="0.25">
      <c r="A32" s="15" t="s">
        <v>4267</v>
      </c>
      <c r="B32" s="15" t="s">
        <v>4319</v>
      </c>
      <c r="C32" s="40">
        <v>10.326000000000001</v>
      </c>
      <c r="D32" s="29">
        <v>1.2500000000000001E-2</v>
      </c>
      <c r="E32" s="41">
        <v>-12.055778999999999</v>
      </c>
      <c r="F32" s="41">
        <v>-77.037060999999994</v>
      </c>
      <c r="G32" s="41">
        <v>-12.08808</v>
      </c>
      <c r="H32" s="41">
        <v>-77.024433000000002</v>
      </c>
      <c r="I32" s="41">
        <v>-12.090745999999999</v>
      </c>
      <c r="J32" s="41">
        <v>-77.021360999999999</v>
      </c>
    </row>
    <row r="33" spans="1:10" x14ac:dyDescent="0.25">
      <c r="A33" s="15" t="s">
        <v>4267</v>
      </c>
      <c r="B33" s="15" t="s">
        <v>4279</v>
      </c>
      <c r="C33" s="42">
        <v>7.63</v>
      </c>
      <c r="D33" s="25">
        <v>1.1805555555555555E-2</v>
      </c>
      <c r="E33" s="43">
        <v>-12.046687</v>
      </c>
      <c r="F33" s="43">
        <v>-77.042214000000001</v>
      </c>
      <c r="G33" s="43">
        <v>-12.045980999999999</v>
      </c>
      <c r="H33" s="43">
        <v>-77.042829999999995</v>
      </c>
      <c r="I33" s="43">
        <v>-12.049702</v>
      </c>
      <c r="J33" s="43">
        <v>-77.076279</v>
      </c>
    </row>
    <row r="34" spans="1:10" x14ac:dyDescent="0.25">
      <c r="A34" s="15" t="s">
        <v>4267</v>
      </c>
      <c r="B34" s="15" t="s">
        <v>4320</v>
      </c>
      <c r="C34" s="40">
        <v>12.723000000000001</v>
      </c>
      <c r="D34" s="29">
        <v>1.3194444444444444E-2</v>
      </c>
      <c r="E34" s="41">
        <v>-12.039968999999999</v>
      </c>
      <c r="F34" s="41">
        <v>-77.043126999999998</v>
      </c>
      <c r="G34" s="41">
        <v>-12.038993</v>
      </c>
      <c r="H34" s="41">
        <v>-77.013786999999994</v>
      </c>
      <c r="I34" s="41">
        <v>-12.040993</v>
      </c>
      <c r="J34" s="41">
        <v>-76.987602999999993</v>
      </c>
    </row>
    <row r="35" spans="1:10" x14ac:dyDescent="0.25">
      <c r="A35" s="15" t="s">
        <v>4267</v>
      </c>
      <c r="B35" s="15" t="s">
        <v>4321</v>
      </c>
      <c r="C35" s="42">
        <v>23.186</v>
      </c>
      <c r="D35" s="25">
        <v>2.6388888888888889E-2</v>
      </c>
      <c r="E35" s="43">
        <v>-12.036008000000001</v>
      </c>
      <c r="F35" s="43">
        <v>-77.043530000000004</v>
      </c>
      <c r="G35" s="43">
        <v>-12.031039</v>
      </c>
      <c r="H35" s="43">
        <v>-77.056336000000002</v>
      </c>
      <c r="I35" s="43">
        <v>-11.913296000000001</v>
      </c>
      <c r="J35" s="43">
        <v>-77.073598000000004</v>
      </c>
    </row>
    <row r="36" spans="1:10" x14ac:dyDescent="0.25">
      <c r="A36" s="15" t="s">
        <v>4267</v>
      </c>
      <c r="B36" s="15" t="s">
        <v>4322</v>
      </c>
      <c r="C36" s="40">
        <v>17.925000000000001</v>
      </c>
      <c r="D36" s="29">
        <v>1.8749999999999999E-2</v>
      </c>
      <c r="E36" s="41">
        <v>-12.07643</v>
      </c>
      <c r="F36" s="41">
        <v>-77.029207999999997</v>
      </c>
      <c r="G36" s="41">
        <v>-12.133219</v>
      </c>
      <c r="H36" s="41">
        <v>-77.021417999999997</v>
      </c>
      <c r="I36" s="41">
        <v>-12.152922</v>
      </c>
      <c r="J36" s="41">
        <v>-77.024518999999998</v>
      </c>
    </row>
    <row r="37" spans="1:10" x14ac:dyDescent="0.25">
      <c r="A37" s="15" t="s">
        <v>4267</v>
      </c>
      <c r="B37" s="15" t="s">
        <v>4323</v>
      </c>
      <c r="C37" s="42">
        <v>18.434999999999999</v>
      </c>
      <c r="D37" s="25">
        <v>2.013888888888889E-2</v>
      </c>
      <c r="E37" s="43">
        <v>-12.079181</v>
      </c>
      <c r="F37" s="43">
        <v>-77.028008</v>
      </c>
      <c r="G37" s="43">
        <v>-12.13383</v>
      </c>
      <c r="H37" s="43">
        <v>-77.021231999999998</v>
      </c>
      <c r="I37" s="43">
        <v>-12.161678</v>
      </c>
      <c r="J37" s="43">
        <v>-77.025835999999998</v>
      </c>
    </row>
    <row r="38" spans="1:10" x14ac:dyDescent="0.25">
      <c r="A38" s="15" t="s">
        <v>4267</v>
      </c>
      <c r="B38" s="15" t="s">
        <v>4324</v>
      </c>
      <c r="C38" s="40">
        <v>5.9790000000000001</v>
      </c>
      <c r="D38" s="29">
        <v>1.1111111111111112E-2</v>
      </c>
      <c r="E38" s="41">
        <v>-12.045980999999999</v>
      </c>
      <c r="F38" s="41">
        <v>-77.042829999999995</v>
      </c>
      <c r="G38" s="41">
        <v>-12.052527</v>
      </c>
      <c r="H38" s="41">
        <v>-77.055409999999995</v>
      </c>
      <c r="I38" s="41">
        <v>-12.066800000000001</v>
      </c>
      <c r="J38" s="41">
        <v>-77.061091000000005</v>
      </c>
    </row>
    <row r="39" spans="1:10" x14ac:dyDescent="0.25">
      <c r="A39" s="15" t="s">
        <v>4267</v>
      </c>
      <c r="B39" s="15" t="s">
        <v>4325</v>
      </c>
      <c r="C39" s="42">
        <v>21.021000000000001</v>
      </c>
      <c r="D39" s="25">
        <v>2.4305555555555556E-2</v>
      </c>
      <c r="E39" s="43">
        <v>-12.088837</v>
      </c>
      <c r="F39" s="43">
        <v>-77.024019999999993</v>
      </c>
      <c r="G39" s="43">
        <v>-12.088449000000001</v>
      </c>
      <c r="H39" s="43">
        <v>-76.981604000000004</v>
      </c>
      <c r="I39" s="43">
        <v>-12.143452999999999</v>
      </c>
      <c r="J39" s="43">
        <v>-76.964398000000003</v>
      </c>
    </row>
    <row r="40" spans="1:10" x14ac:dyDescent="0.25">
      <c r="A40" s="15" t="s">
        <v>4267</v>
      </c>
      <c r="B40" s="15" t="s">
        <v>4268</v>
      </c>
      <c r="C40" s="40">
        <v>7.8170000000000002</v>
      </c>
      <c r="D40" s="29">
        <v>1.0416666666666666E-2</v>
      </c>
      <c r="E40" s="41">
        <v>-12.043054</v>
      </c>
      <c r="F40" s="41">
        <v>-77.042579000000003</v>
      </c>
      <c r="G40" s="41">
        <v>-12.043513000000001</v>
      </c>
      <c r="H40" s="41">
        <v>-77.026894999999996</v>
      </c>
      <c r="I40" s="41">
        <v>-12.034575</v>
      </c>
      <c r="J40" s="41">
        <v>-77.009486999999993</v>
      </c>
    </row>
    <row r="41" spans="1:10" x14ac:dyDescent="0.25">
      <c r="A41" s="15" t="s">
        <v>4280</v>
      </c>
      <c r="B41" s="15" t="s">
        <v>4267</v>
      </c>
      <c r="C41" s="42">
        <v>17.399999999999999</v>
      </c>
      <c r="D41" s="25">
        <v>1.8749999999999999E-2</v>
      </c>
      <c r="E41" s="43">
        <v>-12.154532</v>
      </c>
      <c r="F41" s="43">
        <v>-77.024851999999996</v>
      </c>
      <c r="G41" s="43">
        <v>-12.134428</v>
      </c>
      <c r="H41" s="43">
        <v>-77.019012000000004</v>
      </c>
      <c r="I41" s="43">
        <v>-12.089869999999999</v>
      </c>
      <c r="J41" s="43">
        <v>-77.022985000000006</v>
      </c>
    </row>
    <row r="42" spans="1:10" x14ac:dyDescent="0.25">
      <c r="A42" s="15" t="s">
        <v>4280</v>
      </c>
      <c r="B42" s="15" t="s">
        <v>4280</v>
      </c>
      <c r="C42" s="40">
        <v>0</v>
      </c>
      <c r="D42" s="29">
        <v>0</v>
      </c>
      <c r="E42" s="41">
        <f>'1 ubicaciones'!D3</f>
        <v>-12.072199100000001</v>
      </c>
      <c r="F42" s="41">
        <f>'1 ubicaciones'!E3</f>
        <v>-77.002365100000006</v>
      </c>
      <c r="G42" s="41">
        <f>'1 ubicaciones'!D3</f>
        <v>-12.072199100000001</v>
      </c>
      <c r="H42" s="41">
        <f>'1 ubicaciones'!E3</f>
        <v>-77.002365100000006</v>
      </c>
      <c r="I42" s="41">
        <f>'1 ubicaciones'!D3</f>
        <v>-12.072199100000001</v>
      </c>
      <c r="J42" s="41">
        <f>'1 ubicaciones'!E3</f>
        <v>-77.002365100000006</v>
      </c>
    </row>
    <row r="43" spans="1:10" x14ac:dyDescent="0.25">
      <c r="A43" s="15" t="s">
        <v>4280</v>
      </c>
      <c r="B43" s="15" t="s">
        <v>4281</v>
      </c>
      <c r="C43" s="42">
        <v>21.577000000000002</v>
      </c>
      <c r="D43" s="25">
        <v>2.2222222222222223E-2</v>
      </c>
      <c r="E43" s="43">
        <v>-12.149186</v>
      </c>
      <c r="F43" s="43">
        <v>-77.024341000000007</v>
      </c>
      <c r="G43" s="43">
        <v>-12.121236</v>
      </c>
      <c r="H43" s="43">
        <v>-77.025045000000006</v>
      </c>
      <c r="I43" s="43">
        <v>-12.085157000000001</v>
      </c>
      <c r="J43" s="43">
        <v>-76.985114999999993</v>
      </c>
    </row>
    <row r="44" spans="1:10" x14ac:dyDescent="0.25">
      <c r="A44" s="15" t="s">
        <v>4280</v>
      </c>
      <c r="B44" s="15" t="s">
        <v>4296</v>
      </c>
      <c r="C44" s="40">
        <v>18.122</v>
      </c>
      <c r="D44" s="29">
        <v>1.8749999999999999E-2</v>
      </c>
      <c r="E44" s="41">
        <v>-12.152359000000001</v>
      </c>
      <c r="F44" s="41">
        <v>-77.024450999999999</v>
      </c>
      <c r="G44" s="41">
        <v>-12.134264</v>
      </c>
      <c r="H44" s="41">
        <v>-77.020025000000004</v>
      </c>
      <c r="I44" s="41">
        <v>-12.068578</v>
      </c>
      <c r="J44" s="41">
        <v>-77.032003000000003</v>
      </c>
    </row>
    <row r="45" spans="1:10" x14ac:dyDescent="0.25">
      <c r="A45" s="15" t="s">
        <v>4280</v>
      </c>
      <c r="B45" s="15" t="s">
        <v>4297</v>
      </c>
      <c r="C45" s="42">
        <v>15.971</v>
      </c>
      <c r="D45" s="25">
        <v>1.6666666666666666E-2</v>
      </c>
      <c r="E45" s="43">
        <v>-12.158142</v>
      </c>
      <c r="F45" s="43">
        <v>-77.025049999999993</v>
      </c>
      <c r="G45" s="43">
        <v>-12.134104000000001</v>
      </c>
      <c r="H45" s="43">
        <v>-77.019389000000004</v>
      </c>
      <c r="I45" s="43">
        <v>-12.101919000000001</v>
      </c>
      <c r="J45" s="43">
        <v>-77.027029999999996</v>
      </c>
    </row>
    <row r="46" spans="1:10" x14ac:dyDescent="0.25">
      <c r="A46" s="15" t="s">
        <v>4280</v>
      </c>
      <c r="B46" s="15" t="s">
        <v>4298</v>
      </c>
      <c r="C46" s="40">
        <v>9.7919999999999998</v>
      </c>
      <c r="D46" s="29">
        <v>1.1111111111111112E-2</v>
      </c>
      <c r="E46" s="41">
        <v>-12.163068000000001</v>
      </c>
      <c r="F46" s="41">
        <v>-77.025020999999995</v>
      </c>
      <c r="G46" s="41">
        <v>-12.142053000000001</v>
      </c>
      <c r="H46" s="41">
        <v>-77.026312000000004</v>
      </c>
      <c r="I46" s="41">
        <v>-12.134701</v>
      </c>
      <c r="J46" s="41">
        <v>-77.019465999999994</v>
      </c>
    </row>
    <row r="47" spans="1:10" x14ac:dyDescent="0.25">
      <c r="A47" s="15" t="s">
        <v>4280</v>
      </c>
      <c r="B47" s="15" t="s">
        <v>4299</v>
      </c>
      <c r="C47" s="42">
        <v>10.154</v>
      </c>
      <c r="D47" s="25">
        <v>1.3194444444444444E-2</v>
      </c>
      <c r="E47" s="43">
        <v>-12.161662</v>
      </c>
      <c r="F47" s="43">
        <v>-77.024805999999998</v>
      </c>
      <c r="G47" s="43">
        <v>-12.139810000000001</v>
      </c>
      <c r="H47" s="43">
        <v>-77.027749</v>
      </c>
      <c r="I47" s="43">
        <v>-12.132937</v>
      </c>
      <c r="J47" s="43">
        <v>-77.021254999999996</v>
      </c>
    </row>
    <row r="48" spans="1:10" x14ac:dyDescent="0.25">
      <c r="A48" s="15" t="s">
        <v>4280</v>
      </c>
      <c r="B48" s="15" t="s">
        <v>4300</v>
      </c>
      <c r="C48" s="40">
        <v>18.445</v>
      </c>
      <c r="D48" s="29">
        <v>1.8055555555555554E-2</v>
      </c>
      <c r="E48" s="41">
        <v>-12.152359000000001</v>
      </c>
      <c r="F48" s="41">
        <v>-77.024450999999999</v>
      </c>
      <c r="G48" s="41">
        <v>-12.134264</v>
      </c>
      <c r="H48" s="41">
        <v>-77.020025000000004</v>
      </c>
      <c r="I48" s="41">
        <v>-12.090726</v>
      </c>
      <c r="J48" s="41">
        <v>-77.021277999999995</v>
      </c>
    </row>
    <row r="49" spans="1:10" x14ac:dyDescent="0.25">
      <c r="A49" s="15" t="s">
        <v>4280</v>
      </c>
      <c r="B49" s="15" t="s">
        <v>4301</v>
      </c>
      <c r="C49" s="42">
        <v>33.634999999999998</v>
      </c>
      <c r="D49" s="25">
        <v>3.4027777777777775E-2</v>
      </c>
      <c r="E49" s="43">
        <v>-12.142936000000001</v>
      </c>
      <c r="F49" s="43">
        <v>-77.025982999999997</v>
      </c>
      <c r="G49" s="43">
        <v>-12.106228</v>
      </c>
      <c r="H49" s="43">
        <v>-77.027085</v>
      </c>
      <c r="I49" s="43">
        <v>-12.038462000000001</v>
      </c>
      <c r="J49" s="43">
        <v>-77.043407999999999</v>
      </c>
    </row>
    <row r="50" spans="1:10" x14ac:dyDescent="0.25">
      <c r="A50" s="15" t="s">
        <v>4280</v>
      </c>
      <c r="B50" s="15" t="s">
        <v>4302</v>
      </c>
      <c r="C50" s="40">
        <v>14.489000000000001</v>
      </c>
      <c r="D50" s="29">
        <v>1.6666666666666666E-2</v>
      </c>
      <c r="E50" s="41">
        <v>-12.159219999999999</v>
      </c>
      <c r="F50" s="41">
        <v>-77.025189999999995</v>
      </c>
      <c r="G50" s="41">
        <v>-12.135825000000001</v>
      </c>
      <c r="H50" s="41">
        <v>-77.024100000000004</v>
      </c>
      <c r="I50" s="41">
        <v>-12.112038</v>
      </c>
      <c r="J50" s="41">
        <v>-77.025881999999996</v>
      </c>
    </row>
    <row r="51" spans="1:10" x14ac:dyDescent="0.25">
      <c r="A51" s="15" t="s">
        <v>4280</v>
      </c>
      <c r="B51" s="15" t="s">
        <v>4303</v>
      </c>
      <c r="C51" s="42">
        <v>15.71</v>
      </c>
      <c r="D51" s="25">
        <v>1.6666666666666666E-2</v>
      </c>
      <c r="E51" s="43">
        <v>-12.158142</v>
      </c>
      <c r="F51" s="43">
        <v>-77.025049999999993</v>
      </c>
      <c r="G51" s="43">
        <v>-12.134104000000001</v>
      </c>
      <c r="H51" s="43">
        <v>-77.019389000000004</v>
      </c>
      <c r="I51" s="43">
        <v>-12.101919000000001</v>
      </c>
      <c r="J51" s="43">
        <v>-77.027029999999996</v>
      </c>
    </row>
    <row r="52" spans="1:10" x14ac:dyDescent="0.25">
      <c r="A52" s="15" t="s">
        <v>4280</v>
      </c>
      <c r="B52" s="15" t="s">
        <v>4304</v>
      </c>
      <c r="C52" s="40">
        <v>15.443</v>
      </c>
      <c r="D52" s="29">
        <v>1.5972222222222221E-2</v>
      </c>
      <c r="E52" s="41">
        <v>-12.158607</v>
      </c>
      <c r="F52" s="41">
        <v>-77.025143999999997</v>
      </c>
      <c r="G52" s="41">
        <v>-12.134294000000001</v>
      </c>
      <c r="H52" s="41">
        <v>-77.021263000000005</v>
      </c>
      <c r="I52" s="41">
        <v>-12.105699</v>
      </c>
      <c r="J52" s="41">
        <v>-77.027204999999995</v>
      </c>
    </row>
    <row r="53" spans="1:10" x14ac:dyDescent="0.25">
      <c r="A53" s="15" t="s">
        <v>4280</v>
      </c>
      <c r="B53" s="15" t="s">
        <v>4269</v>
      </c>
      <c r="C53" s="42">
        <v>15.066000000000001</v>
      </c>
      <c r="D53" s="25">
        <v>1.4583333333333334E-2</v>
      </c>
      <c r="E53" s="43">
        <v>-12.152359000000001</v>
      </c>
      <c r="F53" s="43">
        <v>-77.024450999999999</v>
      </c>
      <c r="G53" s="43">
        <v>-12.121923000000001</v>
      </c>
      <c r="H53" s="43">
        <v>-77.044386000000003</v>
      </c>
      <c r="I53" s="43">
        <v>-12.100944999999999</v>
      </c>
      <c r="J53" s="43">
        <v>-77.068091999999993</v>
      </c>
    </row>
    <row r="54" spans="1:10" x14ac:dyDescent="0.25">
      <c r="A54" s="15" t="s">
        <v>4280</v>
      </c>
      <c r="B54" s="15" t="s">
        <v>4305</v>
      </c>
      <c r="C54" s="40">
        <v>17.113</v>
      </c>
      <c r="D54" s="29">
        <v>1.8055555555555554E-2</v>
      </c>
      <c r="E54" s="41">
        <v>-12.149186</v>
      </c>
      <c r="F54" s="41">
        <v>-77.024341000000007</v>
      </c>
      <c r="G54" s="41">
        <v>-12.121236</v>
      </c>
      <c r="H54" s="41">
        <v>-77.025045000000006</v>
      </c>
      <c r="I54" s="41">
        <v>-12.059372</v>
      </c>
      <c r="J54" s="41">
        <v>-77.036098999999993</v>
      </c>
    </row>
    <row r="55" spans="1:10" x14ac:dyDescent="0.25">
      <c r="A55" s="15" t="s">
        <v>4280</v>
      </c>
      <c r="B55" s="15" t="s">
        <v>4306</v>
      </c>
      <c r="C55" s="42">
        <v>11.44</v>
      </c>
      <c r="D55" s="25">
        <v>1.5972222222222221E-2</v>
      </c>
      <c r="E55" s="43">
        <v>-12.161662</v>
      </c>
      <c r="F55" s="43">
        <v>-77.024805999999998</v>
      </c>
      <c r="G55" s="43">
        <v>-12.139810000000001</v>
      </c>
      <c r="H55" s="43">
        <v>-77.027749</v>
      </c>
      <c r="I55" s="43">
        <v>-12.13382</v>
      </c>
      <c r="J55" s="43">
        <v>-77.020459000000002</v>
      </c>
    </row>
    <row r="56" spans="1:10" x14ac:dyDescent="0.25">
      <c r="A56" s="15" t="s">
        <v>4280</v>
      </c>
      <c r="B56" s="15" t="s">
        <v>4277</v>
      </c>
      <c r="C56" s="40">
        <v>14.044</v>
      </c>
      <c r="D56" s="29">
        <v>1.4583333333333334E-2</v>
      </c>
      <c r="E56" s="41">
        <v>-12.159219999999999</v>
      </c>
      <c r="F56" s="41">
        <v>-77.025189999999995</v>
      </c>
      <c r="G56" s="41">
        <v>-12.135825000000001</v>
      </c>
      <c r="H56" s="41">
        <v>-77.024100000000004</v>
      </c>
      <c r="I56" s="41">
        <v>-12.108029</v>
      </c>
      <c r="J56" s="41">
        <v>-77.026381000000001</v>
      </c>
    </row>
    <row r="57" spans="1:10" x14ac:dyDescent="0.25">
      <c r="A57" s="15" t="s">
        <v>4280</v>
      </c>
      <c r="B57" s="15" t="s">
        <v>4307</v>
      </c>
      <c r="C57" s="42">
        <v>24.106000000000002</v>
      </c>
      <c r="D57" s="25">
        <v>2.2916666666666665E-2</v>
      </c>
      <c r="E57" s="43">
        <v>-12.142936000000001</v>
      </c>
      <c r="F57" s="43">
        <v>-77.025982999999997</v>
      </c>
      <c r="G57" s="43">
        <v>-12.108029</v>
      </c>
      <c r="H57" s="43">
        <v>-77.026381000000001</v>
      </c>
      <c r="I57" s="43">
        <v>-12.085743000000001</v>
      </c>
      <c r="J57" s="43">
        <v>-76.982076000000006</v>
      </c>
    </row>
    <row r="58" spans="1:10" x14ac:dyDescent="0.25">
      <c r="A58" s="15" t="s">
        <v>4280</v>
      </c>
      <c r="B58" s="15" t="s">
        <v>4308</v>
      </c>
      <c r="C58" s="40">
        <v>16.068999999999999</v>
      </c>
      <c r="D58" s="29">
        <v>1.7361111111111112E-2</v>
      </c>
      <c r="E58" s="41">
        <v>-12.152939</v>
      </c>
      <c r="F58" s="41">
        <v>-77.024417</v>
      </c>
      <c r="G58" s="41">
        <v>-12.123023999999999</v>
      </c>
      <c r="H58" s="41">
        <v>-77.042578000000006</v>
      </c>
      <c r="I58" s="41">
        <v>-12.101476999999999</v>
      </c>
      <c r="J58" s="41">
        <v>-77.066717999999995</v>
      </c>
    </row>
    <row r="59" spans="1:10" x14ac:dyDescent="0.25">
      <c r="A59" s="15" t="s">
        <v>4280</v>
      </c>
      <c r="B59" s="15" t="s">
        <v>4309</v>
      </c>
      <c r="C59" s="42">
        <v>13.996</v>
      </c>
      <c r="D59" s="25">
        <v>1.3194444444444444E-2</v>
      </c>
      <c r="E59" s="43">
        <v>-12.159219999999999</v>
      </c>
      <c r="F59" s="43">
        <v>-77.025189999999995</v>
      </c>
      <c r="G59" s="43">
        <v>-12.135825000000001</v>
      </c>
      <c r="H59" s="43">
        <v>-77.024100000000004</v>
      </c>
      <c r="I59" s="43">
        <v>-12.112038</v>
      </c>
      <c r="J59" s="43">
        <v>-77.025881999999996</v>
      </c>
    </row>
    <row r="60" spans="1:10" x14ac:dyDescent="0.25">
      <c r="A60" s="15" t="s">
        <v>4280</v>
      </c>
      <c r="B60" s="15" t="s">
        <v>4278</v>
      </c>
      <c r="C60" s="40">
        <v>25.184000000000001</v>
      </c>
      <c r="D60" s="29">
        <v>2.7777777777777776E-2</v>
      </c>
      <c r="E60" s="41">
        <v>-12.142053000000001</v>
      </c>
      <c r="F60" s="41">
        <v>-77.026312000000004</v>
      </c>
      <c r="G60" s="41">
        <v>-12.100771999999999</v>
      </c>
      <c r="H60" s="41">
        <v>-77.026722000000007</v>
      </c>
      <c r="I60" s="41">
        <v>-12.035714</v>
      </c>
      <c r="J60" s="41">
        <v>-77.043052000000003</v>
      </c>
    </row>
    <row r="61" spans="1:10" x14ac:dyDescent="0.25">
      <c r="A61" s="15" t="s">
        <v>4280</v>
      </c>
      <c r="B61" s="15" t="s">
        <v>4310</v>
      </c>
      <c r="C61" s="42">
        <v>25.071000000000002</v>
      </c>
      <c r="D61" s="25">
        <v>2.361111111111111E-2</v>
      </c>
      <c r="E61" s="43">
        <v>-12.140242000000001</v>
      </c>
      <c r="F61" s="43">
        <v>-77.027651000000006</v>
      </c>
      <c r="G61" s="43">
        <v>-12.100448999999999</v>
      </c>
      <c r="H61" s="43">
        <v>-77.026599000000004</v>
      </c>
      <c r="I61" s="43">
        <v>-12.067546999999999</v>
      </c>
      <c r="J61" s="43">
        <v>-76.971515999999994</v>
      </c>
    </row>
    <row r="62" spans="1:10" x14ac:dyDescent="0.25">
      <c r="A62" s="15" t="s">
        <v>4280</v>
      </c>
      <c r="B62" s="15" t="s">
        <v>4311</v>
      </c>
      <c r="C62" s="40">
        <v>15.891</v>
      </c>
      <c r="D62" s="29">
        <v>1.6666666666666666E-2</v>
      </c>
      <c r="E62" s="41">
        <v>-12.152939</v>
      </c>
      <c r="F62" s="41">
        <v>-77.024417</v>
      </c>
      <c r="G62" s="41">
        <v>-12.134764000000001</v>
      </c>
      <c r="H62" s="41">
        <v>-77.019250999999997</v>
      </c>
      <c r="I62" s="41">
        <v>-12.079159000000001</v>
      </c>
      <c r="J62" s="41">
        <v>-77.027724000000006</v>
      </c>
    </row>
    <row r="63" spans="1:10" x14ac:dyDescent="0.25">
      <c r="A63" s="15" t="s">
        <v>4280</v>
      </c>
      <c r="B63" s="15" t="s">
        <v>4312</v>
      </c>
      <c r="C63" s="42">
        <v>15.702999999999999</v>
      </c>
      <c r="D63" s="25">
        <v>1.5972222222222221E-2</v>
      </c>
      <c r="E63" s="43">
        <v>-12.158607</v>
      </c>
      <c r="F63" s="43">
        <v>-77.025143999999997</v>
      </c>
      <c r="G63" s="43">
        <v>-12.134294000000001</v>
      </c>
      <c r="H63" s="43">
        <v>-77.021263000000005</v>
      </c>
      <c r="I63" s="43">
        <v>-12.105699</v>
      </c>
      <c r="J63" s="43">
        <v>-77.027204999999995</v>
      </c>
    </row>
    <row r="64" spans="1:10" x14ac:dyDescent="0.25">
      <c r="A64" s="15" t="s">
        <v>4280</v>
      </c>
      <c r="B64" s="15" t="s">
        <v>4313</v>
      </c>
      <c r="C64" s="40">
        <v>18.234000000000002</v>
      </c>
      <c r="D64" s="29">
        <v>1.8749999999999999E-2</v>
      </c>
      <c r="E64" s="41">
        <v>-12.149756</v>
      </c>
      <c r="F64" s="41">
        <v>-77.024353000000005</v>
      </c>
      <c r="G64" s="41">
        <v>-12.131584</v>
      </c>
      <c r="H64" s="41">
        <v>-77.021951999999999</v>
      </c>
      <c r="I64" s="41">
        <v>-12.059535</v>
      </c>
      <c r="J64" s="41">
        <v>-77.035432</v>
      </c>
    </row>
    <row r="65" spans="1:10" x14ac:dyDescent="0.25">
      <c r="A65" s="15" t="s">
        <v>4280</v>
      </c>
      <c r="B65" s="15" t="s">
        <v>4314</v>
      </c>
      <c r="C65" s="42">
        <v>15.726000000000001</v>
      </c>
      <c r="D65" s="25">
        <v>1.7361111111111112E-2</v>
      </c>
      <c r="E65" s="43">
        <v>-12.149756</v>
      </c>
      <c r="F65" s="43">
        <v>-77.024353000000005</v>
      </c>
      <c r="G65" s="43">
        <v>-12.118838</v>
      </c>
      <c r="H65" s="43">
        <v>-77.046256999999997</v>
      </c>
      <c r="I65" s="43">
        <v>-12.094795</v>
      </c>
      <c r="J65" s="43">
        <v>-77.078881999999993</v>
      </c>
    </row>
    <row r="66" spans="1:10" x14ac:dyDescent="0.25">
      <c r="A66" s="15" t="s">
        <v>4280</v>
      </c>
      <c r="B66" s="15" t="s">
        <v>4315</v>
      </c>
      <c r="C66" s="40">
        <v>20.497</v>
      </c>
      <c r="D66" s="29">
        <v>1.8055555555555554E-2</v>
      </c>
      <c r="E66" s="41">
        <v>-12.186705999999999</v>
      </c>
      <c r="F66" s="41">
        <v>-77.007846999999998</v>
      </c>
      <c r="G66" s="41">
        <v>-12.218048</v>
      </c>
      <c r="H66" s="41">
        <v>-76.976590000000002</v>
      </c>
      <c r="I66" s="41">
        <v>-12.15122</v>
      </c>
      <c r="J66" s="41">
        <v>-76.983529000000004</v>
      </c>
    </row>
    <row r="67" spans="1:10" x14ac:dyDescent="0.25">
      <c r="A67" s="15" t="s">
        <v>4280</v>
      </c>
      <c r="B67" s="15" t="s">
        <v>4316</v>
      </c>
      <c r="C67" s="42">
        <v>12.324</v>
      </c>
      <c r="D67" s="25">
        <v>1.3194444444444444E-2</v>
      </c>
      <c r="E67" s="43">
        <v>-12.158607</v>
      </c>
      <c r="F67" s="43">
        <v>-77.025143999999997</v>
      </c>
      <c r="G67" s="43">
        <v>-12.130143</v>
      </c>
      <c r="H67" s="43">
        <v>-77.035189000000003</v>
      </c>
      <c r="I67" s="43">
        <v>-12.109385</v>
      </c>
      <c r="J67" s="43">
        <v>-77.055882999999994</v>
      </c>
    </row>
    <row r="68" spans="1:10" x14ac:dyDescent="0.25">
      <c r="A68" s="15" t="s">
        <v>4280</v>
      </c>
      <c r="B68" s="15" t="s">
        <v>4317</v>
      </c>
      <c r="C68" s="40">
        <v>9.26</v>
      </c>
      <c r="D68" s="29">
        <v>1.7361111111111112E-2</v>
      </c>
      <c r="E68" s="41">
        <v>-12.174153</v>
      </c>
      <c r="F68" s="41">
        <v>-77.002360999999993</v>
      </c>
      <c r="G68" s="41">
        <v>-12.159557</v>
      </c>
      <c r="H68" s="41">
        <v>-76.991211000000007</v>
      </c>
      <c r="I68" s="41">
        <v>-12.148396</v>
      </c>
      <c r="J68" s="41">
        <v>-76.986275000000006</v>
      </c>
    </row>
    <row r="69" spans="1:10" x14ac:dyDescent="0.25">
      <c r="A69" s="15" t="s">
        <v>4280</v>
      </c>
      <c r="B69" s="15" t="s">
        <v>4318</v>
      </c>
      <c r="C69" s="42">
        <v>13.215999999999999</v>
      </c>
      <c r="D69" s="25">
        <v>1.3194444444444444E-2</v>
      </c>
      <c r="E69" s="43">
        <v>-12.160195</v>
      </c>
      <c r="F69" s="43">
        <v>-77.025032999999993</v>
      </c>
      <c r="G69" s="43">
        <v>-12.136414</v>
      </c>
      <c r="H69" s="43">
        <v>-77.025666000000001</v>
      </c>
      <c r="I69" s="43">
        <v>-12.117571</v>
      </c>
      <c r="J69" s="43">
        <v>-77.026028999999994</v>
      </c>
    </row>
    <row r="70" spans="1:10" x14ac:dyDescent="0.25">
      <c r="A70" s="15" t="s">
        <v>4280</v>
      </c>
      <c r="B70" s="15" t="s">
        <v>4319</v>
      </c>
      <c r="C70" s="40">
        <v>15.933999999999999</v>
      </c>
      <c r="D70" s="29">
        <v>1.6666666666666666E-2</v>
      </c>
      <c r="E70" s="41">
        <v>-12.158607</v>
      </c>
      <c r="F70" s="41">
        <v>-77.025143999999997</v>
      </c>
      <c r="G70" s="41">
        <v>-12.134294000000001</v>
      </c>
      <c r="H70" s="41">
        <v>-77.021263000000005</v>
      </c>
      <c r="I70" s="41">
        <v>-12.105699</v>
      </c>
      <c r="J70" s="41">
        <v>-77.027204999999995</v>
      </c>
    </row>
    <row r="71" spans="1:10" x14ac:dyDescent="0.25">
      <c r="A71" s="15" t="s">
        <v>4280</v>
      </c>
      <c r="B71" s="15" t="s">
        <v>4279</v>
      </c>
      <c r="C71" s="42">
        <v>23.524000000000001</v>
      </c>
      <c r="D71" s="25">
        <v>2.2916666666666665E-2</v>
      </c>
      <c r="E71" s="43">
        <v>-12.142251999999999</v>
      </c>
      <c r="F71" s="43">
        <v>-77.026292999999995</v>
      </c>
      <c r="G71" s="43">
        <v>-12.109238</v>
      </c>
      <c r="H71" s="43">
        <v>-77.056132000000005</v>
      </c>
      <c r="I71" s="43">
        <v>-12.075866</v>
      </c>
      <c r="J71" s="43">
        <v>-77.119209999999995</v>
      </c>
    </row>
    <row r="72" spans="1:10" x14ac:dyDescent="0.25">
      <c r="A72" s="15" t="s">
        <v>4280</v>
      </c>
      <c r="B72" s="15" t="s">
        <v>4320</v>
      </c>
      <c r="C72" s="40">
        <v>20.045999999999999</v>
      </c>
      <c r="D72" s="29">
        <v>1.9444444444444445E-2</v>
      </c>
      <c r="E72" s="41">
        <v>-12.146076000000001</v>
      </c>
      <c r="F72" s="41">
        <v>-77.025183999999996</v>
      </c>
      <c r="G72" s="41">
        <v>-12.117571</v>
      </c>
      <c r="H72" s="41">
        <v>-77.026028999999994</v>
      </c>
      <c r="I72" s="41">
        <v>-12.085198</v>
      </c>
      <c r="J72" s="41">
        <v>-76.981576000000004</v>
      </c>
    </row>
    <row r="73" spans="1:10" x14ac:dyDescent="0.25">
      <c r="A73" s="15" t="s">
        <v>4280</v>
      </c>
      <c r="B73" s="15" t="s">
        <v>4321</v>
      </c>
      <c r="C73" s="42">
        <v>39.527000000000001</v>
      </c>
      <c r="D73" s="25">
        <v>4.2361111111111113E-2</v>
      </c>
      <c r="E73" s="43">
        <v>-12.139509</v>
      </c>
      <c r="F73" s="43">
        <v>-77.027682999999996</v>
      </c>
      <c r="G73" s="43">
        <v>-12.087759999999999</v>
      </c>
      <c r="H73" s="43">
        <v>-77.024265999999997</v>
      </c>
      <c r="I73" s="43">
        <v>-12.035731999999999</v>
      </c>
      <c r="J73" s="43">
        <v>-77.046904999999995</v>
      </c>
    </row>
    <row r="74" spans="1:10" x14ac:dyDescent="0.25">
      <c r="A74" s="15" t="s">
        <v>4280</v>
      </c>
      <c r="B74" s="15" t="s">
        <v>4322</v>
      </c>
      <c r="C74" s="40">
        <v>1.7609999999999999</v>
      </c>
      <c r="D74" s="29">
        <v>3.472222222222222E-3</v>
      </c>
      <c r="E74" s="41">
        <v>-12.175033000000001</v>
      </c>
      <c r="F74" s="41">
        <v>-77.015974</v>
      </c>
      <c r="G74" s="41">
        <v>-12.17876</v>
      </c>
      <c r="H74" s="41">
        <v>-77.013088999999994</v>
      </c>
      <c r="I74" s="41">
        <v>-12.179513999999999</v>
      </c>
      <c r="J74" s="41">
        <v>-77.013940000000005</v>
      </c>
    </row>
    <row r="75" spans="1:10" x14ac:dyDescent="0.25">
      <c r="A75" s="15" t="s">
        <v>4280</v>
      </c>
      <c r="B75" s="15" t="s">
        <v>4323</v>
      </c>
      <c r="C75" s="42">
        <v>2.2709999999999999</v>
      </c>
      <c r="D75" s="25">
        <v>4.8611111111111112E-3</v>
      </c>
      <c r="E75" s="43">
        <v>-12.175342000000001</v>
      </c>
      <c r="F75" s="43">
        <v>-77.016329999999996</v>
      </c>
      <c r="G75" s="43">
        <v>-12.179487999999999</v>
      </c>
      <c r="H75" s="43">
        <v>-77.013909999999996</v>
      </c>
      <c r="I75" s="43">
        <v>-12.182943</v>
      </c>
      <c r="J75" s="43">
        <v>-77.010872000000006</v>
      </c>
    </row>
    <row r="76" spans="1:10" x14ac:dyDescent="0.25">
      <c r="A76" s="15" t="s">
        <v>4280</v>
      </c>
      <c r="B76" s="15" t="s">
        <v>4324</v>
      </c>
      <c r="C76" s="40">
        <v>14.884</v>
      </c>
      <c r="D76" s="29">
        <v>1.8749999999999999E-2</v>
      </c>
      <c r="E76" s="41">
        <v>-12.152939</v>
      </c>
      <c r="F76" s="41">
        <v>-77.024417</v>
      </c>
      <c r="G76" s="41">
        <v>-12.123023999999999</v>
      </c>
      <c r="H76" s="41">
        <v>-77.042578000000006</v>
      </c>
      <c r="I76" s="41">
        <v>-12.101476999999999</v>
      </c>
      <c r="J76" s="41">
        <v>-77.066717999999995</v>
      </c>
    </row>
    <row r="77" spans="1:10" x14ac:dyDescent="0.25">
      <c r="A77" s="15" t="s">
        <v>4280</v>
      </c>
      <c r="B77" s="15" t="s">
        <v>4325</v>
      </c>
      <c r="C77" s="42">
        <v>12.619</v>
      </c>
      <c r="D77" s="25">
        <v>2.361111111111111E-2</v>
      </c>
      <c r="E77" s="43">
        <v>-12.166681000000001</v>
      </c>
      <c r="F77" s="43">
        <v>-76.997899000000004</v>
      </c>
      <c r="G77" s="43">
        <v>-12.154102999999999</v>
      </c>
      <c r="H77" s="43">
        <v>-76.990463000000005</v>
      </c>
      <c r="I77" s="43">
        <v>-12.158801</v>
      </c>
      <c r="J77" s="43">
        <v>-76.957999999999998</v>
      </c>
    </row>
    <row r="78" spans="1:10" x14ac:dyDescent="0.25">
      <c r="A78" s="15" t="s">
        <v>4280</v>
      </c>
      <c r="B78" s="15" t="s">
        <v>4268</v>
      </c>
      <c r="C78" s="40">
        <v>24.532</v>
      </c>
      <c r="D78" s="29">
        <v>2.2222222222222223E-2</v>
      </c>
      <c r="E78" s="41">
        <v>-12.140242000000001</v>
      </c>
      <c r="F78" s="41">
        <v>-77.027651000000006</v>
      </c>
      <c r="G78" s="41">
        <v>-12.100448999999999</v>
      </c>
      <c r="H78" s="41">
        <v>-77.026599000000004</v>
      </c>
      <c r="I78" s="41">
        <v>-12.067546999999999</v>
      </c>
      <c r="J78" s="41">
        <v>-76.971515999999994</v>
      </c>
    </row>
    <row r="79" spans="1:10" x14ac:dyDescent="0.25">
      <c r="A79" s="15" t="s">
        <v>4281</v>
      </c>
      <c r="B79" s="15" t="s">
        <v>4267</v>
      </c>
      <c r="C79" s="42">
        <v>16.405999999999999</v>
      </c>
      <c r="D79" s="25">
        <v>1.8749999999999999E-2</v>
      </c>
      <c r="E79" s="43">
        <v>-12.067963000000001</v>
      </c>
      <c r="F79" s="43">
        <v>-76.946734000000006</v>
      </c>
      <c r="G79" s="43">
        <v>-12.086781</v>
      </c>
      <c r="H79" s="43">
        <v>-76.994743999999997</v>
      </c>
      <c r="I79" s="43">
        <v>-12.079159000000001</v>
      </c>
      <c r="J79" s="43">
        <v>-77.027724000000006</v>
      </c>
    </row>
    <row r="80" spans="1:10" x14ac:dyDescent="0.25">
      <c r="A80" s="15" t="s">
        <v>4281</v>
      </c>
      <c r="B80" s="15" t="s">
        <v>4280</v>
      </c>
      <c r="C80" s="40">
        <v>22.312999999999999</v>
      </c>
      <c r="D80" s="29">
        <v>2.2222222222222223E-2</v>
      </c>
      <c r="E80" s="41">
        <v>-12.083956000000001</v>
      </c>
      <c r="F80" s="41">
        <v>-76.974616999999995</v>
      </c>
      <c r="G80" s="41">
        <v>-12.106316</v>
      </c>
      <c r="H80" s="41">
        <v>-77.027315999999999</v>
      </c>
      <c r="I80" s="41">
        <v>-12.149248</v>
      </c>
      <c r="J80" s="41">
        <v>-77.024454000000006</v>
      </c>
    </row>
    <row r="81" spans="1:10" x14ac:dyDescent="0.25">
      <c r="A81" s="15" t="s">
        <v>4281</v>
      </c>
      <c r="B81" s="15" t="s">
        <v>4281</v>
      </c>
      <c r="C81" s="42">
        <v>0</v>
      </c>
      <c r="D81" s="25">
        <v>0</v>
      </c>
      <c r="E81" s="43" t="str">
        <f>'1 ubicaciones'!D4</f>
        <v>-120.503.639</v>
      </c>
      <c r="F81" s="43" t="str">
        <f>'1 ubicaciones'!E4</f>
        <v>-7.712.329.799.999.990</v>
      </c>
      <c r="G81" s="43" t="str">
        <f>'1 ubicaciones'!D4</f>
        <v>-120.503.639</v>
      </c>
      <c r="H81" s="43" t="str">
        <f>'1 ubicaciones'!E4</f>
        <v>-7.712.329.799.999.990</v>
      </c>
      <c r="I81" s="43" t="str">
        <f>'1 ubicaciones'!D4</f>
        <v>-120.503.639</v>
      </c>
      <c r="J81" s="43" t="str">
        <f>'1 ubicaciones'!E4</f>
        <v>-7.712.329.799.999.990</v>
      </c>
    </row>
    <row r="82" spans="1:10" x14ac:dyDescent="0.25">
      <c r="A82" s="15" t="s">
        <v>4281</v>
      </c>
      <c r="B82" s="15" t="s">
        <v>4296</v>
      </c>
      <c r="C82" s="40">
        <v>17.128</v>
      </c>
      <c r="D82" s="29">
        <v>1.8749999999999999E-2</v>
      </c>
      <c r="E82" s="41">
        <v>-12.073819</v>
      </c>
      <c r="F82" s="41">
        <v>-76.961816999999996</v>
      </c>
      <c r="G82" s="41">
        <v>-12.087186000000001</v>
      </c>
      <c r="H82" s="41">
        <v>-76.998052999999999</v>
      </c>
      <c r="I82" s="41">
        <v>-12.059535</v>
      </c>
      <c r="J82" s="41">
        <v>-77.035432</v>
      </c>
    </row>
    <row r="83" spans="1:10" x14ac:dyDescent="0.25">
      <c r="A83" s="15" t="s">
        <v>4281</v>
      </c>
      <c r="B83" s="15" t="s">
        <v>4297</v>
      </c>
      <c r="C83" s="42">
        <v>11.422000000000001</v>
      </c>
      <c r="D83" s="25">
        <v>1.3888888888888888E-2</v>
      </c>
      <c r="E83" s="43">
        <v>-12.064709000000001</v>
      </c>
      <c r="F83" s="43">
        <v>-76.940661000000006</v>
      </c>
      <c r="G83" s="43">
        <v>-12.085604999999999</v>
      </c>
      <c r="H83" s="43">
        <v>-76.987003999999999</v>
      </c>
      <c r="I83" s="43">
        <v>-12.081877</v>
      </c>
      <c r="J83" s="43">
        <v>-77.004642000000004</v>
      </c>
    </row>
    <row r="84" spans="1:10" x14ac:dyDescent="0.25">
      <c r="A84" s="15" t="s">
        <v>4281</v>
      </c>
      <c r="B84" s="15" t="s">
        <v>4298</v>
      </c>
      <c r="C84" s="40">
        <v>14.45</v>
      </c>
      <c r="D84" s="29">
        <v>1.5277777777777777E-2</v>
      </c>
      <c r="E84" s="41">
        <v>-12.064709000000001</v>
      </c>
      <c r="F84" s="41">
        <v>-76.940661000000006</v>
      </c>
      <c r="G84" s="41">
        <v>-12.085604999999999</v>
      </c>
      <c r="H84" s="41">
        <v>-76.987003999999999</v>
      </c>
      <c r="I84" s="41">
        <v>-12.090178999999999</v>
      </c>
      <c r="J84" s="41">
        <v>-77.023506999999995</v>
      </c>
    </row>
    <row r="85" spans="1:10" x14ac:dyDescent="0.25">
      <c r="A85" s="15" t="s">
        <v>4281</v>
      </c>
      <c r="B85" s="15" t="s">
        <v>4299</v>
      </c>
      <c r="C85" s="42">
        <v>14.605</v>
      </c>
      <c r="D85" s="25">
        <v>1.5972222222222221E-2</v>
      </c>
      <c r="E85" s="43">
        <v>-12.070484</v>
      </c>
      <c r="F85" s="43">
        <v>-76.954621000000003</v>
      </c>
      <c r="G85" s="43">
        <v>-12.086687</v>
      </c>
      <c r="H85" s="43">
        <v>-76.997055000000003</v>
      </c>
      <c r="I85" s="43">
        <v>-12.102895999999999</v>
      </c>
      <c r="J85" s="43">
        <v>-77.027494000000004</v>
      </c>
    </row>
    <row r="86" spans="1:10" x14ac:dyDescent="0.25">
      <c r="A86" s="15" t="s">
        <v>4281</v>
      </c>
      <c r="B86" s="15" t="s">
        <v>4300</v>
      </c>
      <c r="C86" s="40">
        <v>6.9690000000000003</v>
      </c>
      <c r="D86" s="29">
        <v>1.0416666666666666E-2</v>
      </c>
      <c r="E86" s="41">
        <v>-12.064517</v>
      </c>
      <c r="F86" s="41">
        <v>-76.939634999999996</v>
      </c>
      <c r="G86" s="41">
        <v>-12.08048</v>
      </c>
      <c r="H86" s="41">
        <v>-76.966680999999994</v>
      </c>
      <c r="I86" s="41">
        <v>-12.08473</v>
      </c>
      <c r="J86" s="41">
        <v>-76.969621000000004</v>
      </c>
    </row>
    <row r="87" spans="1:10" x14ac:dyDescent="0.25">
      <c r="A87" s="15" t="s">
        <v>4281</v>
      </c>
      <c r="B87" s="15" t="s">
        <v>4301</v>
      </c>
      <c r="C87" s="42">
        <v>30.518999999999998</v>
      </c>
      <c r="D87" s="25">
        <v>2.7083333333333334E-2</v>
      </c>
      <c r="E87" s="43">
        <v>-12.062626</v>
      </c>
      <c r="F87" s="43">
        <v>-76.960829000000004</v>
      </c>
      <c r="G87" s="43">
        <v>-12.031843</v>
      </c>
      <c r="H87" s="43">
        <v>-76.991677999999993</v>
      </c>
      <c r="I87" s="43">
        <v>-12.038727</v>
      </c>
      <c r="J87" s="43">
        <v>-77.037231000000006</v>
      </c>
    </row>
    <row r="88" spans="1:10" x14ac:dyDescent="0.25">
      <c r="A88" s="15" t="s">
        <v>4281</v>
      </c>
      <c r="B88" s="15" t="s">
        <v>4302</v>
      </c>
      <c r="C88" s="40">
        <v>9.6639999999999997</v>
      </c>
      <c r="D88" s="29">
        <v>1.1805555555555555E-2</v>
      </c>
      <c r="E88" s="41">
        <v>-12.064517</v>
      </c>
      <c r="F88" s="41">
        <v>-76.939634999999996</v>
      </c>
      <c r="G88" s="41">
        <v>-12.079478</v>
      </c>
      <c r="H88" s="41">
        <v>-76.966012000000006</v>
      </c>
      <c r="I88" s="41">
        <v>-12.086589</v>
      </c>
      <c r="J88" s="41">
        <v>-76.996032</v>
      </c>
    </row>
    <row r="89" spans="1:10" x14ac:dyDescent="0.25">
      <c r="A89" s="15" t="s">
        <v>4281</v>
      </c>
      <c r="B89" s="15" t="s">
        <v>4303</v>
      </c>
      <c r="C89" s="42">
        <v>11.323</v>
      </c>
      <c r="D89" s="25">
        <v>1.4583333333333334E-2</v>
      </c>
      <c r="E89" s="43">
        <v>-12.067963000000001</v>
      </c>
      <c r="F89" s="43">
        <v>-76.946734000000006</v>
      </c>
      <c r="G89" s="43">
        <v>-12.086781</v>
      </c>
      <c r="H89" s="43">
        <v>-76.994743999999997</v>
      </c>
      <c r="I89" s="43">
        <v>-12.079836</v>
      </c>
      <c r="J89" s="43">
        <v>-77.008672000000004</v>
      </c>
    </row>
    <row r="90" spans="1:10" x14ac:dyDescent="0.25">
      <c r="A90" s="15" t="s">
        <v>4281</v>
      </c>
      <c r="B90" s="15" t="s">
        <v>4304</v>
      </c>
      <c r="C90" s="40">
        <v>10.906000000000001</v>
      </c>
      <c r="D90" s="29">
        <v>1.3888888888888888E-2</v>
      </c>
      <c r="E90" s="41">
        <v>-12.064709000000001</v>
      </c>
      <c r="F90" s="41">
        <v>-76.940661000000006</v>
      </c>
      <c r="G90" s="41">
        <v>-12.085604999999999</v>
      </c>
      <c r="H90" s="41">
        <v>-76.987003999999999</v>
      </c>
      <c r="I90" s="41">
        <v>-12.081877</v>
      </c>
      <c r="J90" s="41">
        <v>-77.004642000000004</v>
      </c>
    </row>
    <row r="91" spans="1:10" x14ac:dyDescent="0.25">
      <c r="A91" s="15" t="s">
        <v>4281</v>
      </c>
      <c r="B91" s="15" t="s">
        <v>4269</v>
      </c>
      <c r="C91" s="42">
        <v>17.271999999999998</v>
      </c>
      <c r="D91" s="25">
        <v>2.2222222222222223E-2</v>
      </c>
      <c r="E91" s="43">
        <v>-12.06419</v>
      </c>
      <c r="F91" s="43">
        <v>-76.940123</v>
      </c>
      <c r="G91" s="43">
        <v>-12.083136</v>
      </c>
      <c r="H91" s="43">
        <v>-76.969905999999995</v>
      </c>
      <c r="I91" s="43">
        <v>-12.092250999999999</v>
      </c>
      <c r="J91" s="43">
        <v>-77.033615999999995</v>
      </c>
    </row>
    <row r="92" spans="1:10" x14ac:dyDescent="0.25">
      <c r="A92" s="15" t="s">
        <v>4281</v>
      </c>
      <c r="B92" s="15" t="s">
        <v>4305</v>
      </c>
      <c r="C92" s="40">
        <v>16.119</v>
      </c>
      <c r="D92" s="29">
        <v>1.8055555555555554E-2</v>
      </c>
      <c r="E92" s="41">
        <v>-12.07916</v>
      </c>
      <c r="F92" s="41">
        <v>-76.965835999999996</v>
      </c>
      <c r="G92" s="41">
        <v>-12.090526000000001</v>
      </c>
      <c r="H92" s="41">
        <v>-77.021861000000001</v>
      </c>
      <c r="I92" s="41">
        <v>-12.059982</v>
      </c>
      <c r="J92" s="41">
        <v>-77.041065000000003</v>
      </c>
    </row>
    <row r="93" spans="1:10" x14ac:dyDescent="0.25">
      <c r="A93" s="15" t="s">
        <v>4281</v>
      </c>
      <c r="B93" s="15" t="s">
        <v>4306</v>
      </c>
      <c r="C93" s="42">
        <v>12.218999999999999</v>
      </c>
      <c r="D93" s="25">
        <v>1.2500000000000001E-2</v>
      </c>
      <c r="E93" s="43">
        <v>-12.064333</v>
      </c>
      <c r="F93" s="43">
        <v>-76.940402000000006</v>
      </c>
      <c r="G93" s="43">
        <v>-12.083956000000001</v>
      </c>
      <c r="H93" s="43">
        <v>-76.974616999999995</v>
      </c>
      <c r="I93" s="43">
        <v>-12.086665</v>
      </c>
      <c r="J93" s="43">
        <v>-76.983536999999998</v>
      </c>
    </row>
    <row r="94" spans="1:10" x14ac:dyDescent="0.25">
      <c r="A94" s="15" t="s">
        <v>4281</v>
      </c>
      <c r="B94" s="15" t="s">
        <v>4277</v>
      </c>
      <c r="C94" s="40">
        <v>12.811</v>
      </c>
      <c r="D94" s="29">
        <v>1.3888888888888888E-2</v>
      </c>
      <c r="E94" s="41">
        <v>-12.064545000000001</v>
      </c>
      <c r="F94" s="41">
        <v>-76.939629999999994</v>
      </c>
      <c r="G94" s="41">
        <v>-12.075640999999999</v>
      </c>
      <c r="H94" s="41">
        <v>-76.963832999999994</v>
      </c>
      <c r="I94" s="41">
        <v>-12.08501</v>
      </c>
      <c r="J94" s="41">
        <v>-76.985107999999997</v>
      </c>
    </row>
    <row r="95" spans="1:10" x14ac:dyDescent="0.25">
      <c r="A95" s="15" t="s">
        <v>4281</v>
      </c>
      <c r="B95" s="15" t="s">
        <v>4307</v>
      </c>
      <c r="C95" s="42">
        <v>6.3550000000000004</v>
      </c>
      <c r="D95" s="25">
        <v>1.1111111111111112E-2</v>
      </c>
      <c r="E95" s="43">
        <v>-12.064596</v>
      </c>
      <c r="F95" s="43">
        <v>-76.939483999999993</v>
      </c>
      <c r="G95" s="43">
        <v>-12.050979999999999</v>
      </c>
      <c r="H95" s="43">
        <v>-76.948184999999995</v>
      </c>
      <c r="I95" s="43">
        <v>-12.037832999999999</v>
      </c>
      <c r="J95" s="43">
        <v>-76.953969000000001</v>
      </c>
    </row>
    <row r="96" spans="1:10" x14ac:dyDescent="0.25">
      <c r="A96" s="15" t="s">
        <v>4281</v>
      </c>
      <c r="B96" s="15" t="s">
        <v>4308</v>
      </c>
      <c r="C96" s="40">
        <v>18.774000000000001</v>
      </c>
      <c r="D96" s="29">
        <v>2.4305555555555556E-2</v>
      </c>
      <c r="E96" s="41">
        <v>-12.064333</v>
      </c>
      <c r="F96" s="41">
        <v>-76.940402000000006</v>
      </c>
      <c r="G96" s="41">
        <v>-12.083956000000001</v>
      </c>
      <c r="H96" s="41">
        <v>-76.974616999999995</v>
      </c>
      <c r="I96" s="41">
        <v>-12.094547</v>
      </c>
      <c r="J96" s="41">
        <v>-77.050759999999997</v>
      </c>
    </row>
    <row r="97" spans="1:10" x14ac:dyDescent="0.25">
      <c r="A97" s="15" t="s">
        <v>4281</v>
      </c>
      <c r="B97" s="15" t="s">
        <v>4309</v>
      </c>
      <c r="C97" s="42">
        <v>13.002000000000001</v>
      </c>
      <c r="D97" s="25">
        <v>1.3194444444444444E-2</v>
      </c>
      <c r="E97" s="43">
        <v>-12.064333</v>
      </c>
      <c r="F97" s="43">
        <v>-76.940402000000006</v>
      </c>
      <c r="G97" s="43">
        <v>-12.083956000000001</v>
      </c>
      <c r="H97" s="43">
        <v>-76.974616999999995</v>
      </c>
      <c r="I97" s="43">
        <v>-12.090366</v>
      </c>
      <c r="J97" s="43">
        <v>-77.020895999999993</v>
      </c>
    </row>
    <row r="98" spans="1:10" x14ac:dyDescent="0.25">
      <c r="A98" s="15" t="s">
        <v>4281</v>
      </c>
      <c r="B98" s="15" t="s">
        <v>4278</v>
      </c>
      <c r="C98" s="40">
        <v>22.068000000000001</v>
      </c>
      <c r="D98" s="29">
        <v>2.0833333333333332E-2</v>
      </c>
      <c r="E98" s="41">
        <v>-12.065421000000001</v>
      </c>
      <c r="F98" s="41">
        <v>-76.967740000000006</v>
      </c>
      <c r="G98" s="41">
        <v>-12.029382999999999</v>
      </c>
      <c r="H98" s="41">
        <v>-76.995318999999995</v>
      </c>
      <c r="I98" s="41">
        <v>-12.035235</v>
      </c>
      <c r="J98" s="41">
        <v>-77.048686000000004</v>
      </c>
    </row>
    <row r="99" spans="1:10" x14ac:dyDescent="0.25">
      <c r="A99" s="15" t="s">
        <v>4281</v>
      </c>
      <c r="B99" s="15" t="s">
        <v>4310</v>
      </c>
      <c r="C99" s="42">
        <v>11.347</v>
      </c>
      <c r="D99" s="25">
        <v>1.3888888888888888E-2</v>
      </c>
      <c r="E99" s="43">
        <v>-12.057041999999999</v>
      </c>
      <c r="F99" s="43">
        <v>-76.944160999999994</v>
      </c>
      <c r="G99" s="43">
        <v>-12.065941</v>
      </c>
      <c r="H99" s="43">
        <v>-76.971232999999998</v>
      </c>
      <c r="I99" s="43">
        <v>-12.029382999999999</v>
      </c>
      <c r="J99" s="43">
        <v>-76.995318999999995</v>
      </c>
    </row>
    <row r="100" spans="1:10" x14ac:dyDescent="0.25">
      <c r="A100" s="15" t="s">
        <v>4281</v>
      </c>
      <c r="B100" s="15" t="s">
        <v>4311</v>
      </c>
      <c r="C100" s="40">
        <v>14.897</v>
      </c>
      <c r="D100" s="29">
        <v>1.6666666666666666E-2</v>
      </c>
      <c r="E100" s="41">
        <v>-12.073819</v>
      </c>
      <c r="F100" s="41">
        <v>-76.961816999999996</v>
      </c>
      <c r="G100" s="41">
        <v>-12.087186000000001</v>
      </c>
      <c r="H100" s="41">
        <v>-76.998052999999999</v>
      </c>
      <c r="I100" s="41">
        <v>-12.065011999999999</v>
      </c>
      <c r="J100" s="41">
        <v>-77.033253000000002</v>
      </c>
    </row>
    <row r="101" spans="1:10" x14ac:dyDescent="0.25">
      <c r="A101" s="15" t="s">
        <v>4281</v>
      </c>
      <c r="B101" s="15" t="s">
        <v>4312</v>
      </c>
      <c r="C101" s="42">
        <v>11.631</v>
      </c>
      <c r="D101" s="25">
        <v>1.4583333333333334E-2</v>
      </c>
      <c r="E101" s="43">
        <v>-12.064709000000001</v>
      </c>
      <c r="F101" s="43">
        <v>-76.940661000000006</v>
      </c>
      <c r="G101" s="43">
        <v>-12.085604999999999</v>
      </c>
      <c r="H101" s="43">
        <v>-76.987003999999999</v>
      </c>
      <c r="I101" s="43">
        <v>-12.081877</v>
      </c>
      <c r="J101" s="43">
        <v>-77.004642000000004</v>
      </c>
    </row>
    <row r="102" spans="1:10" x14ac:dyDescent="0.25">
      <c r="A102" s="15" t="s">
        <v>4281</v>
      </c>
      <c r="B102" s="15" t="s">
        <v>4313</v>
      </c>
      <c r="C102" s="40">
        <v>17.239999999999998</v>
      </c>
      <c r="D102" s="29">
        <v>1.8749999999999999E-2</v>
      </c>
      <c r="E102" s="41">
        <v>-12.075640999999999</v>
      </c>
      <c r="F102" s="41">
        <v>-76.963832999999994</v>
      </c>
      <c r="G102" s="41">
        <v>-12.090265</v>
      </c>
      <c r="H102" s="41">
        <v>-77.019711000000001</v>
      </c>
      <c r="I102" s="41">
        <v>-12.060452</v>
      </c>
      <c r="J102" s="41">
        <v>-77.036019999999994</v>
      </c>
    </row>
    <row r="103" spans="1:10" x14ac:dyDescent="0.25">
      <c r="A103" s="15" t="s">
        <v>4281</v>
      </c>
      <c r="B103" s="15" t="s">
        <v>4314</v>
      </c>
      <c r="C103" s="42">
        <v>17.634</v>
      </c>
      <c r="D103" s="25">
        <v>2.2222222222222223E-2</v>
      </c>
      <c r="E103" s="43">
        <v>-12.06419</v>
      </c>
      <c r="F103" s="43">
        <v>-76.940123</v>
      </c>
      <c r="G103" s="43">
        <v>-12.083136</v>
      </c>
      <c r="H103" s="43">
        <v>-76.969905999999995</v>
      </c>
      <c r="I103" s="43">
        <v>-12.092250999999999</v>
      </c>
      <c r="J103" s="43">
        <v>-77.033615999999995</v>
      </c>
    </row>
    <row r="104" spans="1:10" x14ac:dyDescent="0.25">
      <c r="A104" s="15" t="s">
        <v>4281</v>
      </c>
      <c r="B104" s="15" t="s">
        <v>4315</v>
      </c>
      <c r="C104" s="40">
        <v>10.768000000000001</v>
      </c>
      <c r="D104" s="29">
        <v>1.3194444444444444E-2</v>
      </c>
      <c r="E104" s="41">
        <v>-12.064565</v>
      </c>
      <c r="F104" s="41">
        <v>-76.940511000000001</v>
      </c>
      <c r="G104" s="41">
        <v>-12.084835</v>
      </c>
      <c r="H104" s="41">
        <v>-76.981396000000004</v>
      </c>
      <c r="I104" s="41">
        <v>-12.08907</v>
      </c>
      <c r="J104" s="41">
        <v>-76.981326999999993</v>
      </c>
    </row>
    <row r="105" spans="1:10" x14ac:dyDescent="0.25">
      <c r="A105" s="15" t="s">
        <v>4281</v>
      </c>
      <c r="B105" s="15" t="s">
        <v>4316</v>
      </c>
      <c r="C105" s="42">
        <v>14.558999999999999</v>
      </c>
      <c r="D105" s="25">
        <v>1.7361111111111112E-2</v>
      </c>
      <c r="E105" s="43">
        <v>-12.064517</v>
      </c>
      <c r="F105" s="43">
        <v>-76.939634999999996</v>
      </c>
      <c r="G105" s="43">
        <v>-12.079478</v>
      </c>
      <c r="H105" s="43">
        <v>-76.966012000000006</v>
      </c>
      <c r="I105" s="43">
        <v>-12.086589</v>
      </c>
      <c r="J105" s="43">
        <v>-76.996032</v>
      </c>
    </row>
    <row r="106" spans="1:10" x14ac:dyDescent="0.25">
      <c r="A106" s="15" t="s">
        <v>4281</v>
      </c>
      <c r="B106" s="15" t="s">
        <v>4317</v>
      </c>
      <c r="C106" s="40">
        <v>17.504999999999999</v>
      </c>
      <c r="D106" s="29">
        <v>1.8055555555555554E-2</v>
      </c>
      <c r="E106" s="41">
        <v>-12.070484</v>
      </c>
      <c r="F106" s="41">
        <v>-76.954621000000003</v>
      </c>
      <c r="G106" s="41">
        <v>-12.084056</v>
      </c>
      <c r="H106" s="41">
        <v>-76.985101</v>
      </c>
      <c r="I106" s="41">
        <v>-12.146687</v>
      </c>
      <c r="J106" s="41">
        <v>-76.982330000000005</v>
      </c>
    </row>
    <row r="107" spans="1:10" x14ac:dyDescent="0.25">
      <c r="A107" s="15" t="s">
        <v>4281</v>
      </c>
      <c r="B107" s="15" t="s">
        <v>4318</v>
      </c>
      <c r="C107" s="42">
        <v>9.0820000000000007</v>
      </c>
      <c r="D107" s="25">
        <v>1.1111111111111112E-2</v>
      </c>
      <c r="E107" s="43">
        <v>-12.064517</v>
      </c>
      <c r="F107" s="43">
        <v>-76.939634999999996</v>
      </c>
      <c r="G107" s="43">
        <v>-12.079478</v>
      </c>
      <c r="H107" s="43">
        <v>-76.966012000000006</v>
      </c>
      <c r="I107" s="43">
        <v>-12.086781</v>
      </c>
      <c r="J107" s="43">
        <v>-76.994743999999997</v>
      </c>
    </row>
    <row r="108" spans="1:10" x14ac:dyDescent="0.25">
      <c r="A108" s="15" t="s">
        <v>4281</v>
      </c>
      <c r="B108" s="15" t="s">
        <v>4319</v>
      </c>
      <c r="C108" s="40">
        <v>9.4030000000000005</v>
      </c>
      <c r="D108" s="29">
        <v>1.2500000000000001E-2</v>
      </c>
      <c r="E108" s="41">
        <v>-12.064545000000001</v>
      </c>
      <c r="F108" s="41">
        <v>-76.939629999999994</v>
      </c>
      <c r="G108" s="41">
        <v>-12.075640999999999</v>
      </c>
      <c r="H108" s="41">
        <v>-76.963832999999994</v>
      </c>
      <c r="I108" s="41">
        <v>-12.08501</v>
      </c>
      <c r="J108" s="41">
        <v>-76.985107999999997</v>
      </c>
    </row>
    <row r="109" spans="1:10" x14ac:dyDescent="0.25">
      <c r="A109" s="15" t="s">
        <v>4281</v>
      </c>
      <c r="B109" s="15" t="s">
        <v>4279</v>
      </c>
      <c r="C109" s="42">
        <v>24.048999999999999</v>
      </c>
      <c r="D109" s="25">
        <v>2.361111111111111E-2</v>
      </c>
      <c r="E109" s="43">
        <v>-12.067104</v>
      </c>
      <c r="F109" s="43">
        <v>-76.970714999999998</v>
      </c>
      <c r="G109" s="43">
        <v>-12.034998999999999</v>
      </c>
      <c r="H109" s="43">
        <v>-77.010260000000002</v>
      </c>
      <c r="I109" s="43">
        <v>-12.036923</v>
      </c>
      <c r="J109" s="43">
        <v>-77.052398999999994</v>
      </c>
    </row>
    <row r="110" spans="1:10" x14ac:dyDescent="0.25">
      <c r="A110" s="15" t="s">
        <v>4281</v>
      </c>
      <c r="B110" s="15" t="s">
        <v>4320</v>
      </c>
      <c r="C110" s="40">
        <v>5.0789999999999997</v>
      </c>
      <c r="D110" s="29">
        <v>9.0277777777777769E-3</v>
      </c>
      <c r="E110" s="41">
        <v>-12.066568</v>
      </c>
      <c r="F110" s="41">
        <v>-76.938541000000001</v>
      </c>
      <c r="G110" s="41">
        <v>-12.054491000000001</v>
      </c>
      <c r="H110" s="41">
        <v>-76.945586000000006</v>
      </c>
      <c r="I110" s="41">
        <v>-12.051094000000001</v>
      </c>
      <c r="J110" s="41">
        <v>-76.948618999999994</v>
      </c>
    </row>
    <row r="111" spans="1:10" x14ac:dyDescent="0.25">
      <c r="A111" s="15" t="s">
        <v>4281</v>
      </c>
      <c r="B111" s="15" t="s">
        <v>4321</v>
      </c>
      <c r="C111" s="42">
        <v>36.411000000000001</v>
      </c>
      <c r="D111" s="25">
        <v>3.4722222222222224E-2</v>
      </c>
      <c r="E111" s="43">
        <v>-12.067104</v>
      </c>
      <c r="F111" s="43">
        <v>-76.970714999999998</v>
      </c>
      <c r="G111" s="43">
        <v>-12.039085</v>
      </c>
      <c r="H111" s="43">
        <v>-77.015058999999994</v>
      </c>
      <c r="I111" s="43">
        <v>-12.008125</v>
      </c>
      <c r="J111" s="43">
        <v>-77.061334000000002</v>
      </c>
    </row>
    <row r="112" spans="1:10" x14ac:dyDescent="0.25">
      <c r="A112" s="15" t="s">
        <v>4281</v>
      </c>
      <c r="B112" s="15" t="s">
        <v>4322</v>
      </c>
      <c r="C112" s="40">
        <v>26.827000000000002</v>
      </c>
      <c r="D112" s="29">
        <v>2.361111111111111E-2</v>
      </c>
      <c r="E112" s="41">
        <v>-12.074540000000001</v>
      </c>
      <c r="F112" s="41">
        <v>-76.962841999999995</v>
      </c>
      <c r="G112" s="41">
        <v>-12.08428</v>
      </c>
      <c r="H112" s="41">
        <v>-76.984190999999996</v>
      </c>
      <c r="I112" s="41">
        <v>-12.191781000000001</v>
      </c>
      <c r="J112" s="41">
        <v>-76.972752</v>
      </c>
    </row>
    <row r="113" spans="1:10" x14ac:dyDescent="0.25">
      <c r="A113" s="15" t="s">
        <v>4281</v>
      </c>
      <c r="B113" s="15" t="s">
        <v>4323</v>
      </c>
      <c r="C113" s="42">
        <v>19.701000000000001</v>
      </c>
      <c r="D113" s="25">
        <v>2.0833333333333332E-2</v>
      </c>
      <c r="E113" s="43">
        <v>-12.07916</v>
      </c>
      <c r="F113" s="43">
        <v>-76.965835999999996</v>
      </c>
      <c r="G113" s="43">
        <v>-12.087756000000001</v>
      </c>
      <c r="H113" s="43">
        <v>-76.982134000000002</v>
      </c>
      <c r="I113" s="43">
        <v>-12.170729</v>
      </c>
      <c r="J113" s="43">
        <v>-76.980542</v>
      </c>
    </row>
    <row r="114" spans="1:10" x14ac:dyDescent="0.25">
      <c r="A114" s="15" t="s">
        <v>4281</v>
      </c>
      <c r="B114" s="15" t="s">
        <v>4324</v>
      </c>
      <c r="C114" s="40">
        <v>16.565000000000001</v>
      </c>
      <c r="D114" s="29">
        <v>2.1527777777777778E-2</v>
      </c>
      <c r="E114" s="41">
        <v>-12.064333</v>
      </c>
      <c r="F114" s="41">
        <v>-76.940402000000006</v>
      </c>
      <c r="G114" s="41">
        <v>-12.083956000000001</v>
      </c>
      <c r="H114" s="41">
        <v>-76.974616999999995</v>
      </c>
      <c r="I114" s="41">
        <v>-12.094547</v>
      </c>
      <c r="J114" s="41">
        <v>-77.050759999999997</v>
      </c>
    </row>
    <row r="115" spans="1:10" x14ac:dyDescent="0.25">
      <c r="A115" s="15" t="s">
        <v>4281</v>
      </c>
      <c r="B115" s="15" t="s">
        <v>4325</v>
      </c>
      <c r="C115" s="42">
        <v>17.745000000000001</v>
      </c>
      <c r="D115" s="25">
        <v>2.2916666666666665E-2</v>
      </c>
      <c r="E115" s="43">
        <v>-12.079478</v>
      </c>
      <c r="F115" s="43">
        <v>-76.966012000000006</v>
      </c>
      <c r="G115" s="43">
        <v>-12.08907</v>
      </c>
      <c r="H115" s="43">
        <v>-76.981326999999993</v>
      </c>
      <c r="I115" s="43">
        <v>-12.143452999999999</v>
      </c>
      <c r="J115" s="43">
        <v>-76.964398000000003</v>
      </c>
    </row>
    <row r="116" spans="1:10" x14ac:dyDescent="0.25">
      <c r="A116" s="15" t="s">
        <v>4281</v>
      </c>
      <c r="B116" s="15" t="s">
        <v>4268</v>
      </c>
      <c r="C116" s="40">
        <v>10.808</v>
      </c>
      <c r="D116" s="29">
        <v>1.3194444444444444E-2</v>
      </c>
      <c r="E116" s="41">
        <v>-12.057041999999999</v>
      </c>
      <c r="F116" s="41">
        <v>-76.944160999999994</v>
      </c>
      <c r="G116" s="41">
        <v>-12.065941</v>
      </c>
      <c r="H116" s="41">
        <v>-76.971232999999998</v>
      </c>
      <c r="I116" s="41">
        <v>-12.029382999999999</v>
      </c>
      <c r="J116" s="41">
        <v>-76.995318999999995</v>
      </c>
    </row>
    <row r="117" spans="1:10" x14ac:dyDescent="0.25">
      <c r="A117" s="15" t="s">
        <v>4296</v>
      </c>
      <c r="B117" s="15" t="s">
        <v>4267</v>
      </c>
      <c r="C117" s="42">
        <v>4.9379999999999997</v>
      </c>
      <c r="D117" s="25">
        <v>1.1805555555555555E-2</v>
      </c>
      <c r="E117" s="43">
        <v>-12.068762</v>
      </c>
      <c r="F117" s="43">
        <v>-77.044439999999994</v>
      </c>
      <c r="G117" s="43">
        <v>-12.064379000000001</v>
      </c>
      <c r="H117" s="43">
        <v>-77.038855999999996</v>
      </c>
      <c r="I117" s="43">
        <v>-12.05589</v>
      </c>
      <c r="J117" s="43">
        <v>-77.038377999999994</v>
      </c>
    </row>
    <row r="118" spans="1:10" x14ac:dyDescent="0.25">
      <c r="A118" s="15" t="s">
        <v>4296</v>
      </c>
      <c r="B118" s="15" t="s">
        <v>4280</v>
      </c>
      <c r="C118" s="40">
        <v>16.29</v>
      </c>
      <c r="D118" s="29">
        <v>2.013888888888889E-2</v>
      </c>
      <c r="E118" s="41">
        <v>-12.090020000000001</v>
      </c>
      <c r="F118" s="41">
        <v>-77.023193000000006</v>
      </c>
      <c r="G118" s="41">
        <v>-12.134446000000001</v>
      </c>
      <c r="H118" s="41">
        <v>-77.021733999999995</v>
      </c>
      <c r="I118" s="41">
        <v>-12.162088000000001</v>
      </c>
      <c r="J118" s="41">
        <v>-77.025544999999994</v>
      </c>
    </row>
    <row r="119" spans="1:10" x14ac:dyDescent="0.25">
      <c r="A119" s="15" t="s">
        <v>4296</v>
      </c>
      <c r="B119" s="15" t="s">
        <v>4281</v>
      </c>
      <c r="C119" s="42">
        <v>15.294</v>
      </c>
      <c r="D119" s="25">
        <v>2.013888888888889E-2</v>
      </c>
      <c r="E119" s="43">
        <v>-12.079205999999999</v>
      </c>
      <c r="F119" s="43">
        <v>-77.028182000000001</v>
      </c>
      <c r="G119" s="43">
        <v>-12.087486999999999</v>
      </c>
      <c r="H119" s="43">
        <v>-76.998773999999997</v>
      </c>
      <c r="I119" s="43">
        <v>-12.077996000000001</v>
      </c>
      <c r="J119" s="43">
        <v>-76.964853000000005</v>
      </c>
    </row>
    <row r="120" spans="1:10" x14ac:dyDescent="0.25">
      <c r="A120" s="15" t="s">
        <v>4296</v>
      </c>
      <c r="B120" s="15" t="s">
        <v>4296</v>
      </c>
      <c r="C120" s="40">
        <v>0</v>
      </c>
      <c r="D120" s="29">
        <v>0</v>
      </c>
      <c r="E120" s="41">
        <f>'1 ubicaciones'!D5</f>
        <v>-12.064364599999999</v>
      </c>
      <c r="F120" s="41">
        <f>'1 ubicaciones'!E5</f>
        <v>-76.960468000000006</v>
      </c>
      <c r="G120" s="41">
        <f>'1 ubicaciones'!D5</f>
        <v>-12.064364599999999</v>
      </c>
      <c r="H120" s="41">
        <f>'1 ubicaciones'!E5</f>
        <v>-76.960468000000006</v>
      </c>
      <c r="I120" s="41">
        <f>'1 ubicaciones'!D5</f>
        <v>-12.064364599999999</v>
      </c>
      <c r="J120" s="41">
        <f>'1 ubicaciones'!E5</f>
        <v>-76.960468000000006</v>
      </c>
    </row>
    <row r="121" spans="1:10" x14ac:dyDescent="0.25">
      <c r="A121" s="15" t="s">
        <v>4296</v>
      </c>
      <c r="B121" s="15" t="s">
        <v>4297</v>
      </c>
      <c r="C121" s="42">
        <v>5.9720000000000004</v>
      </c>
      <c r="D121" s="25">
        <v>1.1805555555555555E-2</v>
      </c>
      <c r="E121" s="43">
        <v>-12.07985</v>
      </c>
      <c r="F121" s="43">
        <v>-77.042604999999995</v>
      </c>
      <c r="G121" s="43">
        <v>-12.079810999999999</v>
      </c>
      <c r="H121" s="43">
        <v>-77.036192999999997</v>
      </c>
      <c r="I121" s="43">
        <v>-12.074662</v>
      </c>
      <c r="J121" s="43">
        <v>-77.022710000000004</v>
      </c>
    </row>
    <row r="122" spans="1:10" x14ac:dyDescent="0.25">
      <c r="A122" s="15" t="s">
        <v>4296</v>
      </c>
      <c r="B122" s="15" t="s">
        <v>4298</v>
      </c>
      <c r="C122" s="40">
        <v>8.4269999999999996</v>
      </c>
      <c r="D122" s="29">
        <v>1.3194444444444444E-2</v>
      </c>
      <c r="E122" s="41">
        <v>-12.080140999999999</v>
      </c>
      <c r="F122" s="41">
        <v>-77.038284000000004</v>
      </c>
      <c r="G122" s="41">
        <v>-12.082487</v>
      </c>
      <c r="H122" s="41">
        <v>-77.026685000000001</v>
      </c>
      <c r="I122" s="41">
        <v>-12.105594999999999</v>
      </c>
      <c r="J122" s="41">
        <v>-77.027480999999995</v>
      </c>
    </row>
    <row r="123" spans="1:10" x14ac:dyDescent="0.25">
      <c r="A123" s="15" t="s">
        <v>4296</v>
      </c>
      <c r="B123" s="15" t="s">
        <v>4299</v>
      </c>
      <c r="C123" s="42">
        <v>8.5820000000000007</v>
      </c>
      <c r="D123" s="25">
        <v>1.3888888888888888E-2</v>
      </c>
      <c r="E123" s="43">
        <v>-12.079810999999999</v>
      </c>
      <c r="F123" s="43">
        <v>-77.036192999999997</v>
      </c>
      <c r="G123" s="43">
        <v>-12.091074000000001</v>
      </c>
      <c r="H123" s="43">
        <v>-77.022919000000002</v>
      </c>
      <c r="I123" s="43">
        <v>-12.111587999999999</v>
      </c>
      <c r="J123" s="43">
        <v>-77.026289000000006</v>
      </c>
    </row>
    <row r="124" spans="1:10" x14ac:dyDescent="0.25">
      <c r="A124" s="15" t="s">
        <v>4296</v>
      </c>
      <c r="B124" s="15" t="s">
        <v>4300</v>
      </c>
      <c r="C124" s="40">
        <v>12.162000000000001</v>
      </c>
      <c r="D124" s="29">
        <v>1.5972222222222221E-2</v>
      </c>
      <c r="E124" s="41">
        <v>-12.077116</v>
      </c>
      <c r="F124" s="41">
        <v>-77.029200000000003</v>
      </c>
      <c r="G124" s="41">
        <v>-12.091267999999999</v>
      </c>
      <c r="H124" s="41">
        <v>-77.023652999999996</v>
      </c>
      <c r="I124" s="41">
        <v>-12.086126999999999</v>
      </c>
      <c r="J124" s="41">
        <v>-76.984513000000007</v>
      </c>
    </row>
    <row r="125" spans="1:10" x14ac:dyDescent="0.25">
      <c r="A125" s="15" t="s">
        <v>4296</v>
      </c>
      <c r="B125" s="15" t="s">
        <v>4301</v>
      </c>
      <c r="C125" s="42">
        <v>20.300999999999998</v>
      </c>
      <c r="D125" s="25">
        <v>2.4305555555555556E-2</v>
      </c>
      <c r="E125" s="43">
        <v>-12.059982</v>
      </c>
      <c r="F125" s="43">
        <v>-77.041065000000003</v>
      </c>
      <c r="G125" s="43">
        <v>-12.036379999999999</v>
      </c>
      <c r="H125" s="43">
        <v>-77.042231999999998</v>
      </c>
      <c r="I125" s="43">
        <v>-12.029108000000001</v>
      </c>
      <c r="J125" s="43">
        <v>-77.057633999999993</v>
      </c>
    </row>
    <row r="126" spans="1:10" x14ac:dyDescent="0.25">
      <c r="A126" s="15" t="s">
        <v>4296</v>
      </c>
      <c r="B126" s="15" t="s">
        <v>4302</v>
      </c>
      <c r="C126" s="40">
        <v>8.2059999999999995</v>
      </c>
      <c r="D126" s="29">
        <v>1.4583333333333334E-2</v>
      </c>
      <c r="E126" s="41">
        <v>-12.080140999999999</v>
      </c>
      <c r="F126" s="41">
        <v>-77.038284000000004</v>
      </c>
      <c r="G126" s="41">
        <v>-12.082487</v>
      </c>
      <c r="H126" s="41">
        <v>-77.026685000000001</v>
      </c>
      <c r="I126" s="41">
        <v>-12.091267999999999</v>
      </c>
      <c r="J126" s="41">
        <v>-77.023652999999996</v>
      </c>
    </row>
    <row r="127" spans="1:10" x14ac:dyDescent="0.25">
      <c r="A127" s="15" t="s">
        <v>4296</v>
      </c>
      <c r="B127" s="15" t="s">
        <v>4303</v>
      </c>
      <c r="C127" s="42">
        <v>5.7110000000000003</v>
      </c>
      <c r="D127" s="25">
        <v>1.1805555555555555E-2</v>
      </c>
      <c r="E127" s="43">
        <v>-12.07985</v>
      </c>
      <c r="F127" s="43">
        <v>-77.042604999999995</v>
      </c>
      <c r="G127" s="43">
        <v>-12.079810999999999</v>
      </c>
      <c r="H127" s="43">
        <v>-77.036192999999997</v>
      </c>
      <c r="I127" s="43">
        <v>-12.074662</v>
      </c>
      <c r="J127" s="43">
        <v>-77.022710000000004</v>
      </c>
    </row>
    <row r="128" spans="1:10" x14ac:dyDescent="0.25">
      <c r="A128" s="15" t="s">
        <v>4296</v>
      </c>
      <c r="B128" s="15" t="s">
        <v>4304</v>
      </c>
      <c r="C128" s="40">
        <v>5.444</v>
      </c>
      <c r="D128" s="29">
        <v>1.1111111111111112E-2</v>
      </c>
      <c r="E128" s="41">
        <v>-12.07985</v>
      </c>
      <c r="F128" s="41">
        <v>-77.042604999999995</v>
      </c>
      <c r="G128" s="41">
        <v>-12.079810999999999</v>
      </c>
      <c r="H128" s="41">
        <v>-77.036192999999997</v>
      </c>
      <c r="I128" s="41">
        <v>-12.074662</v>
      </c>
      <c r="J128" s="41">
        <v>-77.022710000000004</v>
      </c>
    </row>
    <row r="129" spans="1:10" x14ac:dyDescent="0.25">
      <c r="A129" s="15" t="s">
        <v>4296</v>
      </c>
      <c r="B129" s="15" t="s">
        <v>4269</v>
      </c>
      <c r="C129" s="42">
        <v>4.4089999999999998</v>
      </c>
      <c r="D129" s="25">
        <v>9.7222222222222224E-3</v>
      </c>
      <c r="E129" s="43">
        <v>-12.078224000000001</v>
      </c>
      <c r="F129" s="43">
        <v>-77.053938000000002</v>
      </c>
      <c r="G129" s="43">
        <v>-12.078659999999999</v>
      </c>
      <c r="H129" s="43">
        <v>-77.056904000000003</v>
      </c>
      <c r="I129" s="43">
        <v>-12.091358</v>
      </c>
      <c r="J129" s="43">
        <v>-77.076713999999996</v>
      </c>
    </row>
    <row r="130" spans="1:10" x14ac:dyDescent="0.25">
      <c r="A130" s="15" t="s">
        <v>4296</v>
      </c>
      <c r="B130" s="15" t="s">
        <v>4305</v>
      </c>
      <c r="C130" s="40">
        <v>2.879</v>
      </c>
      <c r="D130" s="29">
        <v>6.9444444444444441E-3</v>
      </c>
      <c r="E130" s="41">
        <v>-12.074119</v>
      </c>
      <c r="F130" s="41">
        <v>-77.052965999999998</v>
      </c>
      <c r="G130" s="41">
        <v>-12.062006999999999</v>
      </c>
      <c r="H130" s="41">
        <v>-77.048133000000007</v>
      </c>
      <c r="I130" s="41">
        <v>-12.059067000000001</v>
      </c>
      <c r="J130" s="41">
        <v>-77.045561000000006</v>
      </c>
    </row>
    <row r="131" spans="1:10" x14ac:dyDescent="0.25">
      <c r="A131" s="15" t="s">
        <v>4296</v>
      </c>
      <c r="B131" s="15" t="s">
        <v>4306</v>
      </c>
      <c r="C131" s="42">
        <v>14.82</v>
      </c>
      <c r="D131" s="25">
        <v>1.6666666666666666E-2</v>
      </c>
      <c r="E131" s="43">
        <v>-12.077116</v>
      </c>
      <c r="F131" s="43">
        <v>-77.029200000000003</v>
      </c>
      <c r="G131" s="43">
        <v>-12.091267999999999</v>
      </c>
      <c r="H131" s="43">
        <v>-77.023652999999996</v>
      </c>
      <c r="I131" s="43">
        <v>-12.086126999999999</v>
      </c>
      <c r="J131" s="43">
        <v>-76.984513000000007</v>
      </c>
    </row>
    <row r="132" spans="1:10" x14ac:dyDescent="0.25">
      <c r="A132" s="15" t="s">
        <v>4296</v>
      </c>
      <c r="B132" s="15" t="s">
        <v>4277</v>
      </c>
      <c r="C132" s="40">
        <v>3.1179999999999999</v>
      </c>
      <c r="D132" s="29">
        <v>7.6388888888888886E-3</v>
      </c>
      <c r="E132" s="41">
        <v>-12.079359999999999</v>
      </c>
      <c r="F132" s="41">
        <v>-77.047689000000005</v>
      </c>
      <c r="G132" s="41">
        <v>-12.082513000000001</v>
      </c>
      <c r="H132" s="41">
        <v>-77.045939000000004</v>
      </c>
      <c r="I132" s="41">
        <v>-12.085260999999999</v>
      </c>
      <c r="J132" s="41">
        <v>-77.048755</v>
      </c>
    </row>
    <row r="133" spans="1:10" x14ac:dyDescent="0.25">
      <c r="A133" s="15" t="s">
        <v>4296</v>
      </c>
      <c r="B133" s="15" t="s">
        <v>4307</v>
      </c>
      <c r="C133" s="42">
        <v>17.823</v>
      </c>
      <c r="D133" s="25">
        <v>2.0833333333333332E-2</v>
      </c>
      <c r="E133" s="43">
        <v>-12.08808</v>
      </c>
      <c r="F133" s="43">
        <v>-77.024433000000002</v>
      </c>
      <c r="G133" s="43">
        <v>-12.086</v>
      </c>
      <c r="H133" s="43">
        <v>-76.987904999999998</v>
      </c>
      <c r="I133" s="43">
        <v>-12.066178000000001</v>
      </c>
      <c r="J133" s="43">
        <v>-76.971248000000003</v>
      </c>
    </row>
    <row r="134" spans="1:10" x14ac:dyDescent="0.25">
      <c r="A134" s="15" t="s">
        <v>4296</v>
      </c>
      <c r="B134" s="15" t="s">
        <v>4308</v>
      </c>
      <c r="C134" s="40">
        <v>5.6</v>
      </c>
      <c r="D134" s="29">
        <v>1.1111111111111112E-2</v>
      </c>
      <c r="E134" s="41">
        <v>-12.078628</v>
      </c>
      <c r="F134" s="41">
        <v>-77.056706000000005</v>
      </c>
      <c r="G134" s="41">
        <v>-12.084512</v>
      </c>
      <c r="H134" s="41">
        <v>-77.064483999999993</v>
      </c>
      <c r="I134" s="41">
        <v>-12.078177</v>
      </c>
      <c r="J134" s="41">
        <v>-77.081005000000005</v>
      </c>
    </row>
    <row r="135" spans="1:10" x14ac:dyDescent="0.25">
      <c r="A135" s="15" t="s">
        <v>4296</v>
      </c>
      <c r="B135" s="15" t="s">
        <v>4309</v>
      </c>
      <c r="C135" s="42">
        <v>3.9969999999999999</v>
      </c>
      <c r="D135" s="25">
        <v>8.3333333333333332E-3</v>
      </c>
      <c r="E135" s="43">
        <v>-12.079255</v>
      </c>
      <c r="F135" s="43">
        <v>-77.048638999999994</v>
      </c>
      <c r="G135" s="43">
        <v>-12.079682999999999</v>
      </c>
      <c r="H135" s="43">
        <v>-77.042288999999997</v>
      </c>
      <c r="I135" s="43">
        <v>-12.079810999999999</v>
      </c>
      <c r="J135" s="43">
        <v>-77.036192999999997</v>
      </c>
    </row>
    <row r="136" spans="1:10" x14ac:dyDescent="0.25">
      <c r="A136" s="15" t="s">
        <v>4296</v>
      </c>
      <c r="B136" s="15" t="s">
        <v>4278</v>
      </c>
      <c r="C136" s="40">
        <v>11.85</v>
      </c>
      <c r="D136" s="29">
        <v>1.8749999999999999E-2</v>
      </c>
      <c r="E136" s="41">
        <v>-12.059704999999999</v>
      </c>
      <c r="F136" s="41">
        <v>-77.041415999999998</v>
      </c>
      <c r="G136" s="41">
        <v>-12.036635</v>
      </c>
      <c r="H136" s="41">
        <v>-77.042507000000001</v>
      </c>
      <c r="I136" s="41">
        <v>-12.013341</v>
      </c>
      <c r="J136" s="41">
        <v>-77.060385999999994</v>
      </c>
    </row>
    <row r="137" spans="1:10" x14ac:dyDescent="0.25">
      <c r="A137" s="15" t="s">
        <v>4296</v>
      </c>
      <c r="B137" s="15" t="s">
        <v>4310</v>
      </c>
      <c r="C137" s="42">
        <v>11.326000000000001</v>
      </c>
      <c r="D137" s="25">
        <v>1.8055555555555554E-2</v>
      </c>
      <c r="E137" s="43">
        <v>-12.040622000000001</v>
      </c>
      <c r="F137" s="43">
        <v>-77.043195999999995</v>
      </c>
      <c r="G137" s="43">
        <v>-12.043507999999999</v>
      </c>
      <c r="H137" s="43">
        <v>-77.021473</v>
      </c>
      <c r="I137" s="43">
        <v>-12.032971999999999</v>
      </c>
      <c r="J137" s="43">
        <v>-77.007008999999996</v>
      </c>
    </row>
    <row r="138" spans="1:10" x14ac:dyDescent="0.25">
      <c r="A138" s="15" t="s">
        <v>4296</v>
      </c>
      <c r="B138" s="15" t="s">
        <v>4311</v>
      </c>
      <c r="C138" s="40">
        <v>2.3879999999999999</v>
      </c>
      <c r="D138" s="29">
        <v>6.2500000000000003E-3</v>
      </c>
      <c r="E138" s="41">
        <v>-12.077170000000001</v>
      </c>
      <c r="F138" s="41">
        <v>-77.051169999999999</v>
      </c>
      <c r="G138" s="41">
        <v>-12.073798</v>
      </c>
      <c r="H138" s="41">
        <v>-77.047202999999996</v>
      </c>
      <c r="I138" s="41">
        <v>-12.072412999999999</v>
      </c>
      <c r="J138" s="41">
        <v>-77.039394000000001</v>
      </c>
    </row>
    <row r="139" spans="1:10" x14ac:dyDescent="0.25">
      <c r="A139" s="15" t="s">
        <v>4296</v>
      </c>
      <c r="B139" s="15" t="s">
        <v>4312</v>
      </c>
      <c r="C139" s="42">
        <v>5.7039999999999997</v>
      </c>
      <c r="D139" s="25">
        <v>1.1111111111111112E-2</v>
      </c>
      <c r="E139" s="43">
        <v>-12.07985</v>
      </c>
      <c r="F139" s="43">
        <v>-77.042604999999995</v>
      </c>
      <c r="G139" s="43">
        <v>-12.079810999999999</v>
      </c>
      <c r="H139" s="43">
        <v>-77.036192999999997</v>
      </c>
      <c r="I139" s="43">
        <v>-12.074662</v>
      </c>
      <c r="J139" s="43">
        <v>-77.022710000000004</v>
      </c>
    </row>
    <row r="140" spans="1:10" x14ac:dyDescent="0.25">
      <c r="A140" s="15" t="s">
        <v>4296</v>
      </c>
      <c r="B140" s="15" t="s">
        <v>4313</v>
      </c>
      <c r="C140" s="40">
        <v>0.84299999999999997</v>
      </c>
      <c r="D140" s="29">
        <v>2.0833333333333333E-3</v>
      </c>
      <c r="E140" s="41">
        <v>-12.074794000000001</v>
      </c>
      <c r="F140" s="41">
        <v>-77.050493000000003</v>
      </c>
      <c r="G140" s="41">
        <v>-12.076560000000001</v>
      </c>
      <c r="H140" s="41">
        <v>-77.051940000000002</v>
      </c>
      <c r="I140" s="41">
        <v>-12.076753</v>
      </c>
      <c r="J140" s="41">
        <v>-77.051697000000004</v>
      </c>
    </row>
    <row r="141" spans="1:10" x14ac:dyDescent="0.25">
      <c r="A141" s="15" t="s">
        <v>4296</v>
      </c>
      <c r="B141" s="15" t="s">
        <v>4314</v>
      </c>
      <c r="C141" s="42">
        <v>4.46</v>
      </c>
      <c r="D141" s="25">
        <v>9.0277777777777769E-3</v>
      </c>
      <c r="E141" s="43">
        <v>-12.078609999999999</v>
      </c>
      <c r="F141" s="43">
        <v>-77.056595999999999</v>
      </c>
      <c r="G141" s="43">
        <v>-12.085626</v>
      </c>
      <c r="H141" s="43">
        <v>-77.063993999999994</v>
      </c>
      <c r="I141" s="43">
        <v>-12.083834</v>
      </c>
      <c r="J141" s="43">
        <v>-77.065061999999998</v>
      </c>
    </row>
    <row r="142" spans="1:10" x14ac:dyDescent="0.25">
      <c r="A142" s="15" t="s">
        <v>4296</v>
      </c>
      <c r="B142" s="15" t="s">
        <v>4315</v>
      </c>
      <c r="C142" s="40">
        <v>13.369</v>
      </c>
      <c r="D142" s="29">
        <v>1.7361111111111112E-2</v>
      </c>
      <c r="E142" s="41">
        <v>-12.077133999999999</v>
      </c>
      <c r="F142" s="41">
        <v>-77.029168999999996</v>
      </c>
      <c r="G142" s="41">
        <v>-12.091010000000001</v>
      </c>
      <c r="H142" s="41">
        <v>-77.023359999999997</v>
      </c>
      <c r="I142" s="41">
        <v>-12.08907</v>
      </c>
      <c r="J142" s="41">
        <v>-76.981326999999993</v>
      </c>
    </row>
    <row r="143" spans="1:10" x14ac:dyDescent="0.25">
      <c r="A143" s="15" t="s">
        <v>4296</v>
      </c>
      <c r="B143" s="15" t="s">
        <v>4316</v>
      </c>
      <c r="C143" s="42">
        <v>3.2450000000000001</v>
      </c>
      <c r="D143" s="25">
        <v>7.6388888888888886E-3</v>
      </c>
      <c r="E143" s="43">
        <v>-12.081784000000001</v>
      </c>
      <c r="F143" s="43">
        <v>-77.053899999999999</v>
      </c>
      <c r="G143" s="43">
        <v>-12.087002999999999</v>
      </c>
      <c r="H143" s="43">
        <v>-77.056230999999997</v>
      </c>
      <c r="I143" s="43">
        <v>-12.089957</v>
      </c>
      <c r="J143" s="43">
        <v>-77.057726000000002</v>
      </c>
    </row>
    <row r="144" spans="1:10" x14ac:dyDescent="0.25">
      <c r="A144" s="15" t="s">
        <v>4296</v>
      </c>
      <c r="B144" s="15" t="s">
        <v>4317</v>
      </c>
      <c r="C144" s="40">
        <v>20.106000000000002</v>
      </c>
      <c r="D144" s="29">
        <v>2.2222222222222223E-2</v>
      </c>
      <c r="E144" s="41">
        <v>-12.081099</v>
      </c>
      <c r="F144" s="41">
        <v>-77.027244999999994</v>
      </c>
      <c r="G144" s="41">
        <v>-12.086795</v>
      </c>
      <c r="H144" s="41">
        <v>-76.997088000000005</v>
      </c>
      <c r="I144" s="41">
        <v>-12.146687</v>
      </c>
      <c r="J144" s="41">
        <v>-76.982330000000005</v>
      </c>
    </row>
    <row r="145" spans="1:10" x14ac:dyDescent="0.25">
      <c r="A145" s="15" t="s">
        <v>4296</v>
      </c>
      <c r="B145" s="15" t="s">
        <v>4318</v>
      </c>
      <c r="C145" s="42">
        <v>6.9329999999999998</v>
      </c>
      <c r="D145" s="25">
        <v>1.1111111111111112E-2</v>
      </c>
      <c r="E145" s="43">
        <v>-12.080164</v>
      </c>
      <c r="F145" s="43">
        <v>-77.038584999999998</v>
      </c>
      <c r="G145" s="43">
        <v>-12.079205999999999</v>
      </c>
      <c r="H145" s="43">
        <v>-77.028182000000001</v>
      </c>
      <c r="I145" s="43">
        <v>-12.092001</v>
      </c>
      <c r="J145" s="43">
        <v>-77.023199000000005</v>
      </c>
    </row>
    <row r="146" spans="1:10" x14ac:dyDescent="0.25">
      <c r="A146" s="15" t="s">
        <v>4296</v>
      </c>
      <c r="B146" s="15" t="s">
        <v>4319</v>
      </c>
      <c r="C146" s="40">
        <v>9.6509999999999998</v>
      </c>
      <c r="D146" s="29">
        <v>1.5277777777777777E-2</v>
      </c>
      <c r="E146" s="41">
        <v>-12.079829999999999</v>
      </c>
      <c r="F146" s="41">
        <v>-77.036323999999993</v>
      </c>
      <c r="G146" s="41">
        <v>-12.088837</v>
      </c>
      <c r="H146" s="41">
        <v>-77.024019999999993</v>
      </c>
      <c r="I146" s="41">
        <v>-12.090745999999999</v>
      </c>
      <c r="J146" s="41">
        <v>-77.021360999999999</v>
      </c>
    </row>
    <row r="147" spans="1:10" x14ac:dyDescent="0.25">
      <c r="A147" s="15" t="s">
        <v>4296</v>
      </c>
      <c r="B147" s="15" t="s">
        <v>4279</v>
      </c>
      <c r="C147" s="42">
        <v>7.758</v>
      </c>
      <c r="D147" s="25">
        <v>1.4583333333333334E-2</v>
      </c>
      <c r="E147" s="43">
        <v>-12.07267</v>
      </c>
      <c r="F147" s="43">
        <v>-77.056832</v>
      </c>
      <c r="G147" s="43">
        <v>-12.066815</v>
      </c>
      <c r="H147" s="43">
        <v>-77.061002999999999</v>
      </c>
      <c r="I147" s="43">
        <v>-12.065899</v>
      </c>
      <c r="J147" s="43">
        <v>-77.077866</v>
      </c>
    </row>
    <row r="148" spans="1:10" x14ac:dyDescent="0.25">
      <c r="A148" s="15" t="s">
        <v>4296</v>
      </c>
      <c r="B148" s="15" t="s">
        <v>4320</v>
      </c>
      <c r="C148" s="40">
        <v>13.763</v>
      </c>
      <c r="D148" s="29">
        <v>1.7361111111111112E-2</v>
      </c>
      <c r="E148" s="41">
        <v>-12.081099</v>
      </c>
      <c r="F148" s="41">
        <v>-77.027244999999994</v>
      </c>
      <c r="G148" s="41">
        <v>-12.086795</v>
      </c>
      <c r="H148" s="41">
        <v>-76.997088000000005</v>
      </c>
      <c r="I148" s="41">
        <v>-12.080475</v>
      </c>
      <c r="J148" s="41">
        <v>-76.977480999999997</v>
      </c>
    </row>
    <row r="149" spans="1:10" x14ac:dyDescent="0.25">
      <c r="A149" s="15" t="s">
        <v>4296</v>
      </c>
      <c r="B149" s="15" t="s">
        <v>4321</v>
      </c>
      <c r="C149" s="42">
        <v>26.193000000000001</v>
      </c>
      <c r="D149" s="25">
        <v>3.2638888888888891E-2</v>
      </c>
      <c r="E149" s="43">
        <v>-12.036113</v>
      </c>
      <c r="F149" s="43">
        <v>-77.043541000000005</v>
      </c>
      <c r="G149" s="43">
        <v>-12.031901</v>
      </c>
      <c r="H149" s="43">
        <v>-77.055516999999995</v>
      </c>
      <c r="I149" s="43">
        <v>-11.913296000000001</v>
      </c>
      <c r="J149" s="43">
        <v>-77.073598000000004</v>
      </c>
    </row>
    <row r="150" spans="1:10" x14ac:dyDescent="0.25">
      <c r="A150" s="15" t="s">
        <v>4296</v>
      </c>
      <c r="B150" s="15" t="s">
        <v>4322</v>
      </c>
      <c r="C150" s="40">
        <v>17.25</v>
      </c>
      <c r="D150" s="29">
        <v>2.1527777777777778E-2</v>
      </c>
      <c r="E150" s="41">
        <v>-12.088837</v>
      </c>
      <c r="F150" s="41">
        <v>-77.024019999999993</v>
      </c>
      <c r="G150" s="41">
        <v>-12.134126999999999</v>
      </c>
      <c r="H150" s="41">
        <v>-77.021338999999998</v>
      </c>
      <c r="I150" s="41">
        <v>-12.161678</v>
      </c>
      <c r="J150" s="41">
        <v>-77.025835999999998</v>
      </c>
    </row>
    <row r="151" spans="1:10" x14ac:dyDescent="0.25">
      <c r="A151" s="15" t="s">
        <v>4296</v>
      </c>
      <c r="B151" s="15" t="s">
        <v>4323</v>
      </c>
      <c r="C151" s="42">
        <v>17.760000000000002</v>
      </c>
      <c r="D151" s="25">
        <v>2.2916666666666665E-2</v>
      </c>
      <c r="E151" s="43">
        <v>-12.088837</v>
      </c>
      <c r="F151" s="43">
        <v>-77.024019999999993</v>
      </c>
      <c r="G151" s="43">
        <v>-12.134126999999999</v>
      </c>
      <c r="H151" s="43">
        <v>-77.021338999999998</v>
      </c>
      <c r="I151" s="43">
        <v>-12.161678</v>
      </c>
      <c r="J151" s="43">
        <v>-77.025835999999998</v>
      </c>
    </row>
    <row r="152" spans="1:10" x14ac:dyDescent="0.25">
      <c r="A152" s="15" t="s">
        <v>4296</v>
      </c>
      <c r="B152" s="15" t="s">
        <v>4324</v>
      </c>
      <c r="C152" s="40">
        <v>1.956</v>
      </c>
      <c r="D152" s="29">
        <v>4.8611111111111112E-3</v>
      </c>
      <c r="E152" s="41">
        <v>-12.078224000000001</v>
      </c>
      <c r="F152" s="41">
        <v>-77.053938000000002</v>
      </c>
      <c r="G152" s="41">
        <v>-12.078642</v>
      </c>
      <c r="H152" s="41">
        <v>-77.056788999999995</v>
      </c>
      <c r="I152" s="41">
        <v>-12.080444</v>
      </c>
      <c r="J152" s="41">
        <v>-77.058479000000005</v>
      </c>
    </row>
    <row r="153" spans="1:10" x14ac:dyDescent="0.25">
      <c r="A153" s="15" t="s">
        <v>4296</v>
      </c>
      <c r="B153" s="15" t="s">
        <v>4325</v>
      </c>
      <c r="C153" s="42">
        <v>20.346</v>
      </c>
      <c r="D153" s="25">
        <v>2.7083333333333334E-2</v>
      </c>
      <c r="E153" s="43">
        <v>-12.091184999999999</v>
      </c>
      <c r="F153" s="43">
        <v>-77.022919000000002</v>
      </c>
      <c r="G153" s="43">
        <v>-12.08907</v>
      </c>
      <c r="H153" s="43">
        <v>-76.981326999999993</v>
      </c>
      <c r="I153" s="43">
        <v>-12.143452999999999</v>
      </c>
      <c r="J153" s="43">
        <v>-76.964398000000003</v>
      </c>
    </row>
    <row r="154" spans="1:10" x14ac:dyDescent="0.25">
      <c r="A154" s="15" t="s">
        <v>4296</v>
      </c>
      <c r="B154" s="15" t="s">
        <v>4268</v>
      </c>
      <c r="C154" s="40">
        <v>10.787000000000001</v>
      </c>
      <c r="D154" s="29">
        <v>1.6666666666666666E-2</v>
      </c>
      <c r="E154" s="41">
        <v>-12.040622000000001</v>
      </c>
      <c r="F154" s="41">
        <v>-77.043195999999995</v>
      </c>
      <c r="G154" s="41">
        <v>-12.043507999999999</v>
      </c>
      <c r="H154" s="41">
        <v>-77.021473</v>
      </c>
      <c r="I154" s="41">
        <v>-12.032971999999999</v>
      </c>
      <c r="J154" s="41">
        <v>-77.007008999999996</v>
      </c>
    </row>
    <row r="155" spans="1:10" x14ac:dyDescent="0.25">
      <c r="A155" s="15" t="s">
        <v>4297</v>
      </c>
      <c r="B155" s="15" t="s">
        <v>4267</v>
      </c>
      <c r="C155" s="42">
        <v>4.343</v>
      </c>
      <c r="D155" s="25">
        <v>1.0416666666666666E-2</v>
      </c>
      <c r="E155" s="43">
        <v>-12.058837</v>
      </c>
      <c r="F155" s="43">
        <v>-77.016594999999995</v>
      </c>
      <c r="G155" s="43">
        <v>-12.058225</v>
      </c>
      <c r="H155" s="43">
        <v>-77.024417</v>
      </c>
      <c r="I155" s="43">
        <v>-12.050079999999999</v>
      </c>
      <c r="J155" s="43">
        <v>-77.031356000000002</v>
      </c>
    </row>
    <row r="156" spans="1:10" x14ac:dyDescent="0.25">
      <c r="A156" s="15" t="s">
        <v>4297</v>
      </c>
      <c r="B156" s="15" t="s">
        <v>4280</v>
      </c>
      <c r="C156" s="40">
        <v>16.523</v>
      </c>
      <c r="D156" s="29">
        <v>1.7361111111111112E-2</v>
      </c>
      <c r="E156" s="41">
        <v>-12.091638</v>
      </c>
      <c r="F156" s="41">
        <v>-77.022938999999994</v>
      </c>
      <c r="G156" s="41">
        <v>-12.135697</v>
      </c>
      <c r="H156" s="41">
        <v>-77.024041999999994</v>
      </c>
      <c r="I156" s="41">
        <v>-12.162088000000001</v>
      </c>
      <c r="J156" s="41">
        <v>-77.025544999999994</v>
      </c>
    </row>
    <row r="157" spans="1:10" x14ac:dyDescent="0.25">
      <c r="A157" s="15" t="s">
        <v>4297</v>
      </c>
      <c r="B157" s="15" t="s">
        <v>4281</v>
      </c>
      <c r="C157" s="42">
        <v>11.352</v>
      </c>
      <c r="D157" s="25">
        <v>1.5277777777777777E-2</v>
      </c>
      <c r="E157" s="43">
        <v>-12.081253</v>
      </c>
      <c r="F157" s="43">
        <v>-77.005616000000003</v>
      </c>
      <c r="G157" s="43">
        <v>-12.086880000000001</v>
      </c>
      <c r="H157" s="43">
        <v>-76.994710999999995</v>
      </c>
      <c r="I157" s="43">
        <v>-12.074628000000001</v>
      </c>
      <c r="J157" s="43">
        <v>-76.96266</v>
      </c>
    </row>
    <row r="158" spans="1:10" x14ac:dyDescent="0.25">
      <c r="A158" s="15" t="s">
        <v>4297</v>
      </c>
      <c r="B158" s="15" t="s">
        <v>4296</v>
      </c>
      <c r="C158" s="40">
        <v>5.7229999999999999</v>
      </c>
      <c r="D158" s="29">
        <v>1.1111111111111112E-2</v>
      </c>
      <c r="E158" s="41">
        <v>-12.074436</v>
      </c>
      <c r="F158" s="41">
        <v>-77.022589999999994</v>
      </c>
      <c r="G158" s="41">
        <v>-12.076796999999999</v>
      </c>
      <c r="H158" s="41">
        <v>-77.034464999999997</v>
      </c>
      <c r="I158" s="41">
        <v>-12.074831</v>
      </c>
      <c r="J158" s="41">
        <v>-77.042978000000005</v>
      </c>
    </row>
    <row r="159" spans="1:10" x14ac:dyDescent="0.25">
      <c r="A159" s="15" t="s">
        <v>4297</v>
      </c>
      <c r="B159" s="15" t="s">
        <v>4297</v>
      </c>
      <c r="C159" s="42">
        <v>0</v>
      </c>
      <c r="D159" s="25">
        <v>0</v>
      </c>
      <c r="E159" s="43">
        <f>'1 ubicaciones'!D6</f>
        <v>-11.9711029</v>
      </c>
      <c r="F159" s="43">
        <f>'1 ubicaciones'!E6</f>
        <v>-76.753427500000001</v>
      </c>
      <c r="G159" s="43">
        <f>'1 ubicaciones'!D6</f>
        <v>-11.9711029</v>
      </c>
      <c r="H159" s="43">
        <f>'1 ubicaciones'!E6</f>
        <v>-76.753427500000001</v>
      </c>
      <c r="I159" s="43">
        <f>'1 ubicaciones'!D6</f>
        <v>-11.9711029</v>
      </c>
      <c r="J159" s="43">
        <f>'1 ubicaciones'!E6</f>
        <v>-76.753427500000001</v>
      </c>
    </row>
    <row r="160" spans="1:10" x14ac:dyDescent="0.25">
      <c r="A160" s="15" t="s">
        <v>4297</v>
      </c>
      <c r="B160" s="15" t="s">
        <v>4298</v>
      </c>
      <c r="C160" s="40">
        <v>8.66</v>
      </c>
      <c r="D160" s="29">
        <v>1.0416666666666666E-2</v>
      </c>
      <c r="E160" s="41">
        <v>-12.076866000000001</v>
      </c>
      <c r="F160" s="41">
        <v>-77.029426999999998</v>
      </c>
      <c r="G160" s="41">
        <v>-12.090020000000001</v>
      </c>
      <c r="H160" s="41">
        <v>-77.023193000000006</v>
      </c>
      <c r="I160" s="41">
        <v>-12.109499</v>
      </c>
      <c r="J160" s="41">
        <v>-77.026428999999993</v>
      </c>
    </row>
    <row r="161" spans="1:10" x14ac:dyDescent="0.25">
      <c r="A161" s="15" t="s">
        <v>4297</v>
      </c>
      <c r="B161" s="15" t="s">
        <v>4299</v>
      </c>
      <c r="C161" s="42">
        <v>8.8149999999999995</v>
      </c>
      <c r="D161" s="25">
        <v>1.1111111111111112E-2</v>
      </c>
      <c r="E161" s="43">
        <v>-12.076841</v>
      </c>
      <c r="F161" s="43">
        <v>-77.029601</v>
      </c>
      <c r="G161" s="43">
        <v>-12.091753000000001</v>
      </c>
      <c r="H161" s="43">
        <v>-77.022953999999999</v>
      </c>
      <c r="I161" s="43">
        <v>-12.111587999999999</v>
      </c>
      <c r="J161" s="43">
        <v>-77.026289000000006</v>
      </c>
    </row>
    <row r="162" spans="1:10" x14ac:dyDescent="0.25">
      <c r="A162" s="15" t="s">
        <v>4297</v>
      </c>
      <c r="B162" s="15" t="s">
        <v>4300</v>
      </c>
      <c r="C162" s="40">
        <v>8.2200000000000006</v>
      </c>
      <c r="D162" s="29">
        <v>1.1111111111111112E-2</v>
      </c>
      <c r="E162" s="41">
        <v>-12.079706</v>
      </c>
      <c r="F162" s="41">
        <v>-77.009442000000007</v>
      </c>
      <c r="G162" s="41">
        <v>-12.087888</v>
      </c>
      <c r="H162" s="41">
        <v>-77.001266000000001</v>
      </c>
      <c r="I162" s="41">
        <v>-12.088449000000001</v>
      </c>
      <c r="J162" s="41">
        <v>-76.981604000000004</v>
      </c>
    </row>
    <row r="163" spans="1:10" x14ac:dyDescent="0.25">
      <c r="A163" s="15" t="s">
        <v>4297</v>
      </c>
      <c r="B163" s="15" t="s">
        <v>4301</v>
      </c>
      <c r="C163" s="42">
        <v>20.658000000000001</v>
      </c>
      <c r="D163" s="25">
        <v>2.0833333333333332E-2</v>
      </c>
      <c r="E163" s="43">
        <v>-12.043741000000001</v>
      </c>
      <c r="F163" s="43">
        <v>-77.019284999999996</v>
      </c>
      <c r="G163" s="43">
        <v>-12.043112000000001</v>
      </c>
      <c r="H163" s="43">
        <v>-77.02807</v>
      </c>
      <c r="I163" s="43">
        <v>-12.031428999999999</v>
      </c>
      <c r="J163" s="43">
        <v>-77.055999</v>
      </c>
    </row>
    <row r="164" spans="1:10" x14ac:dyDescent="0.25">
      <c r="A164" s="15" t="s">
        <v>4297</v>
      </c>
      <c r="B164" s="15" t="s">
        <v>4302</v>
      </c>
      <c r="C164" s="40">
        <v>4.2640000000000002</v>
      </c>
      <c r="D164" s="29">
        <v>7.6388888888888886E-3</v>
      </c>
      <c r="E164" s="41">
        <v>-12.077209999999999</v>
      </c>
      <c r="F164" s="41">
        <v>-77.010907000000003</v>
      </c>
      <c r="G164" s="41">
        <v>-12.078147</v>
      </c>
      <c r="H164" s="41">
        <v>-77.010727000000003</v>
      </c>
      <c r="I164" s="41">
        <v>-12.080859</v>
      </c>
      <c r="J164" s="41">
        <v>-77.006247000000002</v>
      </c>
    </row>
    <row r="165" spans="1:10" x14ac:dyDescent="0.25">
      <c r="A165" s="15" t="s">
        <v>4297</v>
      </c>
      <c r="B165" s="15" t="s">
        <v>4303</v>
      </c>
      <c r="C165" s="42">
        <v>0.29799999999999999</v>
      </c>
      <c r="D165" s="25">
        <v>6.9444444444444447E-4</v>
      </c>
      <c r="E165" s="43">
        <v>-12.063793</v>
      </c>
      <c r="F165" s="43">
        <v>-77.012927000000005</v>
      </c>
      <c r="G165" s="43">
        <v>-12.063777999999999</v>
      </c>
      <c r="H165" s="43">
        <v>-77.012815000000003</v>
      </c>
      <c r="I165" s="43">
        <v>-12.063763</v>
      </c>
      <c r="J165" s="43">
        <v>-77.012708000000003</v>
      </c>
    </row>
    <row r="166" spans="1:10" x14ac:dyDescent="0.25">
      <c r="A166" s="15" t="s">
        <v>4297</v>
      </c>
      <c r="B166" s="15" t="s">
        <v>4304</v>
      </c>
      <c r="C166" s="40">
        <v>0.75</v>
      </c>
      <c r="D166" s="29">
        <v>1.3888888888888889E-3</v>
      </c>
      <c r="E166" s="41">
        <v>-12.063793</v>
      </c>
      <c r="F166" s="41">
        <v>-77.012927000000005</v>
      </c>
      <c r="G166" s="41">
        <v>-12.063777999999999</v>
      </c>
      <c r="H166" s="41">
        <v>-77.012815000000003</v>
      </c>
      <c r="I166" s="41">
        <v>-12.063763</v>
      </c>
      <c r="J166" s="41">
        <v>-77.012708000000003</v>
      </c>
    </row>
    <row r="167" spans="1:10" x14ac:dyDescent="0.25">
      <c r="A167" s="15" t="s">
        <v>4297</v>
      </c>
      <c r="B167" s="15" t="s">
        <v>4269</v>
      </c>
      <c r="C167" s="42">
        <v>20.809000000000001</v>
      </c>
      <c r="D167" s="25">
        <v>1.8749999999999999E-2</v>
      </c>
      <c r="E167" s="43">
        <v>-12.113472</v>
      </c>
      <c r="F167" s="43">
        <v>-77.0261</v>
      </c>
      <c r="G167" s="43">
        <v>-12.131162</v>
      </c>
      <c r="H167" s="43">
        <v>-77.033193999999995</v>
      </c>
      <c r="I167" s="43">
        <v>-12.104105000000001</v>
      </c>
      <c r="J167" s="43">
        <v>-77.063557000000003</v>
      </c>
    </row>
    <row r="168" spans="1:10" x14ac:dyDescent="0.25">
      <c r="A168" s="15" t="s">
        <v>4297</v>
      </c>
      <c r="B168" s="15" t="s">
        <v>4305</v>
      </c>
      <c r="C168" s="40">
        <v>4.9960000000000004</v>
      </c>
      <c r="D168" s="29">
        <v>1.1111111111111112E-2</v>
      </c>
      <c r="E168" s="41">
        <v>-12.059535</v>
      </c>
      <c r="F168" s="41">
        <v>-77.035432</v>
      </c>
      <c r="G168" s="41">
        <v>-12.059704999999999</v>
      </c>
      <c r="H168" s="41">
        <v>-77.041415999999998</v>
      </c>
      <c r="I168" s="41">
        <v>-12.061277</v>
      </c>
      <c r="J168" s="41">
        <v>-77.045568000000003</v>
      </c>
    </row>
    <row r="169" spans="1:10" x14ac:dyDescent="0.25">
      <c r="A169" s="15" t="s">
        <v>4297</v>
      </c>
      <c r="B169" s="15" t="s">
        <v>4306</v>
      </c>
      <c r="C169" s="42">
        <v>10.878</v>
      </c>
      <c r="D169" s="25">
        <v>1.1805555555555555E-2</v>
      </c>
      <c r="E169" s="43">
        <v>-12.079706</v>
      </c>
      <c r="F169" s="43">
        <v>-77.009442000000007</v>
      </c>
      <c r="G169" s="43">
        <v>-12.087888</v>
      </c>
      <c r="H169" s="43">
        <v>-77.001266000000001</v>
      </c>
      <c r="I169" s="43">
        <v>-12.088449000000001</v>
      </c>
      <c r="J169" s="43">
        <v>-76.981604000000004</v>
      </c>
    </row>
    <row r="170" spans="1:10" x14ac:dyDescent="0.25">
      <c r="A170" s="15" t="s">
        <v>4297</v>
      </c>
      <c r="B170" s="15" t="s">
        <v>4277</v>
      </c>
      <c r="C170" s="40">
        <v>6.06</v>
      </c>
      <c r="D170" s="29">
        <v>8.3333333333333332E-3</v>
      </c>
      <c r="E170" s="41">
        <v>-12.077209999999999</v>
      </c>
      <c r="F170" s="41">
        <v>-77.010907000000003</v>
      </c>
      <c r="G170" s="41">
        <v>-12.087555999999999</v>
      </c>
      <c r="H170" s="41">
        <v>-77.016170000000002</v>
      </c>
      <c r="I170" s="41">
        <v>-12.090173</v>
      </c>
      <c r="J170" s="41">
        <v>-77.018933000000004</v>
      </c>
    </row>
    <row r="171" spans="1:10" x14ac:dyDescent="0.25">
      <c r="A171" s="15" t="s">
        <v>4297</v>
      </c>
      <c r="B171" s="15" t="s">
        <v>4307</v>
      </c>
      <c r="C171" s="42">
        <v>6.625</v>
      </c>
      <c r="D171" s="25">
        <v>1.2500000000000001E-2</v>
      </c>
      <c r="E171" s="43">
        <v>-12.060231999999999</v>
      </c>
      <c r="F171" s="43">
        <v>-77.007740999999996</v>
      </c>
      <c r="G171" s="43">
        <v>-12.042738999999999</v>
      </c>
      <c r="H171" s="43">
        <v>-76.997456</v>
      </c>
      <c r="I171" s="43">
        <v>-12.039835</v>
      </c>
      <c r="J171" s="43">
        <v>-76.989652000000007</v>
      </c>
    </row>
    <row r="172" spans="1:10" x14ac:dyDescent="0.25">
      <c r="A172" s="15" t="s">
        <v>4297</v>
      </c>
      <c r="B172" s="15" t="s">
        <v>4308</v>
      </c>
      <c r="C172" s="40">
        <v>12.023</v>
      </c>
      <c r="D172" s="29">
        <v>1.8749999999999999E-2</v>
      </c>
      <c r="E172" s="41">
        <v>-12.08074</v>
      </c>
      <c r="F172" s="41">
        <v>-77.012994000000006</v>
      </c>
      <c r="G172" s="41">
        <v>-12.094606000000001</v>
      </c>
      <c r="H172" s="41">
        <v>-77.050668000000002</v>
      </c>
      <c r="I172" s="41">
        <v>-12.083748999999999</v>
      </c>
      <c r="J172" s="41">
        <v>-77.065212000000002</v>
      </c>
    </row>
    <row r="173" spans="1:10" x14ac:dyDescent="0.25">
      <c r="A173" s="15" t="s">
        <v>4297</v>
      </c>
      <c r="B173" s="15" t="s">
        <v>4309</v>
      </c>
      <c r="C173" s="42">
        <v>2.4510000000000001</v>
      </c>
      <c r="D173" s="25">
        <v>4.1666666666666666E-3</v>
      </c>
      <c r="E173" s="43">
        <v>-12.063777999999999</v>
      </c>
      <c r="F173" s="43">
        <v>-77.012815000000003</v>
      </c>
      <c r="G173" s="43">
        <v>-12.065009</v>
      </c>
      <c r="H173" s="43">
        <v>-77.012545000000003</v>
      </c>
      <c r="I173" s="43">
        <v>-12.071991000000001</v>
      </c>
      <c r="J173" s="43">
        <v>-77.011763999999999</v>
      </c>
    </row>
    <row r="174" spans="1:10" x14ac:dyDescent="0.25">
      <c r="A174" s="15" t="s">
        <v>4297</v>
      </c>
      <c r="B174" s="15" t="s">
        <v>4278</v>
      </c>
      <c r="C174" s="40">
        <v>12.207000000000001</v>
      </c>
      <c r="D174" s="29">
        <v>1.4583333333333334E-2</v>
      </c>
      <c r="E174" s="41">
        <v>-12.042989</v>
      </c>
      <c r="F174" s="41">
        <v>-77.019486999999998</v>
      </c>
      <c r="G174" s="41">
        <v>-12.042907</v>
      </c>
      <c r="H174" s="41">
        <v>-77.029464000000004</v>
      </c>
      <c r="I174" s="41">
        <v>-12.028237000000001</v>
      </c>
      <c r="J174" s="41">
        <v>-77.057979000000003</v>
      </c>
    </row>
    <row r="175" spans="1:10" x14ac:dyDescent="0.25">
      <c r="A175" s="15" t="s">
        <v>4297</v>
      </c>
      <c r="B175" s="15" t="s">
        <v>4310</v>
      </c>
      <c r="C175" s="42">
        <v>6.5039999999999996</v>
      </c>
      <c r="D175" s="25">
        <v>1.1111111111111112E-2</v>
      </c>
      <c r="E175" s="43">
        <v>-12.051310000000001</v>
      </c>
      <c r="F175" s="43">
        <v>-77.019323999999997</v>
      </c>
      <c r="G175" s="43">
        <v>-12.042422999999999</v>
      </c>
      <c r="H175" s="43">
        <v>-77.019042999999996</v>
      </c>
      <c r="I175" s="43">
        <v>-12.031307999999999</v>
      </c>
      <c r="J175" s="43">
        <v>-77.003049000000004</v>
      </c>
    </row>
    <row r="176" spans="1:10" x14ac:dyDescent="0.25">
      <c r="A176" s="15" t="s">
        <v>4297</v>
      </c>
      <c r="B176" s="15" t="s">
        <v>4311</v>
      </c>
      <c r="C176" s="40">
        <v>4.851</v>
      </c>
      <c r="D176" s="29">
        <v>9.0277777777777769E-3</v>
      </c>
      <c r="E176" s="41">
        <v>-12.071991000000001</v>
      </c>
      <c r="F176" s="41">
        <v>-77.011763999999999</v>
      </c>
      <c r="G176" s="41">
        <v>-12.076912</v>
      </c>
      <c r="H176" s="41">
        <v>-77.029723000000004</v>
      </c>
      <c r="I176" s="41">
        <v>-12.071265</v>
      </c>
      <c r="J176" s="41">
        <v>-77.035354999999996</v>
      </c>
    </row>
    <row r="177" spans="1:10" x14ac:dyDescent="0.25">
      <c r="A177" s="15" t="s">
        <v>4297</v>
      </c>
      <c r="B177" s="15" t="s">
        <v>4312</v>
      </c>
      <c r="C177" s="42">
        <v>0.20799999999999999</v>
      </c>
      <c r="D177" s="25">
        <v>6.9444444444444447E-4</v>
      </c>
      <c r="E177" s="43">
        <v>-12.063793</v>
      </c>
      <c r="F177" s="43">
        <v>-77.012927000000005</v>
      </c>
      <c r="G177" s="43">
        <v>-12.063793</v>
      </c>
      <c r="H177" s="43">
        <v>-77.012927000000005</v>
      </c>
      <c r="I177" s="43">
        <v>-12.063793</v>
      </c>
      <c r="J177" s="43">
        <v>-77.012927000000005</v>
      </c>
    </row>
    <row r="178" spans="1:10" x14ac:dyDescent="0.25">
      <c r="A178" s="15" t="s">
        <v>4297</v>
      </c>
      <c r="B178" s="15" t="s">
        <v>4313</v>
      </c>
      <c r="C178" s="40">
        <v>5.5030000000000001</v>
      </c>
      <c r="D178" s="29">
        <v>1.0416666666666666E-2</v>
      </c>
      <c r="E178" s="41">
        <v>-12.074436</v>
      </c>
      <c r="F178" s="41">
        <v>-77.022589999999994</v>
      </c>
      <c r="G178" s="41">
        <v>-12.076796999999999</v>
      </c>
      <c r="H178" s="41">
        <v>-77.034464999999997</v>
      </c>
      <c r="I178" s="41">
        <v>-12.074831</v>
      </c>
      <c r="J178" s="41">
        <v>-77.042978000000005</v>
      </c>
    </row>
    <row r="179" spans="1:10" x14ac:dyDescent="0.25">
      <c r="A179" s="15" t="s">
        <v>4297</v>
      </c>
      <c r="B179" s="15" t="s">
        <v>4314</v>
      </c>
      <c r="C179" s="42">
        <v>10.882999999999999</v>
      </c>
      <c r="D179" s="25">
        <v>1.7361111111111112E-2</v>
      </c>
      <c r="E179" s="43">
        <v>-12.079288</v>
      </c>
      <c r="F179" s="43">
        <v>-77.012179000000003</v>
      </c>
      <c r="G179" s="43">
        <v>-12.092250999999999</v>
      </c>
      <c r="H179" s="43">
        <v>-77.033615999999995</v>
      </c>
      <c r="I179" s="43">
        <v>-12.084512</v>
      </c>
      <c r="J179" s="43">
        <v>-77.064483999999993</v>
      </c>
    </row>
    <row r="180" spans="1:10" x14ac:dyDescent="0.25">
      <c r="A180" s="15" t="s">
        <v>4297</v>
      </c>
      <c r="B180" s="15" t="s">
        <v>4315</v>
      </c>
      <c r="C180" s="40">
        <v>9.4269999999999996</v>
      </c>
      <c r="D180" s="29">
        <v>1.2500000000000001E-2</v>
      </c>
      <c r="E180" s="41">
        <v>-12.080121999999999</v>
      </c>
      <c r="F180" s="41">
        <v>-77.008591999999993</v>
      </c>
      <c r="G180" s="41">
        <v>-12.087759</v>
      </c>
      <c r="H180" s="41">
        <v>-77.000658999999999</v>
      </c>
      <c r="I180" s="41">
        <v>-12.102033</v>
      </c>
      <c r="J180" s="41">
        <v>-76.979474999999994</v>
      </c>
    </row>
    <row r="181" spans="1:10" x14ac:dyDescent="0.25">
      <c r="A181" s="15" t="s">
        <v>4297</v>
      </c>
      <c r="B181" s="15" t="s">
        <v>4316</v>
      </c>
      <c r="C181" s="42">
        <v>7.8079999999999998</v>
      </c>
      <c r="D181" s="25">
        <v>1.1805555555555555E-2</v>
      </c>
      <c r="E181" s="43">
        <v>-12.077209999999999</v>
      </c>
      <c r="F181" s="43">
        <v>-77.010907000000003</v>
      </c>
      <c r="G181" s="43">
        <v>-12.087555999999999</v>
      </c>
      <c r="H181" s="43">
        <v>-77.016170000000002</v>
      </c>
      <c r="I181" s="43">
        <v>-12.090173</v>
      </c>
      <c r="J181" s="43">
        <v>-77.018933000000004</v>
      </c>
    </row>
    <row r="182" spans="1:10" x14ac:dyDescent="0.25">
      <c r="A182" s="15" t="s">
        <v>4297</v>
      </c>
      <c r="B182" s="15" t="s">
        <v>4317</v>
      </c>
      <c r="C182" s="40">
        <v>16.164000000000001</v>
      </c>
      <c r="D182" s="29">
        <v>1.7361111111111112E-2</v>
      </c>
      <c r="E182" s="41">
        <v>-12.081789000000001</v>
      </c>
      <c r="F182" s="41">
        <v>-77.005088000000001</v>
      </c>
      <c r="G182" s="41">
        <v>-12.085989</v>
      </c>
      <c r="H182" s="41">
        <v>-76.987696999999997</v>
      </c>
      <c r="I182" s="41">
        <v>-12.150183999999999</v>
      </c>
      <c r="J182" s="41">
        <v>-76.983569000000003</v>
      </c>
    </row>
    <row r="183" spans="1:10" x14ac:dyDescent="0.25">
      <c r="A183" s="15" t="s">
        <v>4297</v>
      </c>
      <c r="B183" s="15" t="s">
        <v>4318</v>
      </c>
      <c r="C183" s="42">
        <v>3.8290000000000002</v>
      </c>
      <c r="D183" s="25">
        <v>7.6388888888888886E-3</v>
      </c>
      <c r="E183" s="43">
        <v>-12.077472</v>
      </c>
      <c r="F183" s="43">
        <v>-77.01097</v>
      </c>
      <c r="G183" s="43">
        <v>-12.079059000000001</v>
      </c>
      <c r="H183" s="43">
        <v>-77.010137</v>
      </c>
      <c r="I183" s="43">
        <v>-12.082642999999999</v>
      </c>
      <c r="J183" s="43">
        <v>-77.004598999999999</v>
      </c>
    </row>
    <row r="184" spans="1:10" x14ac:dyDescent="0.25">
      <c r="A184" s="15" t="s">
        <v>4297</v>
      </c>
      <c r="B184" s="15" t="s">
        <v>4319</v>
      </c>
      <c r="C184" s="40">
        <v>5.7089999999999996</v>
      </c>
      <c r="D184" s="29">
        <v>9.7222222222222224E-3</v>
      </c>
      <c r="E184" s="41">
        <v>-12.078115</v>
      </c>
      <c r="F184" s="41">
        <v>-77.010765000000006</v>
      </c>
      <c r="G184" s="41">
        <v>-12.082642999999999</v>
      </c>
      <c r="H184" s="41">
        <v>-77.004598999999999</v>
      </c>
      <c r="I184" s="41">
        <v>-12.087815000000001</v>
      </c>
      <c r="J184" s="41">
        <v>-77.001070999999996</v>
      </c>
    </row>
    <row r="185" spans="1:10" x14ac:dyDescent="0.25">
      <c r="A185" s="15" t="s">
        <v>4297</v>
      </c>
      <c r="B185" s="15" t="s">
        <v>4279</v>
      </c>
      <c r="C185" s="42">
        <v>13.925000000000001</v>
      </c>
      <c r="D185" s="25">
        <v>1.7361111111111112E-2</v>
      </c>
      <c r="E185" s="43">
        <v>-12.042840999999999</v>
      </c>
      <c r="F185" s="43">
        <v>-77.019557000000006</v>
      </c>
      <c r="G185" s="43">
        <v>-12.038448000000001</v>
      </c>
      <c r="H185" s="43">
        <v>-77.042108999999996</v>
      </c>
      <c r="I185" s="43">
        <v>-12.035679999999999</v>
      </c>
      <c r="J185" s="43">
        <v>-77.077590999999998</v>
      </c>
    </row>
    <row r="186" spans="1:10" x14ac:dyDescent="0.25">
      <c r="A186" s="15" t="s">
        <v>4297</v>
      </c>
      <c r="B186" s="15" t="s">
        <v>4320</v>
      </c>
      <c r="C186" s="40">
        <v>7.032</v>
      </c>
      <c r="D186" s="29">
        <v>9.7222222222222224E-3</v>
      </c>
      <c r="E186" s="41">
        <v>-12.077472</v>
      </c>
      <c r="F186" s="41">
        <v>-77.01097</v>
      </c>
      <c r="G186" s="41">
        <v>-12.076978</v>
      </c>
      <c r="H186" s="41">
        <v>-77.010082999999995</v>
      </c>
      <c r="I186" s="41">
        <v>-12.064223</v>
      </c>
      <c r="J186" s="41">
        <v>-76.987818000000004</v>
      </c>
    </row>
    <row r="187" spans="1:10" x14ac:dyDescent="0.25">
      <c r="A187" s="15" t="s">
        <v>4297</v>
      </c>
      <c r="B187" s="15" t="s">
        <v>4321</v>
      </c>
      <c r="C187" s="42">
        <v>26.55</v>
      </c>
      <c r="D187" s="25">
        <v>2.8472222222222222E-2</v>
      </c>
      <c r="E187" s="43">
        <v>-12.041634999999999</v>
      </c>
      <c r="F187" s="43">
        <v>-77.020081000000005</v>
      </c>
      <c r="G187" s="43">
        <v>-12.03608</v>
      </c>
      <c r="H187" s="43">
        <v>-77.044940999999994</v>
      </c>
      <c r="I187" s="43">
        <v>-11.914884000000001</v>
      </c>
      <c r="J187" s="43">
        <v>-77.073864</v>
      </c>
    </row>
    <row r="188" spans="1:10" x14ac:dyDescent="0.25">
      <c r="A188" s="15" t="s">
        <v>4297</v>
      </c>
      <c r="B188" s="15" t="s">
        <v>4322</v>
      </c>
      <c r="C188" s="40">
        <v>17.483000000000001</v>
      </c>
      <c r="D188" s="29">
        <v>1.8749999999999999E-2</v>
      </c>
      <c r="E188" s="41">
        <v>-12.090925</v>
      </c>
      <c r="F188" s="41">
        <v>-77.022936000000001</v>
      </c>
      <c r="G188" s="41">
        <v>-12.134347999999999</v>
      </c>
      <c r="H188" s="41">
        <v>-77.021557999999999</v>
      </c>
      <c r="I188" s="41">
        <v>-12.161678</v>
      </c>
      <c r="J188" s="41">
        <v>-77.025835999999998</v>
      </c>
    </row>
    <row r="189" spans="1:10" x14ac:dyDescent="0.25">
      <c r="A189" s="15" t="s">
        <v>4297</v>
      </c>
      <c r="B189" s="15" t="s">
        <v>4323</v>
      </c>
      <c r="C189" s="42">
        <v>17.992999999999999</v>
      </c>
      <c r="D189" s="25">
        <v>2.013888888888889E-2</v>
      </c>
      <c r="E189" s="43">
        <v>-12.091638</v>
      </c>
      <c r="F189" s="43">
        <v>-77.022938999999994</v>
      </c>
      <c r="G189" s="43">
        <v>-12.135697</v>
      </c>
      <c r="H189" s="43">
        <v>-77.024041999999994</v>
      </c>
      <c r="I189" s="43">
        <v>-12.162088000000001</v>
      </c>
      <c r="J189" s="43">
        <v>-77.025544999999994</v>
      </c>
    </row>
    <row r="190" spans="1:10" x14ac:dyDescent="0.25">
      <c r="A190" s="15" t="s">
        <v>4297</v>
      </c>
      <c r="B190" s="15" t="s">
        <v>4324</v>
      </c>
      <c r="C190" s="40">
        <v>7.2569999999999997</v>
      </c>
      <c r="D190" s="29">
        <v>1.4583333333333334E-2</v>
      </c>
      <c r="E190" s="41">
        <v>-12.073734</v>
      </c>
      <c r="F190" s="41">
        <v>-77.018263000000005</v>
      </c>
      <c r="G190" s="41">
        <v>-12.077021</v>
      </c>
      <c r="H190" s="41">
        <v>-77.030550000000005</v>
      </c>
      <c r="I190" s="41">
        <v>-12.078609999999999</v>
      </c>
      <c r="J190" s="41">
        <v>-77.056595999999999</v>
      </c>
    </row>
    <row r="191" spans="1:10" x14ac:dyDescent="0.25">
      <c r="A191" s="15" t="s">
        <v>4297</v>
      </c>
      <c r="B191" s="15" t="s">
        <v>4325</v>
      </c>
      <c r="C191" s="42">
        <v>16.404</v>
      </c>
      <c r="D191" s="25">
        <v>2.2222222222222223E-2</v>
      </c>
      <c r="E191" s="43">
        <v>-12.088307</v>
      </c>
      <c r="F191" s="43">
        <v>-77.003642999999997</v>
      </c>
      <c r="G191" s="43">
        <v>-12.124314</v>
      </c>
      <c r="H191" s="43">
        <v>-76.977181000000002</v>
      </c>
      <c r="I191" s="43">
        <v>-12.145102</v>
      </c>
      <c r="J191" s="43">
        <v>-76.959766000000002</v>
      </c>
    </row>
    <row r="192" spans="1:10" x14ac:dyDescent="0.25">
      <c r="A192" s="15" t="s">
        <v>4297</v>
      </c>
      <c r="B192" s="15" t="s">
        <v>4268</v>
      </c>
      <c r="C192" s="40">
        <v>5.9649999999999999</v>
      </c>
      <c r="D192" s="29">
        <v>1.0416666666666666E-2</v>
      </c>
      <c r="E192" s="41">
        <v>-12.051310000000001</v>
      </c>
      <c r="F192" s="41">
        <v>-77.019323999999997</v>
      </c>
      <c r="G192" s="41">
        <v>-12.042422999999999</v>
      </c>
      <c r="H192" s="41">
        <v>-77.019042999999996</v>
      </c>
      <c r="I192" s="41">
        <v>-12.031307999999999</v>
      </c>
      <c r="J192" s="41">
        <v>-77.003049000000004</v>
      </c>
    </row>
    <row r="193" spans="1:10" x14ac:dyDescent="0.25">
      <c r="A193" s="15" t="s">
        <v>4298</v>
      </c>
      <c r="B193" s="15" t="s">
        <v>4267</v>
      </c>
      <c r="C193" s="42">
        <v>8.3369999999999997</v>
      </c>
      <c r="D193" s="25">
        <v>1.1805555555555555E-2</v>
      </c>
      <c r="E193" s="43">
        <v>-12.092044</v>
      </c>
      <c r="F193" s="43">
        <v>-77.022755000000004</v>
      </c>
      <c r="G193" s="43">
        <v>-12.060370000000001</v>
      </c>
      <c r="H193" s="43">
        <v>-77.035360999999995</v>
      </c>
      <c r="I193" s="43">
        <v>-12.050115999999999</v>
      </c>
      <c r="J193" s="43">
        <v>-77.031329999999997</v>
      </c>
    </row>
    <row r="194" spans="1:10" x14ac:dyDescent="0.25">
      <c r="A194" s="15" t="s">
        <v>4298</v>
      </c>
      <c r="B194" s="15" t="s">
        <v>4280</v>
      </c>
      <c r="C194" s="40">
        <v>10.143000000000001</v>
      </c>
      <c r="D194" s="29">
        <v>1.2500000000000001E-2</v>
      </c>
      <c r="E194" s="41">
        <v>-12.132381000000001</v>
      </c>
      <c r="F194" s="41">
        <v>-77.021884</v>
      </c>
      <c r="G194" s="41">
        <v>-12.142175</v>
      </c>
      <c r="H194" s="41">
        <v>-77.026520000000005</v>
      </c>
      <c r="I194" s="41">
        <v>-12.161435000000001</v>
      </c>
      <c r="J194" s="41">
        <v>-77.025338000000005</v>
      </c>
    </row>
    <row r="195" spans="1:10" x14ac:dyDescent="0.25">
      <c r="A195" s="15" t="s">
        <v>4298</v>
      </c>
      <c r="B195" s="15" t="s">
        <v>4281</v>
      </c>
      <c r="C195" s="42">
        <v>12.446</v>
      </c>
      <c r="D195" s="25">
        <v>1.4583333333333334E-2</v>
      </c>
      <c r="E195" s="43">
        <v>-12.087486999999999</v>
      </c>
      <c r="F195" s="43">
        <v>-76.998773999999997</v>
      </c>
      <c r="G195" s="43">
        <v>-12.083311999999999</v>
      </c>
      <c r="H195" s="43">
        <v>-76.970100000000002</v>
      </c>
      <c r="I195" s="43">
        <v>-12.068479999999999</v>
      </c>
      <c r="J195" s="43">
        <v>-76.946973999999997</v>
      </c>
    </row>
    <row r="196" spans="1:10" x14ac:dyDescent="0.25">
      <c r="A196" s="15" t="s">
        <v>4298</v>
      </c>
      <c r="B196" s="15" t="s">
        <v>4296</v>
      </c>
      <c r="C196" s="40">
        <v>9.0589999999999993</v>
      </c>
      <c r="D196" s="29">
        <v>1.1805555555555555E-2</v>
      </c>
      <c r="E196" s="41">
        <v>-12.090064</v>
      </c>
      <c r="F196" s="41">
        <v>-77.022889000000006</v>
      </c>
      <c r="G196" s="41">
        <v>-12.059331999999999</v>
      </c>
      <c r="H196" s="41">
        <v>-77.035520000000005</v>
      </c>
      <c r="I196" s="41">
        <v>-12.063701999999999</v>
      </c>
      <c r="J196" s="41">
        <v>-77.034329</v>
      </c>
    </row>
    <row r="197" spans="1:10" x14ac:dyDescent="0.25">
      <c r="A197" s="15" t="s">
        <v>4298</v>
      </c>
      <c r="B197" s="15" t="s">
        <v>4297</v>
      </c>
      <c r="C197" s="42">
        <v>6.9080000000000004</v>
      </c>
      <c r="D197" s="25">
        <v>9.7222222222222224E-3</v>
      </c>
      <c r="E197" s="43">
        <v>-12.092152</v>
      </c>
      <c r="F197" s="43">
        <v>-77.022794000000005</v>
      </c>
      <c r="G197" s="43">
        <v>-12.078360999999999</v>
      </c>
      <c r="H197" s="43">
        <v>-77.028030999999999</v>
      </c>
      <c r="I197" s="43">
        <v>-12.074662</v>
      </c>
      <c r="J197" s="43">
        <v>-77.022710000000004</v>
      </c>
    </row>
    <row r="198" spans="1:10" x14ac:dyDescent="0.25">
      <c r="A198" s="15" t="s">
        <v>4298</v>
      </c>
      <c r="B198" s="15" t="s">
        <v>4298</v>
      </c>
      <c r="C198" s="40">
        <v>0</v>
      </c>
      <c r="D198" s="29">
        <v>0</v>
      </c>
      <c r="E198" s="41" t="str">
        <f>'1 ubicaciones'!D7</f>
        <v>-121.985.404</v>
      </c>
      <c r="F198" s="41" t="str">
        <f>'1 ubicaciones'!E7</f>
        <v>-769.360.312</v>
      </c>
      <c r="G198" s="41" t="str">
        <f>'1 ubicaciones'!D7</f>
        <v>-121.985.404</v>
      </c>
      <c r="H198" s="41" t="str">
        <f>'1 ubicaciones'!E7</f>
        <v>-769.360.312</v>
      </c>
      <c r="I198" s="41" t="str">
        <f>'1 ubicaciones'!D7</f>
        <v>-121.985.404</v>
      </c>
      <c r="J198" s="41" t="str">
        <f>'1 ubicaciones'!E7</f>
        <v>-769.360.312</v>
      </c>
    </row>
    <row r="199" spans="1:10" x14ac:dyDescent="0.25">
      <c r="A199" s="15" t="s">
        <v>4298</v>
      </c>
      <c r="B199" s="15" t="s">
        <v>4299</v>
      </c>
      <c r="C199" s="42">
        <v>2.4369999999999998</v>
      </c>
      <c r="D199" s="25">
        <v>5.5555555555555558E-3</v>
      </c>
      <c r="E199" s="43">
        <v>-12.112899000000001</v>
      </c>
      <c r="F199" s="43">
        <v>-77.018431000000007</v>
      </c>
      <c r="G199" s="43">
        <v>-12.113697999999999</v>
      </c>
      <c r="H199" s="43">
        <v>-77.029779000000005</v>
      </c>
      <c r="I199" s="43">
        <v>-12.113899999999999</v>
      </c>
      <c r="J199" s="43">
        <v>-77.034732000000005</v>
      </c>
    </row>
    <row r="200" spans="1:10" x14ac:dyDescent="0.25">
      <c r="A200" s="15" t="s">
        <v>4298</v>
      </c>
      <c r="B200" s="15" t="s">
        <v>4300</v>
      </c>
      <c r="C200" s="40">
        <v>9.3140000000000001</v>
      </c>
      <c r="D200" s="29">
        <v>1.1111111111111112E-2</v>
      </c>
      <c r="E200" s="41">
        <v>-12.090745999999999</v>
      </c>
      <c r="F200" s="41">
        <v>-77.021360999999999</v>
      </c>
      <c r="G200" s="41">
        <v>-12.085989</v>
      </c>
      <c r="H200" s="41">
        <v>-76.987696999999997</v>
      </c>
      <c r="I200" s="41">
        <v>-12.094654999999999</v>
      </c>
      <c r="J200" s="41">
        <v>-76.980564999999999</v>
      </c>
    </row>
    <row r="201" spans="1:10" x14ac:dyDescent="0.25">
      <c r="A201" s="15" t="s">
        <v>4298</v>
      </c>
      <c r="B201" s="15" t="s">
        <v>4301</v>
      </c>
      <c r="C201" s="42">
        <v>24.571999999999999</v>
      </c>
      <c r="D201" s="25">
        <v>2.7083333333333334E-2</v>
      </c>
      <c r="E201" s="43">
        <v>-12.060370000000001</v>
      </c>
      <c r="F201" s="43">
        <v>-77.035360999999995</v>
      </c>
      <c r="G201" s="43">
        <v>-12.038353000000001</v>
      </c>
      <c r="H201" s="43">
        <v>-77.043417000000005</v>
      </c>
      <c r="I201" s="43">
        <v>-12.033492000000001</v>
      </c>
      <c r="J201" s="43">
        <v>-77.053096999999994</v>
      </c>
    </row>
    <row r="202" spans="1:10" x14ac:dyDescent="0.25">
      <c r="A202" s="15" t="s">
        <v>4298</v>
      </c>
      <c r="B202" s="15" t="s">
        <v>4302</v>
      </c>
      <c r="C202" s="40">
        <v>3.36</v>
      </c>
      <c r="D202" s="29">
        <v>5.5555555555555558E-3</v>
      </c>
      <c r="E202" s="41">
        <v>-12.102357</v>
      </c>
      <c r="F202" s="41">
        <v>-77.016458999999998</v>
      </c>
      <c r="G202" s="41">
        <v>-12.103942999999999</v>
      </c>
      <c r="H202" s="41">
        <v>-77.011515000000003</v>
      </c>
      <c r="I202" s="41">
        <v>-12.100408</v>
      </c>
      <c r="J202" s="41">
        <v>-77.008792999999997</v>
      </c>
    </row>
    <row r="203" spans="1:10" x14ac:dyDescent="0.25">
      <c r="A203" s="15" t="s">
        <v>4298</v>
      </c>
      <c r="B203" s="15" t="s">
        <v>4303</v>
      </c>
      <c r="C203" s="42">
        <v>6.6470000000000002</v>
      </c>
      <c r="D203" s="25">
        <v>9.7222222222222224E-3</v>
      </c>
      <c r="E203" s="43">
        <v>-12.092152</v>
      </c>
      <c r="F203" s="43">
        <v>-77.022794000000005</v>
      </c>
      <c r="G203" s="43">
        <v>-12.078360999999999</v>
      </c>
      <c r="H203" s="43">
        <v>-77.028030999999999</v>
      </c>
      <c r="I203" s="43">
        <v>-12.074662</v>
      </c>
      <c r="J203" s="43">
        <v>-77.022710000000004</v>
      </c>
    </row>
    <row r="204" spans="1:10" x14ac:dyDescent="0.25">
      <c r="A204" s="15" t="s">
        <v>4298</v>
      </c>
      <c r="B204" s="15" t="s">
        <v>4304</v>
      </c>
      <c r="C204" s="40">
        <v>6.38</v>
      </c>
      <c r="D204" s="29">
        <v>8.3333333333333332E-3</v>
      </c>
      <c r="E204" s="41">
        <v>-12.092152</v>
      </c>
      <c r="F204" s="41">
        <v>-77.022794000000005</v>
      </c>
      <c r="G204" s="41">
        <v>-12.078360999999999</v>
      </c>
      <c r="H204" s="41">
        <v>-77.028030999999999</v>
      </c>
      <c r="I204" s="41">
        <v>-12.074662</v>
      </c>
      <c r="J204" s="41">
        <v>-77.022710000000004</v>
      </c>
    </row>
    <row r="205" spans="1:10" x14ac:dyDescent="0.25">
      <c r="A205" s="15" t="s">
        <v>4298</v>
      </c>
      <c r="B205" s="15" t="s">
        <v>4269</v>
      </c>
      <c r="C205" s="42">
        <v>14.429</v>
      </c>
      <c r="D205" s="25">
        <v>1.3888888888888888E-2</v>
      </c>
      <c r="E205" s="43">
        <v>-12.135697</v>
      </c>
      <c r="F205" s="43">
        <v>-77.024041999999994</v>
      </c>
      <c r="G205" s="43">
        <v>-12.122640000000001</v>
      </c>
      <c r="H205" s="43">
        <v>-77.043479000000005</v>
      </c>
      <c r="I205" s="43">
        <v>-12.100944999999999</v>
      </c>
      <c r="J205" s="43">
        <v>-77.068091999999993</v>
      </c>
    </row>
    <row r="206" spans="1:10" x14ac:dyDescent="0.25">
      <c r="A206" s="15" t="s">
        <v>4298</v>
      </c>
      <c r="B206" s="15" t="s">
        <v>4305</v>
      </c>
      <c r="C206" s="40">
        <v>8.0500000000000007</v>
      </c>
      <c r="D206" s="29">
        <v>1.1111111111111112E-2</v>
      </c>
      <c r="E206" s="41">
        <v>-12.079159000000001</v>
      </c>
      <c r="F206" s="41">
        <v>-77.027724000000006</v>
      </c>
      <c r="G206" s="41">
        <v>-12.060096</v>
      </c>
      <c r="H206" s="41">
        <v>-77.040930000000003</v>
      </c>
      <c r="I206" s="41">
        <v>-12.061277</v>
      </c>
      <c r="J206" s="41">
        <v>-77.045568000000003</v>
      </c>
    </row>
    <row r="207" spans="1:10" x14ac:dyDescent="0.25">
      <c r="A207" s="15" t="s">
        <v>4298</v>
      </c>
      <c r="B207" s="15" t="s">
        <v>4306</v>
      </c>
      <c r="C207" s="42">
        <v>5.3710000000000004</v>
      </c>
      <c r="D207" s="25">
        <v>9.0277777777777769E-3</v>
      </c>
      <c r="E207" s="43">
        <v>-12.112622999999999</v>
      </c>
      <c r="F207" s="43">
        <v>-77.012173000000004</v>
      </c>
      <c r="G207" s="43">
        <v>-12.12904</v>
      </c>
      <c r="H207" s="43">
        <v>-77.001540000000006</v>
      </c>
      <c r="I207" s="43">
        <v>-12.128939000000001</v>
      </c>
      <c r="J207" s="43">
        <v>-77.000525999999994</v>
      </c>
    </row>
    <row r="208" spans="1:10" x14ac:dyDescent="0.25">
      <c r="A208" s="15" t="s">
        <v>4298</v>
      </c>
      <c r="B208" s="15" t="s">
        <v>4277</v>
      </c>
      <c r="C208" s="40">
        <v>4.9809999999999999</v>
      </c>
      <c r="D208" s="29">
        <v>7.6388888888888886E-3</v>
      </c>
      <c r="E208" s="41">
        <v>-12.092980000000001</v>
      </c>
      <c r="F208" s="41">
        <v>-77.022886999999997</v>
      </c>
      <c r="G208" s="41">
        <v>-12.09023</v>
      </c>
      <c r="H208" s="41">
        <v>-77.022829000000002</v>
      </c>
      <c r="I208" s="41">
        <v>-12.089918000000001</v>
      </c>
      <c r="J208" s="41">
        <v>-77.022338000000005</v>
      </c>
    </row>
    <row r="209" spans="1:10" x14ac:dyDescent="0.25">
      <c r="A209" s="15" t="s">
        <v>4298</v>
      </c>
      <c r="B209" s="15" t="s">
        <v>4307</v>
      </c>
      <c r="C209" s="42">
        <v>14.975</v>
      </c>
      <c r="D209" s="25">
        <v>1.5972222222222221E-2</v>
      </c>
      <c r="E209" s="43">
        <v>-12.086715</v>
      </c>
      <c r="F209" s="43">
        <v>-76.995919999999998</v>
      </c>
      <c r="G209" s="43">
        <v>-12.085383</v>
      </c>
      <c r="H209" s="43">
        <v>-76.982168999999999</v>
      </c>
      <c r="I209" s="43">
        <v>-12.052244</v>
      </c>
      <c r="J209" s="43">
        <v>-76.976022999999998</v>
      </c>
    </row>
    <row r="210" spans="1:10" x14ac:dyDescent="0.25">
      <c r="A210" s="15" t="s">
        <v>4298</v>
      </c>
      <c r="B210" s="15" t="s">
        <v>4308</v>
      </c>
      <c r="C210" s="40">
        <v>15.432</v>
      </c>
      <c r="D210" s="29">
        <v>1.5972222222222221E-2</v>
      </c>
      <c r="E210" s="41">
        <v>-12.135697</v>
      </c>
      <c r="F210" s="41">
        <v>-77.024041999999994</v>
      </c>
      <c r="G210" s="41">
        <v>-12.122640000000001</v>
      </c>
      <c r="H210" s="41">
        <v>-77.043479000000005</v>
      </c>
      <c r="I210" s="41">
        <v>-12.101476999999999</v>
      </c>
      <c r="J210" s="41">
        <v>-77.066717999999995</v>
      </c>
    </row>
    <row r="211" spans="1:10" x14ac:dyDescent="0.25">
      <c r="A211" s="15" t="s">
        <v>4298</v>
      </c>
      <c r="B211" s="15" t="s">
        <v>4309</v>
      </c>
      <c r="C211" s="42">
        <v>4.9329999999999998</v>
      </c>
      <c r="D211" s="25">
        <v>6.2500000000000003E-3</v>
      </c>
      <c r="E211" s="43">
        <v>-12.092980000000001</v>
      </c>
      <c r="F211" s="43">
        <v>-77.022886999999997</v>
      </c>
      <c r="G211" s="43">
        <v>-12.090064</v>
      </c>
      <c r="H211" s="43">
        <v>-77.022889000000006</v>
      </c>
      <c r="I211" s="43">
        <v>-12.077412000000001</v>
      </c>
      <c r="J211" s="43">
        <v>-77.028380999999996</v>
      </c>
    </row>
    <row r="212" spans="1:10" x14ac:dyDescent="0.25">
      <c r="A212" s="15" t="s">
        <v>4298</v>
      </c>
      <c r="B212" s="15" t="s">
        <v>4278</v>
      </c>
      <c r="C212" s="40">
        <v>16.120999999999999</v>
      </c>
      <c r="D212" s="29">
        <v>2.0833333333333332E-2</v>
      </c>
      <c r="E212" s="41">
        <v>-12.060172</v>
      </c>
      <c r="F212" s="41">
        <v>-77.035402000000005</v>
      </c>
      <c r="G212" s="41">
        <v>-12.036061999999999</v>
      </c>
      <c r="H212" s="41">
        <v>-77.043547000000004</v>
      </c>
      <c r="I212" s="41">
        <v>-12.031428999999999</v>
      </c>
      <c r="J212" s="41">
        <v>-77.055999</v>
      </c>
    </row>
    <row r="213" spans="1:10" x14ac:dyDescent="0.25">
      <c r="A213" s="15" t="s">
        <v>4298</v>
      </c>
      <c r="B213" s="15" t="s">
        <v>4310</v>
      </c>
      <c r="C213" s="42">
        <v>15.94</v>
      </c>
      <c r="D213" s="25">
        <v>1.5972222222222221E-2</v>
      </c>
      <c r="E213" s="43">
        <v>-12.086</v>
      </c>
      <c r="F213" s="43">
        <v>-76.987904999999998</v>
      </c>
      <c r="G213" s="43">
        <v>-12.073001</v>
      </c>
      <c r="H213" s="43">
        <v>-76.973752000000005</v>
      </c>
      <c r="I213" s="43">
        <v>-12.031423999999999</v>
      </c>
      <c r="J213" s="43">
        <v>-76.992137</v>
      </c>
    </row>
    <row r="214" spans="1:10" x14ac:dyDescent="0.25">
      <c r="A214" s="15" t="s">
        <v>4298</v>
      </c>
      <c r="B214" s="15" t="s">
        <v>4311</v>
      </c>
      <c r="C214" s="40">
        <v>6.8280000000000003</v>
      </c>
      <c r="D214" s="29">
        <v>9.7222222222222224E-3</v>
      </c>
      <c r="E214" s="41">
        <v>-12.090064</v>
      </c>
      <c r="F214" s="41">
        <v>-77.022889000000006</v>
      </c>
      <c r="G214" s="41">
        <v>-12.065018999999999</v>
      </c>
      <c r="H214" s="41">
        <v>-77.033302000000006</v>
      </c>
      <c r="I214" s="41">
        <v>-12.069119000000001</v>
      </c>
      <c r="J214" s="41">
        <v>-77.034454999999994</v>
      </c>
    </row>
    <row r="215" spans="1:10" x14ac:dyDescent="0.25">
      <c r="A215" s="15" t="s">
        <v>4298</v>
      </c>
      <c r="B215" s="15" t="s">
        <v>4312</v>
      </c>
      <c r="C215" s="42">
        <v>6.64</v>
      </c>
      <c r="D215" s="25">
        <v>9.0277777777777769E-3</v>
      </c>
      <c r="E215" s="43">
        <v>-12.092152</v>
      </c>
      <c r="F215" s="43">
        <v>-77.022794000000005</v>
      </c>
      <c r="G215" s="43">
        <v>-12.078360999999999</v>
      </c>
      <c r="H215" s="43">
        <v>-77.028030999999999</v>
      </c>
      <c r="I215" s="43">
        <v>-12.074662</v>
      </c>
      <c r="J215" s="43">
        <v>-77.022710000000004</v>
      </c>
    </row>
    <row r="216" spans="1:10" x14ac:dyDescent="0.25">
      <c r="A216" s="15" t="s">
        <v>4298</v>
      </c>
      <c r="B216" s="15" t="s">
        <v>4313</v>
      </c>
      <c r="C216" s="40">
        <v>9.1709999999999994</v>
      </c>
      <c r="D216" s="29">
        <v>1.1805555555555555E-2</v>
      </c>
      <c r="E216" s="41">
        <v>-12.087759999999999</v>
      </c>
      <c r="F216" s="41">
        <v>-77.024265999999997</v>
      </c>
      <c r="G216" s="41">
        <v>-12.060181</v>
      </c>
      <c r="H216" s="41">
        <v>-77.036090000000002</v>
      </c>
      <c r="I216" s="41">
        <v>-12.064828</v>
      </c>
      <c r="J216" s="41">
        <v>-77.039430999999993</v>
      </c>
    </row>
    <row r="217" spans="1:10" x14ac:dyDescent="0.25">
      <c r="A217" s="15" t="s">
        <v>4298</v>
      </c>
      <c r="B217" s="15" t="s">
        <v>4314</v>
      </c>
      <c r="C217" s="42">
        <v>9.8040000000000003</v>
      </c>
      <c r="D217" s="25">
        <v>1.5972222222222221E-2</v>
      </c>
      <c r="E217" s="43">
        <v>-12.092044</v>
      </c>
      <c r="F217" s="43">
        <v>-77.022755000000004</v>
      </c>
      <c r="G217" s="43">
        <v>-12.090355000000001</v>
      </c>
      <c r="H217" s="43">
        <v>-77.022262999999995</v>
      </c>
      <c r="I217" s="43">
        <v>-12.085433</v>
      </c>
      <c r="J217" s="43">
        <v>-77.064278000000002</v>
      </c>
    </row>
    <row r="218" spans="1:10" x14ac:dyDescent="0.25">
      <c r="A218" s="15" t="s">
        <v>4298</v>
      </c>
      <c r="B218" s="15" t="s">
        <v>4315</v>
      </c>
      <c r="C218" s="40">
        <v>5.58</v>
      </c>
      <c r="D218" s="29">
        <v>9.0277777777777769E-3</v>
      </c>
      <c r="E218" s="41">
        <v>-12.112899000000001</v>
      </c>
      <c r="F218" s="41">
        <v>-77.018431000000007</v>
      </c>
      <c r="G218" s="41">
        <v>-12.111039</v>
      </c>
      <c r="H218" s="41">
        <v>-76.989649</v>
      </c>
      <c r="I218" s="41">
        <v>-12.109882000000001</v>
      </c>
      <c r="J218" s="41">
        <v>-76.972758999999996</v>
      </c>
    </row>
    <row r="219" spans="1:10" x14ac:dyDescent="0.25">
      <c r="A219" s="15" t="s">
        <v>4298</v>
      </c>
      <c r="B219" s="15" t="s">
        <v>4316</v>
      </c>
      <c r="C219" s="42">
        <v>6.7290000000000001</v>
      </c>
      <c r="D219" s="25">
        <v>1.1111111111111112E-2</v>
      </c>
      <c r="E219" s="43">
        <v>-12.092712000000001</v>
      </c>
      <c r="F219" s="43">
        <v>-77.022955999999994</v>
      </c>
      <c r="G219" s="43">
        <v>-12.089937000000001</v>
      </c>
      <c r="H219" s="43">
        <v>-77.022782000000007</v>
      </c>
      <c r="I219" s="43">
        <v>-12.092250999999999</v>
      </c>
      <c r="J219" s="43">
        <v>-77.033615999999995</v>
      </c>
    </row>
    <row r="220" spans="1:10" x14ac:dyDescent="0.25">
      <c r="A220" s="15" t="s">
        <v>4298</v>
      </c>
      <c r="B220" s="15" t="s">
        <v>4317</v>
      </c>
      <c r="C220" s="40">
        <v>9.2919999999999998</v>
      </c>
      <c r="D220" s="29">
        <v>1.4583333333333334E-2</v>
      </c>
      <c r="E220" s="41">
        <v>-12.127959000000001</v>
      </c>
      <c r="F220" s="41">
        <v>-77.001757999999995</v>
      </c>
      <c r="G220" s="41">
        <v>-12.142678999999999</v>
      </c>
      <c r="H220" s="41">
        <v>-76.991145000000003</v>
      </c>
      <c r="I220" s="41">
        <v>-12.149908</v>
      </c>
      <c r="J220" s="41">
        <v>-76.982754</v>
      </c>
    </row>
    <row r="221" spans="1:10" x14ac:dyDescent="0.25">
      <c r="A221" s="15" t="s">
        <v>4298</v>
      </c>
      <c r="B221" s="15" t="s">
        <v>4318</v>
      </c>
      <c r="C221" s="42">
        <v>4.085</v>
      </c>
      <c r="D221" s="25">
        <v>6.2500000000000003E-3</v>
      </c>
      <c r="E221" s="43">
        <v>-12.092627</v>
      </c>
      <c r="F221" s="43">
        <v>-77.022400000000005</v>
      </c>
      <c r="G221" s="43">
        <v>-12.09164</v>
      </c>
      <c r="H221" s="43">
        <v>-77.022092999999998</v>
      </c>
      <c r="I221" s="43">
        <v>-12.090745999999999</v>
      </c>
      <c r="J221" s="43">
        <v>-77.021360999999999</v>
      </c>
    </row>
    <row r="222" spans="1:10" x14ac:dyDescent="0.25">
      <c r="A222" s="15" t="s">
        <v>4298</v>
      </c>
      <c r="B222" s="15" t="s">
        <v>4319</v>
      </c>
      <c r="C222" s="40">
        <v>4.2009999999999996</v>
      </c>
      <c r="D222" s="29">
        <v>7.6388888888888886E-3</v>
      </c>
      <c r="E222" s="41">
        <v>-12.111552</v>
      </c>
      <c r="F222" s="41">
        <v>-76.996617000000001</v>
      </c>
      <c r="G222" s="41">
        <v>-12.111433</v>
      </c>
      <c r="H222" s="41">
        <v>-76.993898999999999</v>
      </c>
      <c r="I222" s="41">
        <v>-12.107034000000001</v>
      </c>
      <c r="J222" s="41">
        <v>-76.992161999999993</v>
      </c>
    </row>
    <row r="223" spans="1:10" x14ac:dyDescent="0.25">
      <c r="A223" s="15" t="s">
        <v>4298</v>
      </c>
      <c r="B223" s="15" t="s">
        <v>4279</v>
      </c>
      <c r="C223" s="42">
        <v>14.928000000000001</v>
      </c>
      <c r="D223" s="25">
        <v>2.1527777777777778E-2</v>
      </c>
      <c r="E223" s="43">
        <v>-12.088846</v>
      </c>
      <c r="F223" s="43">
        <v>-77.023703999999995</v>
      </c>
      <c r="G223" s="43">
        <v>-12.059372</v>
      </c>
      <c r="H223" s="43">
        <v>-77.036098999999993</v>
      </c>
      <c r="I223" s="43">
        <v>-12.046716</v>
      </c>
      <c r="J223" s="43">
        <v>-77.042501000000001</v>
      </c>
    </row>
    <row r="224" spans="1:10" x14ac:dyDescent="0.25">
      <c r="A224" s="15" t="s">
        <v>4298</v>
      </c>
      <c r="B224" s="15" t="s">
        <v>4320</v>
      </c>
      <c r="C224" s="40">
        <v>10.914999999999999</v>
      </c>
      <c r="D224" s="29">
        <v>1.2500000000000001E-2</v>
      </c>
      <c r="E224" s="41">
        <v>-12.087278</v>
      </c>
      <c r="F224" s="41">
        <v>-76.998057000000003</v>
      </c>
      <c r="G224" s="41">
        <v>-12.085900000000001</v>
      </c>
      <c r="H224" s="41">
        <v>-76.981693000000007</v>
      </c>
      <c r="I224" s="41">
        <v>-12.066178000000001</v>
      </c>
      <c r="J224" s="41">
        <v>-76.971248000000003</v>
      </c>
    </row>
    <row r="225" spans="1:10" x14ac:dyDescent="0.25">
      <c r="A225" s="15" t="s">
        <v>4298</v>
      </c>
      <c r="B225" s="15" t="s">
        <v>4321</v>
      </c>
      <c r="C225" s="42">
        <v>30.463999999999999</v>
      </c>
      <c r="D225" s="25">
        <v>3.4722222222222224E-2</v>
      </c>
      <c r="E225" s="43">
        <v>-12.05926</v>
      </c>
      <c r="F225" s="43">
        <v>-77.035741999999999</v>
      </c>
      <c r="G225" s="43">
        <v>-12.036635</v>
      </c>
      <c r="H225" s="43">
        <v>-77.042507000000001</v>
      </c>
      <c r="I225" s="43">
        <v>-11.948202</v>
      </c>
      <c r="J225" s="43">
        <v>-77.070563000000007</v>
      </c>
    </row>
    <row r="226" spans="1:10" x14ac:dyDescent="0.25">
      <c r="A226" s="15" t="s">
        <v>4298</v>
      </c>
      <c r="B226" s="15" t="s">
        <v>4322</v>
      </c>
      <c r="C226" s="40">
        <v>11.103</v>
      </c>
      <c r="D226" s="29">
        <v>1.3888888888888888E-2</v>
      </c>
      <c r="E226" s="41">
        <v>-12.131543000000001</v>
      </c>
      <c r="F226" s="41">
        <v>-77.022239999999996</v>
      </c>
      <c r="G226" s="41">
        <v>-12.140123000000001</v>
      </c>
      <c r="H226" s="41">
        <v>-77.027912999999998</v>
      </c>
      <c r="I226" s="41">
        <v>-12.161996</v>
      </c>
      <c r="J226" s="41">
        <v>-77.025426999999993</v>
      </c>
    </row>
    <row r="227" spans="1:10" x14ac:dyDescent="0.25">
      <c r="A227" s="15" t="s">
        <v>4298</v>
      </c>
      <c r="B227" s="15" t="s">
        <v>4323</v>
      </c>
      <c r="C227" s="42">
        <v>11.613</v>
      </c>
      <c r="D227" s="25">
        <v>1.5277777777777777E-2</v>
      </c>
      <c r="E227" s="43">
        <v>-12.132381000000001</v>
      </c>
      <c r="F227" s="43">
        <v>-77.021884</v>
      </c>
      <c r="G227" s="43">
        <v>-12.142175</v>
      </c>
      <c r="H227" s="43">
        <v>-77.026520000000005</v>
      </c>
      <c r="I227" s="43">
        <v>-12.161435000000001</v>
      </c>
      <c r="J227" s="43">
        <v>-77.025338000000005</v>
      </c>
    </row>
    <row r="228" spans="1:10" x14ac:dyDescent="0.25">
      <c r="A228" s="15" t="s">
        <v>4298</v>
      </c>
      <c r="B228" s="15" t="s">
        <v>4324</v>
      </c>
      <c r="C228" s="40">
        <v>8.7349999999999994</v>
      </c>
      <c r="D228" s="29">
        <v>1.5277777777777777E-2</v>
      </c>
      <c r="E228" s="41">
        <v>-12.091118</v>
      </c>
      <c r="F228" s="41">
        <v>-77.022654000000003</v>
      </c>
      <c r="G228" s="41">
        <v>-12.092250999999999</v>
      </c>
      <c r="H228" s="41">
        <v>-77.033615999999995</v>
      </c>
      <c r="I228" s="41">
        <v>-12.084317</v>
      </c>
      <c r="J228" s="41">
        <v>-77.064580000000007</v>
      </c>
    </row>
    <row r="229" spans="1:10" x14ac:dyDescent="0.25">
      <c r="A229" s="15" t="s">
        <v>4298</v>
      </c>
      <c r="B229" s="15" t="s">
        <v>4325</v>
      </c>
      <c r="C229" s="42">
        <v>12.651</v>
      </c>
      <c r="D229" s="25">
        <v>2.0833333333333332E-2</v>
      </c>
      <c r="E229" s="43">
        <v>-12.135455</v>
      </c>
      <c r="F229" s="43">
        <v>-76.996528999999995</v>
      </c>
      <c r="G229" s="43">
        <v>-12.159559</v>
      </c>
      <c r="H229" s="43">
        <v>-76.958556000000002</v>
      </c>
      <c r="I229" s="43">
        <v>-12.140962</v>
      </c>
      <c r="J229" s="43">
        <v>-76.948964000000004</v>
      </c>
    </row>
    <row r="230" spans="1:10" x14ac:dyDescent="0.25">
      <c r="A230" s="15" t="s">
        <v>4298</v>
      </c>
      <c r="B230" s="15" t="s">
        <v>4268</v>
      </c>
      <c r="C230" s="40">
        <v>15.401</v>
      </c>
      <c r="D230" s="29">
        <v>1.5277777777777777E-2</v>
      </c>
      <c r="E230" s="41">
        <v>-12.086</v>
      </c>
      <c r="F230" s="41">
        <v>-76.987904999999998</v>
      </c>
      <c r="G230" s="41">
        <v>-12.073001</v>
      </c>
      <c r="H230" s="41">
        <v>-76.973752000000005</v>
      </c>
      <c r="I230" s="41">
        <v>-12.031423999999999</v>
      </c>
      <c r="J230" s="41">
        <v>-76.992137</v>
      </c>
    </row>
    <row r="231" spans="1:10" x14ac:dyDescent="0.25">
      <c r="A231" s="15" t="s">
        <v>4299</v>
      </c>
      <c r="B231" s="15" t="s">
        <v>4267</v>
      </c>
      <c r="C231" s="42">
        <v>9.9309999999999992</v>
      </c>
      <c r="D231" s="25">
        <v>1.3888888888888888E-2</v>
      </c>
      <c r="E231" s="43">
        <v>-12.109590000000001</v>
      </c>
      <c r="F231" s="43">
        <v>-77.026159000000007</v>
      </c>
      <c r="G231" s="43">
        <v>-12.088846</v>
      </c>
      <c r="H231" s="43">
        <v>-77.023703999999995</v>
      </c>
      <c r="I231" s="43">
        <v>-12.059472</v>
      </c>
      <c r="J231" s="43">
        <v>-77.035437000000002</v>
      </c>
    </row>
    <row r="232" spans="1:10" x14ac:dyDescent="0.25">
      <c r="A232" s="15" t="s">
        <v>4299</v>
      </c>
      <c r="B232" s="15" t="s">
        <v>4280</v>
      </c>
      <c r="C232" s="40">
        <v>10.173999999999999</v>
      </c>
      <c r="D232" s="29">
        <v>1.2500000000000001E-2</v>
      </c>
      <c r="E232" s="41">
        <v>-12.131543000000001</v>
      </c>
      <c r="F232" s="41">
        <v>-77.022239999999996</v>
      </c>
      <c r="G232" s="41">
        <v>-12.142175</v>
      </c>
      <c r="H232" s="41">
        <v>-77.026520000000005</v>
      </c>
      <c r="I232" s="41">
        <v>-12.160399999999999</v>
      </c>
      <c r="J232" s="41">
        <v>-77.025407000000001</v>
      </c>
    </row>
    <row r="233" spans="1:10" x14ac:dyDescent="0.25">
      <c r="A233" s="15" t="s">
        <v>4299</v>
      </c>
      <c r="B233" s="15" t="s">
        <v>4281</v>
      </c>
      <c r="C233" s="42">
        <v>14.108000000000001</v>
      </c>
      <c r="D233" s="25">
        <v>1.6666666666666666E-2</v>
      </c>
      <c r="E233" s="43">
        <v>-12.105699</v>
      </c>
      <c r="F233" s="43">
        <v>-77.027204999999995</v>
      </c>
      <c r="G233" s="43">
        <v>-12.086795</v>
      </c>
      <c r="H233" s="43">
        <v>-76.997088000000005</v>
      </c>
      <c r="I233" s="43">
        <v>-12.077996000000001</v>
      </c>
      <c r="J233" s="43">
        <v>-76.964853000000005</v>
      </c>
    </row>
    <row r="234" spans="1:10" x14ac:dyDescent="0.25">
      <c r="A234" s="15" t="s">
        <v>4299</v>
      </c>
      <c r="B234" s="15" t="s">
        <v>4296</v>
      </c>
      <c r="C234" s="40">
        <v>10.653</v>
      </c>
      <c r="D234" s="29">
        <v>1.3888888888888888E-2</v>
      </c>
      <c r="E234" s="41">
        <v>-12.107894999999999</v>
      </c>
      <c r="F234" s="41">
        <v>-77.026418000000007</v>
      </c>
      <c r="G234" s="41">
        <v>-12.070709000000001</v>
      </c>
      <c r="H234" s="41">
        <v>-77.031283999999999</v>
      </c>
      <c r="I234" s="41">
        <v>-12.06077</v>
      </c>
      <c r="J234" s="41">
        <v>-77.035853000000003</v>
      </c>
    </row>
    <row r="235" spans="1:10" x14ac:dyDescent="0.25">
      <c r="A235" s="15" t="s">
        <v>4299</v>
      </c>
      <c r="B235" s="15" t="s">
        <v>4297</v>
      </c>
      <c r="C235" s="42">
        <v>8.5020000000000007</v>
      </c>
      <c r="D235" s="25">
        <v>1.1805555555555555E-2</v>
      </c>
      <c r="E235" s="43">
        <v>-12.112088</v>
      </c>
      <c r="F235" s="43">
        <v>-77.025778000000003</v>
      </c>
      <c r="G235" s="43">
        <v>-12.092152</v>
      </c>
      <c r="H235" s="43">
        <v>-77.022794000000005</v>
      </c>
      <c r="I235" s="43">
        <v>-12.076604</v>
      </c>
      <c r="J235" s="43">
        <v>-77.027676999999997</v>
      </c>
    </row>
    <row r="236" spans="1:10" x14ac:dyDescent="0.25">
      <c r="A236" s="15" t="s">
        <v>4299</v>
      </c>
      <c r="B236" s="15" t="s">
        <v>4298</v>
      </c>
      <c r="C236" s="40">
        <v>2.3130000000000002</v>
      </c>
      <c r="D236" s="29">
        <v>4.8611111111111112E-3</v>
      </c>
      <c r="E236" s="41">
        <v>-12.114126000000001</v>
      </c>
      <c r="F236" s="41">
        <v>-77.036845</v>
      </c>
      <c r="G236" s="41">
        <v>-12.114041</v>
      </c>
      <c r="H236" s="41">
        <v>-77.036748000000003</v>
      </c>
      <c r="I236" s="41">
        <v>-12.113776</v>
      </c>
      <c r="J236" s="41">
        <v>-77.029837999999998</v>
      </c>
    </row>
    <row r="237" spans="1:10" x14ac:dyDescent="0.25">
      <c r="A237" s="15" t="s">
        <v>4299</v>
      </c>
      <c r="B237" s="15" t="s">
        <v>4299</v>
      </c>
      <c r="C237" s="42">
        <v>0</v>
      </c>
      <c r="D237" s="25">
        <v>0</v>
      </c>
      <c r="E237" s="43">
        <f>'1 ubicaciones'!D8</f>
        <v>-12.076704899999999</v>
      </c>
      <c r="F237" s="43">
        <f>'1 ubicaciones'!E8</f>
        <v>-77.088834000000006</v>
      </c>
      <c r="G237" s="43">
        <f>'1 ubicaciones'!D8</f>
        <v>-12.076704899999999</v>
      </c>
      <c r="H237" s="43">
        <f>'1 ubicaciones'!E8</f>
        <v>-77.088834000000006</v>
      </c>
      <c r="I237" s="43">
        <f>'1 ubicaciones'!D8</f>
        <v>-12.076704899999999</v>
      </c>
      <c r="J237" s="43">
        <f>'1 ubicaciones'!E8</f>
        <v>-77.088834000000006</v>
      </c>
    </row>
    <row r="238" spans="1:10" x14ac:dyDescent="0.25">
      <c r="A238" s="15" t="s">
        <v>4299</v>
      </c>
      <c r="B238" s="15" t="s">
        <v>4300</v>
      </c>
      <c r="C238" s="40">
        <v>10.976000000000001</v>
      </c>
      <c r="D238" s="29">
        <v>1.3194444444444444E-2</v>
      </c>
      <c r="E238" s="41">
        <v>-12.107894999999999</v>
      </c>
      <c r="F238" s="41">
        <v>-77.026418000000007</v>
      </c>
      <c r="G238" s="41">
        <v>-12.090726</v>
      </c>
      <c r="H238" s="41">
        <v>-77.021277999999995</v>
      </c>
      <c r="I238" s="41">
        <v>-12.08907</v>
      </c>
      <c r="J238" s="41">
        <v>-76.981326999999993</v>
      </c>
    </row>
    <row r="239" spans="1:10" x14ac:dyDescent="0.25">
      <c r="A239" s="15" t="s">
        <v>4299</v>
      </c>
      <c r="B239" s="15" t="s">
        <v>4301</v>
      </c>
      <c r="C239" s="42">
        <v>26.166</v>
      </c>
      <c r="D239" s="25">
        <v>2.9166666666666667E-2</v>
      </c>
      <c r="E239" s="43">
        <v>-12.092152</v>
      </c>
      <c r="F239" s="43">
        <v>-77.022794000000005</v>
      </c>
      <c r="G239" s="43">
        <v>-12.059642</v>
      </c>
      <c r="H239" s="43">
        <v>-77.036537999999993</v>
      </c>
      <c r="I239" s="43">
        <v>-12.03608</v>
      </c>
      <c r="J239" s="43">
        <v>-77.044940999999994</v>
      </c>
    </row>
    <row r="240" spans="1:10" x14ac:dyDescent="0.25">
      <c r="A240" s="15" t="s">
        <v>4299</v>
      </c>
      <c r="B240" s="15" t="s">
        <v>4302</v>
      </c>
      <c r="C240" s="40">
        <v>7.02</v>
      </c>
      <c r="D240" s="29">
        <v>1.1111111111111112E-2</v>
      </c>
      <c r="E240" s="41">
        <v>-12.112237</v>
      </c>
      <c r="F240" s="41">
        <v>-77.025717</v>
      </c>
      <c r="G240" s="41">
        <v>-12.102651</v>
      </c>
      <c r="H240" s="41">
        <v>-77.027163000000002</v>
      </c>
      <c r="I240" s="41">
        <v>-12.090745999999999</v>
      </c>
      <c r="J240" s="41">
        <v>-77.021360999999999</v>
      </c>
    </row>
    <row r="241" spans="1:10" x14ac:dyDescent="0.25">
      <c r="A241" s="15" t="s">
        <v>4299</v>
      </c>
      <c r="B241" s="15" t="s">
        <v>4303</v>
      </c>
      <c r="C241" s="42">
        <v>8.2409999999999997</v>
      </c>
      <c r="D241" s="25">
        <v>1.1111111111111112E-2</v>
      </c>
      <c r="E241" s="43">
        <v>-12.112088</v>
      </c>
      <c r="F241" s="43">
        <v>-77.025778000000003</v>
      </c>
      <c r="G241" s="43">
        <v>-12.092152</v>
      </c>
      <c r="H241" s="43">
        <v>-77.022794000000005</v>
      </c>
      <c r="I241" s="43">
        <v>-12.076604</v>
      </c>
      <c r="J241" s="43">
        <v>-77.027676999999997</v>
      </c>
    </row>
    <row r="242" spans="1:10" x14ac:dyDescent="0.25">
      <c r="A242" s="15" t="s">
        <v>4299</v>
      </c>
      <c r="B242" s="15" t="s">
        <v>4304</v>
      </c>
      <c r="C242" s="40">
        <v>7.9740000000000002</v>
      </c>
      <c r="D242" s="29">
        <v>1.0416666666666666E-2</v>
      </c>
      <c r="E242" s="41">
        <v>-12.112088</v>
      </c>
      <c r="F242" s="41">
        <v>-77.025778000000003</v>
      </c>
      <c r="G242" s="41">
        <v>-12.092152</v>
      </c>
      <c r="H242" s="41">
        <v>-77.022794000000005</v>
      </c>
      <c r="I242" s="41">
        <v>-12.076604</v>
      </c>
      <c r="J242" s="41">
        <v>-77.027676999999997</v>
      </c>
    </row>
    <row r="243" spans="1:10" x14ac:dyDescent="0.25">
      <c r="A243" s="15" t="s">
        <v>4299</v>
      </c>
      <c r="B243" s="15" t="s">
        <v>4269</v>
      </c>
      <c r="C243" s="42">
        <v>8.125</v>
      </c>
      <c r="D243" s="25">
        <v>1.1111111111111112E-2</v>
      </c>
      <c r="E243" s="43">
        <v>-12.109318</v>
      </c>
      <c r="F243" s="43">
        <v>-77.048299999999998</v>
      </c>
      <c r="G243" s="43">
        <v>-12.10994</v>
      </c>
      <c r="H243" s="43">
        <v>-77.054919999999996</v>
      </c>
      <c r="I243" s="43">
        <v>-12.093294999999999</v>
      </c>
      <c r="J243" s="43">
        <v>-77.081515999999993</v>
      </c>
    </row>
    <row r="244" spans="1:10" x14ac:dyDescent="0.25">
      <c r="A244" s="15" t="s">
        <v>4299</v>
      </c>
      <c r="B244" s="15" t="s">
        <v>4305</v>
      </c>
      <c r="C244" s="40">
        <v>9.6440000000000001</v>
      </c>
      <c r="D244" s="29">
        <v>1.2500000000000001E-2</v>
      </c>
      <c r="E244" s="41">
        <v>-12.103396</v>
      </c>
      <c r="F244" s="41">
        <v>-77.027244999999994</v>
      </c>
      <c r="G244" s="41">
        <v>-12.060078000000001</v>
      </c>
      <c r="H244" s="41">
        <v>-77.035393999999997</v>
      </c>
      <c r="I244" s="41">
        <v>-12.061985</v>
      </c>
      <c r="J244" s="41">
        <v>-77.043244000000001</v>
      </c>
    </row>
    <row r="245" spans="1:10" x14ac:dyDescent="0.25">
      <c r="A245" s="15" t="s">
        <v>4299</v>
      </c>
      <c r="B245" s="15" t="s">
        <v>4306</v>
      </c>
      <c r="C245" s="42">
        <v>7.218</v>
      </c>
      <c r="D245" s="25">
        <v>1.2500000000000001E-2</v>
      </c>
      <c r="E245" s="43">
        <v>-12.113588999999999</v>
      </c>
      <c r="F245" s="43">
        <v>-77.026325999999997</v>
      </c>
      <c r="G245" s="43">
        <v>-12.117696</v>
      </c>
      <c r="H245" s="43">
        <v>-77.026276999999993</v>
      </c>
      <c r="I245" s="43">
        <v>-12.125346</v>
      </c>
      <c r="J245" s="43">
        <v>-77.024439000000001</v>
      </c>
    </row>
    <row r="246" spans="1:10" x14ac:dyDescent="0.25">
      <c r="A246" s="15" t="s">
        <v>4299</v>
      </c>
      <c r="B246" s="15" t="s">
        <v>4277</v>
      </c>
      <c r="C246" s="40">
        <v>3.359</v>
      </c>
      <c r="D246" s="29">
        <v>6.9444444444444441E-3</v>
      </c>
      <c r="E246" s="41">
        <v>-12.109895</v>
      </c>
      <c r="F246" s="41">
        <v>-77.036976999999993</v>
      </c>
      <c r="G246" s="41">
        <v>-12.097880999999999</v>
      </c>
      <c r="H246" s="41">
        <v>-77.036192</v>
      </c>
      <c r="I246" s="41">
        <v>-12.095691</v>
      </c>
      <c r="J246" s="41">
        <v>-77.038242999999994</v>
      </c>
    </row>
    <row r="247" spans="1:10" x14ac:dyDescent="0.25">
      <c r="A247" s="15" t="s">
        <v>4299</v>
      </c>
      <c r="B247" s="15" t="s">
        <v>4307</v>
      </c>
      <c r="C247" s="42">
        <v>16.637</v>
      </c>
      <c r="D247" s="25">
        <v>1.8055555555555554E-2</v>
      </c>
      <c r="E247" s="43">
        <v>-12.100448999999999</v>
      </c>
      <c r="F247" s="43">
        <v>-77.026599000000004</v>
      </c>
      <c r="G247" s="43">
        <v>-12.085198</v>
      </c>
      <c r="H247" s="43">
        <v>-76.981576000000004</v>
      </c>
      <c r="I247" s="43">
        <v>-12.062414</v>
      </c>
      <c r="J247" s="43">
        <v>-76.971571999999995</v>
      </c>
    </row>
    <row r="248" spans="1:10" x14ac:dyDescent="0.25">
      <c r="A248" s="15" t="s">
        <v>4299</v>
      </c>
      <c r="B248" s="15" t="s">
        <v>4308</v>
      </c>
      <c r="C248" s="40">
        <v>9.1280000000000001</v>
      </c>
      <c r="D248" s="29">
        <v>1.3194444444444444E-2</v>
      </c>
      <c r="E248" s="41">
        <v>-12.109342</v>
      </c>
      <c r="F248" s="41">
        <v>-77.048281000000003</v>
      </c>
      <c r="G248" s="41">
        <v>-12.109650999999999</v>
      </c>
      <c r="H248" s="41">
        <v>-77.054355999999999</v>
      </c>
      <c r="I248" s="41">
        <v>-12.097502</v>
      </c>
      <c r="J248" s="41">
        <v>-77.073233999999999</v>
      </c>
    </row>
    <row r="249" spans="1:10" x14ac:dyDescent="0.25">
      <c r="A249" s="15" t="s">
        <v>4299</v>
      </c>
      <c r="B249" s="15" t="s">
        <v>4309</v>
      </c>
      <c r="C249" s="42">
        <v>6.5270000000000001</v>
      </c>
      <c r="D249" s="25">
        <v>8.3333333333333332E-3</v>
      </c>
      <c r="E249" s="43">
        <v>-12.113393</v>
      </c>
      <c r="F249" s="43">
        <v>-77.025512000000006</v>
      </c>
      <c r="G249" s="43">
        <v>-12.105699</v>
      </c>
      <c r="H249" s="43">
        <v>-77.027204999999995</v>
      </c>
      <c r="I249" s="43">
        <v>-12.087759999999999</v>
      </c>
      <c r="J249" s="43">
        <v>-77.024265999999997</v>
      </c>
    </row>
    <row r="250" spans="1:10" x14ac:dyDescent="0.25">
      <c r="A250" s="15" t="s">
        <v>4299</v>
      </c>
      <c r="B250" s="15" t="s">
        <v>4278</v>
      </c>
      <c r="C250" s="40">
        <v>17.715</v>
      </c>
      <c r="D250" s="29">
        <v>2.2916666666666665E-2</v>
      </c>
      <c r="E250" s="41">
        <v>-12.091278000000001</v>
      </c>
      <c r="F250" s="41">
        <v>-77.022654000000003</v>
      </c>
      <c r="G250" s="41">
        <v>-12.060096</v>
      </c>
      <c r="H250" s="41">
        <v>-77.040930000000003</v>
      </c>
      <c r="I250" s="41">
        <v>-12.035235</v>
      </c>
      <c r="J250" s="41">
        <v>-77.048686000000004</v>
      </c>
    </row>
    <row r="251" spans="1:10" x14ac:dyDescent="0.25">
      <c r="A251" s="15" t="s">
        <v>4299</v>
      </c>
      <c r="B251" s="15" t="s">
        <v>4310</v>
      </c>
      <c r="C251" s="42">
        <v>17.602</v>
      </c>
      <c r="D251" s="25">
        <v>1.8055555555555554E-2</v>
      </c>
      <c r="E251" s="43">
        <v>-12.09507</v>
      </c>
      <c r="F251" s="43">
        <v>-77.024058999999994</v>
      </c>
      <c r="G251" s="43">
        <v>-12.085900000000001</v>
      </c>
      <c r="H251" s="43">
        <v>-76.981693000000007</v>
      </c>
      <c r="I251" s="43">
        <v>-12.042017</v>
      </c>
      <c r="J251" s="43">
        <v>-76.986729999999994</v>
      </c>
    </row>
    <row r="252" spans="1:10" x14ac:dyDescent="0.25">
      <c r="A252" s="15" t="s">
        <v>4299</v>
      </c>
      <c r="B252" s="15" t="s">
        <v>4311</v>
      </c>
      <c r="C252" s="40">
        <v>8.4220000000000006</v>
      </c>
      <c r="D252" s="29">
        <v>1.1805555555555555E-2</v>
      </c>
      <c r="E252" s="41">
        <v>-12.108548000000001</v>
      </c>
      <c r="F252" s="41">
        <v>-77.026296000000002</v>
      </c>
      <c r="G252" s="41">
        <v>-12.072932</v>
      </c>
      <c r="H252" s="41">
        <v>-77.030441999999994</v>
      </c>
      <c r="I252" s="41">
        <v>-12.068913999999999</v>
      </c>
      <c r="J252" s="41">
        <v>-77.032422999999994</v>
      </c>
    </row>
    <row r="253" spans="1:10" x14ac:dyDescent="0.25">
      <c r="A253" s="15" t="s">
        <v>4299</v>
      </c>
      <c r="B253" s="15" t="s">
        <v>4312</v>
      </c>
      <c r="C253" s="42">
        <v>8.234</v>
      </c>
      <c r="D253" s="25">
        <v>1.1111111111111112E-2</v>
      </c>
      <c r="E253" s="43">
        <v>-12.112088</v>
      </c>
      <c r="F253" s="43">
        <v>-77.025778000000003</v>
      </c>
      <c r="G253" s="43">
        <v>-12.092152</v>
      </c>
      <c r="H253" s="43">
        <v>-77.022794000000005</v>
      </c>
      <c r="I253" s="43">
        <v>-12.076604</v>
      </c>
      <c r="J253" s="43">
        <v>-77.027676999999997</v>
      </c>
    </row>
    <row r="254" spans="1:10" x14ac:dyDescent="0.25">
      <c r="A254" s="15" t="s">
        <v>4299</v>
      </c>
      <c r="B254" s="15" t="s">
        <v>4313</v>
      </c>
      <c r="C254" s="40">
        <v>10.765000000000001</v>
      </c>
      <c r="D254" s="29">
        <v>1.3888888888888888E-2</v>
      </c>
      <c r="E254" s="41">
        <v>-12.105699</v>
      </c>
      <c r="F254" s="41">
        <v>-77.027204999999995</v>
      </c>
      <c r="G254" s="41">
        <v>-12.060370000000001</v>
      </c>
      <c r="H254" s="41">
        <v>-77.035360999999995</v>
      </c>
      <c r="I254" s="41">
        <v>-12.064437</v>
      </c>
      <c r="J254" s="41">
        <v>-77.039114999999995</v>
      </c>
    </row>
    <row r="255" spans="1:10" x14ac:dyDescent="0.25">
      <c r="A255" s="15" t="s">
        <v>4299</v>
      </c>
      <c r="B255" s="15" t="s">
        <v>4314</v>
      </c>
      <c r="C255" s="42">
        <v>8.7850000000000001</v>
      </c>
      <c r="D255" s="25">
        <v>1.3888888888888888E-2</v>
      </c>
      <c r="E255" s="43">
        <v>-12.109278</v>
      </c>
      <c r="F255" s="43">
        <v>-77.048343000000003</v>
      </c>
      <c r="G255" s="43">
        <v>-12.109514000000001</v>
      </c>
      <c r="H255" s="43">
        <v>-77.055694000000003</v>
      </c>
      <c r="I255" s="43">
        <v>-12.091673</v>
      </c>
      <c r="J255" s="43">
        <v>-77.084574000000003</v>
      </c>
    </row>
    <row r="256" spans="1:10" x14ac:dyDescent="0.25">
      <c r="A256" s="15" t="s">
        <v>4299</v>
      </c>
      <c r="B256" s="15" t="s">
        <v>4315</v>
      </c>
      <c r="C256" s="40">
        <v>7.335</v>
      </c>
      <c r="D256" s="29">
        <v>1.2500000000000001E-2</v>
      </c>
      <c r="E256" s="41">
        <v>-12.114044</v>
      </c>
      <c r="F256" s="41">
        <v>-77.036844000000002</v>
      </c>
      <c r="G256" s="41">
        <v>-12.113776</v>
      </c>
      <c r="H256" s="41">
        <v>-77.029837999999998</v>
      </c>
      <c r="I256" s="41">
        <v>-12.111027</v>
      </c>
      <c r="J256" s="41">
        <v>-76.989470999999995</v>
      </c>
    </row>
    <row r="257" spans="1:10" x14ac:dyDescent="0.25">
      <c r="A257" s="15" t="s">
        <v>4299</v>
      </c>
      <c r="B257" s="15" t="s">
        <v>4316</v>
      </c>
      <c r="C257" s="42">
        <v>3.9249999999999998</v>
      </c>
      <c r="D257" s="25">
        <v>7.6388888888888886E-3</v>
      </c>
      <c r="E257" s="43">
        <v>-12.110500999999999</v>
      </c>
      <c r="F257" s="43">
        <v>-77.045989000000006</v>
      </c>
      <c r="G257" s="43">
        <v>-12.109381000000001</v>
      </c>
      <c r="H257" s="43">
        <v>-77.048247000000003</v>
      </c>
      <c r="I257" s="43">
        <v>-12.108150999999999</v>
      </c>
      <c r="J257" s="43">
        <v>-77.049519000000004</v>
      </c>
    </row>
    <row r="258" spans="1:10" x14ac:dyDescent="0.25">
      <c r="A258" s="15" t="s">
        <v>4299</v>
      </c>
      <c r="B258" s="15" t="s">
        <v>4317</v>
      </c>
      <c r="C258" s="40">
        <v>11.047000000000001</v>
      </c>
      <c r="D258" s="29">
        <v>1.8749999999999999E-2</v>
      </c>
      <c r="E258" s="41">
        <v>-12.112677</v>
      </c>
      <c r="F258" s="41">
        <v>-77.012135000000001</v>
      </c>
      <c r="G258" s="41">
        <v>-12.13998</v>
      </c>
      <c r="H258" s="41">
        <v>-76.993350000000007</v>
      </c>
      <c r="I258" s="41">
        <v>-12.149908</v>
      </c>
      <c r="J258" s="41">
        <v>-76.982754</v>
      </c>
    </row>
    <row r="259" spans="1:10" x14ac:dyDescent="0.25">
      <c r="A259" s="15" t="s">
        <v>4299</v>
      </c>
      <c r="B259" s="15" t="s">
        <v>4318</v>
      </c>
      <c r="C259" s="42">
        <v>5.7469999999999999</v>
      </c>
      <c r="D259" s="25">
        <v>8.3333333333333332E-3</v>
      </c>
      <c r="E259" s="43">
        <v>-12.113393</v>
      </c>
      <c r="F259" s="43">
        <v>-77.025512000000006</v>
      </c>
      <c r="G259" s="43">
        <v>-12.105699</v>
      </c>
      <c r="H259" s="43">
        <v>-77.027204999999995</v>
      </c>
      <c r="I259" s="43">
        <v>-12.09164</v>
      </c>
      <c r="J259" s="43">
        <v>-77.022092999999998</v>
      </c>
    </row>
    <row r="260" spans="1:10" x14ac:dyDescent="0.25">
      <c r="A260" s="15" t="s">
        <v>4299</v>
      </c>
      <c r="B260" s="15" t="s">
        <v>4319</v>
      </c>
      <c r="C260" s="40">
        <v>5.9560000000000004</v>
      </c>
      <c r="D260" s="29">
        <v>1.1805555555555555E-2</v>
      </c>
      <c r="E260" s="41">
        <v>-12.114041</v>
      </c>
      <c r="F260" s="41">
        <v>-77.036748000000003</v>
      </c>
      <c r="G260" s="41">
        <v>-12.111554999999999</v>
      </c>
      <c r="H260" s="41">
        <v>-76.996527</v>
      </c>
      <c r="I260" s="41">
        <v>-12.111408000000001</v>
      </c>
      <c r="J260" s="41">
        <v>-76.993425000000002</v>
      </c>
    </row>
    <row r="261" spans="1:10" x14ac:dyDescent="0.25">
      <c r="A261" s="15" t="s">
        <v>4299</v>
      </c>
      <c r="B261" s="15" t="s">
        <v>4279</v>
      </c>
      <c r="C261" s="42">
        <v>16.582999999999998</v>
      </c>
      <c r="D261" s="25">
        <v>1.8749999999999999E-2</v>
      </c>
      <c r="E261" s="43">
        <v>-12.109529999999999</v>
      </c>
      <c r="F261" s="43">
        <v>-77.050607999999997</v>
      </c>
      <c r="G261" s="43">
        <v>-12.097985</v>
      </c>
      <c r="H261" s="43">
        <v>-77.072587999999996</v>
      </c>
      <c r="I261" s="43">
        <v>-12.072587</v>
      </c>
      <c r="J261" s="43">
        <v>-77.12321</v>
      </c>
    </row>
    <row r="262" spans="1:10" x14ac:dyDescent="0.25">
      <c r="A262" s="15" t="s">
        <v>4299</v>
      </c>
      <c r="B262" s="15" t="s">
        <v>4320</v>
      </c>
      <c r="C262" s="40">
        <v>12.577</v>
      </c>
      <c r="D262" s="29">
        <v>1.4583333333333334E-2</v>
      </c>
      <c r="E262" s="41">
        <v>-12.102651</v>
      </c>
      <c r="F262" s="41">
        <v>-77.027163000000002</v>
      </c>
      <c r="G262" s="41">
        <v>-12.086</v>
      </c>
      <c r="H262" s="41">
        <v>-76.987904999999998</v>
      </c>
      <c r="I262" s="41">
        <v>-12.073001</v>
      </c>
      <c r="J262" s="41">
        <v>-76.973752000000005</v>
      </c>
    </row>
    <row r="263" spans="1:10" x14ac:dyDescent="0.25">
      <c r="A263" s="15" t="s">
        <v>4299</v>
      </c>
      <c r="B263" s="15" t="s">
        <v>4321</v>
      </c>
      <c r="C263" s="42">
        <v>32.058</v>
      </c>
      <c r="D263" s="25">
        <v>3.6805555555555557E-2</v>
      </c>
      <c r="E263" s="43">
        <v>-12.087759999999999</v>
      </c>
      <c r="F263" s="43">
        <v>-77.024265999999997</v>
      </c>
      <c r="G263" s="43">
        <v>-12.036061999999999</v>
      </c>
      <c r="H263" s="43">
        <v>-77.043547000000004</v>
      </c>
      <c r="I263" s="43">
        <v>-12.002938</v>
      </c>
      <c r="J263" s="43">
        <v>-77.061993000000001</v>
      </c>
    </row>
    <row r="264" spans="1:10" x14ac:dyDescent="0.25">
      <c r="A264" s="15" t="s">
        <v>4299</v>
      </c>
      <c r="B264" s="15" t="s">
        <v>4322</v>
      </c>
      <c r="C264" s="40">
        <v>11.134</v>
      </c>
      <c r="D264" s="29">
        <v>1.3888888888888888E-2</v>
      </c>
      <c r="E264" s="41">
        <v>-12.124919999999999</v>
      </c>
      <c r="F264" s="41">
        <v>-77.024395999999996</v>
      </c>
      <c r="G264" s="41">
        <v>-12.140123000000001</v>
      </c>
      <c r="H264" s="41">
        <v>-77.027912999999998</v>
      </c>
      <c r="I264" s="41">
        <v>-12.161728999999999</v>
      </c>
      <c r="J264" s="41">
        <v>-77.025344000000004</v>
      </c>
    </row>
    <row r="265" spans="1:10" x14ac:dyDescent="0.25">
      <c r="A265" s="15" t="s">
        <v>4299</v>
      </c>
      <c r="B265" s="15" t="s">
        <v>4323</v>
      </c>
      <c r="C265" s="42">
        <v>11.644</v>
      </c>
      <c r="D265" s="25">
        <v>1.5277777777777777E-2</v>
      </c>
      <c r="E265" s="43">
        <v>-12.124919999999999</v>
      </c>
      <c r="F265" s="43">
        <v>-77.024395999999996</v>
      </c>
      <c r="G265" s="43">
        <v>-12.140123000000001</v>
      </c>
      <c r="H265" s="43">
        <v>-77.027912999999998</v>
      </c>
      <c r="I265" s="43">
        <v>-12.161728999999999</v>
      </c>
      <c r="J265" s="43">
        <v>-77.025344000000004</v>
      </c>
    </row>
    <row r="266" spans="1:10" x14ac:dyDescent="0.25">
      <c r="A266" s="15" t="s">
        <v>4299</v>
      </c>
      <c r="B266" s="15" t="s">
        <v>4324</v>
      </c>
      <c r="C266" s="40">
        <v>6.5679999999999996</v>
      </c>
      <c r="D266" s="29">
        <v>1.3888888888888888E-2</v>
      </c>
      <c r="E266" s="41">
        <v>-12.110068999999999</v>
      </c>
      <c r="F266" s="41">
        <v>-77.047550999999999</v>
      </c>
      <c r="G266" s="41">
        <v>-12.104696000000001</v>
      </c>
      <c r="H266" s="41">
        <v>-77.051709000000002</v>
      </c>
      <c r="I266" s="41">
        <v>-12.086340999999999</v>
      </c>
      <c r="J266" s="41">
        <v>-77.063238999999996</v>
      </c>
    </row>
    <row r="267" spans="1:10" x14ac:dyDescent="0.25">
      <c r="A267" s="15" t="s">
        <v>4299</v>
      </c>
      <c r="B267" s="15" t="s">
        <v>4325</v>
      </c>
      <c r="C267" s="42">
        <v>14.406000000000001</v>
      </c>
      <c r="D267" s="25">
        <v>2.5000000000000001E-2</v>
      </c>
      <c r="E267" s="43">
        <v>-12.13359</v>
      </c>
      <c r="F267" s="43">
        <v>-76.997874999999993</v>
      </c>
      <c r="G267" s="43">
        <v>-12.15099</v>
      </c>
      <c r="H267" s="43">
        <v>-76.979494000000003</v>
      </c>
      <c r="I267" s="43">
        <v>-12.140962</v>
      </c>
      <c r="J267" s="43">
        <v>-76.948964000000004</v>
      </c>
    </row>
    <row r="268" spans="1:10" x14ac:dyDescent="0.25">
      <c r="A268" s="15" t="s">
        <v>4299</v>
      </c>
      <c r="B268" s="15" t="s">
        <v>4268</v>
      </c>
      <c r="C268" s="40">
        <v>17.062999999999999</v>
      </c>
      <c r="D268" s="29">
        <v>1.7361111111111112E-2</v>
      </c>
      <c r="E268" s="41">
        <v>-12.09507</v>
      </c>
      <c r="F268" s="41">
        <v>-77.024058999999994</v>
      </c>
      <c r="G268" s="41">
        <v>-12.085900000000001</v>
      </c>
      <c r="H268" s="41">
        <v>-76.981693000000007</v>
      </c>
      <c r="I268" s="41">
        <v>-12.042017</v>
      </c>
      <c r="J268" s="41">
        <v>-76.986729999999994</v>
      </c>
    </row>
    <row r="269" spans="1:10" x14ac:dyDescent="0.25">
      <c r="A269" s="15" t="s">
        <v>4300</v>
      </c>
      <c r="B269" s="15" t="s">
        <v>4267</v>
      </c>
      <c r="C269" s="42">
        <v>13.863</v>
      </c>
      <c r="D269" s="25">
        <v>1.5972222222222221E-2</v>
      </c>
      <c r="E269" s="43">
        <v>-12.096399999999999</v>
      </c>
      <c r="F269" s="43">
        <v>-76.980053999999996</v>
      </c>
      <c r="G269" s="43">
        <v>-12.085720999999999</v>
      </c>
      <c r="H269" s="43">
        <v>-76.987510999999998</v>
      </c>
      <c r="I269" s="43">
        <v>-12.079159000000001</v>
      </c>
      <c r="J269" s="43">
        <v>-77.027724000000006</v>
      </c>
    </row>
    <row r="270" spans="1:10" x14ac:dyDescent="0.25">
      <c r="A270" s="15" t="s">
        <v>4300</v>
      </c>
      <c r="B270" s="15" t="s">
        <v>4280</v>
      </c>
      <c r="C270" s="40">
        <v>14.057</v>
      </c>
      <c r="D270" s="29">
        <v>1.7361111111111112E-2</v>
      </c>
      <c r="E270" s="41">
        <v>-12.135344999999999</v>
      </c>
      <c r="F270" s="41">
        <v>-76.979939000000002</v>
      </c>
      <c r="G270" s="41">
        <v>-12.172192000000001</v>
      </c>
      <c r="H270" s="41">
        <v>-76.981688000000005</v>
      </c>
      <c r="I270" s="41">
        <v>-12.183571000000001</v>
      </c>
      <c r="J270" s="41">
        <v>-77.000992999999994</v>
      </c>
    </row>
    <row r="271" spans="1:10" x14ac:dyDescent="0.25">
      <c r="A271" s="15" t="s">
        <v>4300</v>
      </c>
      <c r="B271" s="15" t="s">
        <v>4281</v>
      </c>
      <c r="C271" s="42">
        <v>8.6509999999999998</v>
      </c>
      <c r="D271" s="25">
        <v>1.1111111111111112E-2</v>
      </c>
      <c r="E271" s="43">
        <v>-12.098454</v>
      </c>
      <c r="F271" s="43">
        <v>-76.977070999999995</v>
      </c>
      <c r="G271" s="43">
        <v>-12.084917000000001</v>
      </c>
      <c r="H271" s="43">
        <v>-76.979853000000006</v>
      </c>
      <c r="I271" s="43">
        <v>-12.074628000000001</v>
      </c>
      <c r="J271" s="43">
        <v>-76.96266</v>
      </c>
    </row>
    <row r="272" spans="1:10" x14ac:dyDescent="0.25">
      <c r="A272" s="15" t="s">
        <v>4300</v>
      </c>
      <c r="B272" s="15" t="s">
        <v>4296</v>
      </c>
      <c r="C272" s="40">
        <v>14.585000000000001</v>
      </c>
      <c r="D272" s="29">
        <v>1.5972222222222221E-2</v>
      </c>
      <c r="E272" s="41">
        <v>-12.091003000000001</v>
      </c>
      <c r="F272" s="41">
        <v>-76.980828000000002</v>
      </c>
      <c r="G272" s="41">
        <v>-12.08681</v>
      </c>
      <c r="H272" s="41">
        <v>-76.997433999999998</v>
      </c>
      <c r="I272" s="41">
        <v>-12.059535</v>
      </c>
      <c r="J272" s="41">
        <v>-77.035432</v>
      </c>
    </row>
    <row r="273" spans="1:10" x14ac:dyDescent="0.25">
      <c r="A273" s="15" t="s">
        <v>4300</v>
      </c>
      <c r="B273" s="15" t="s">
        <v>4297</v>
      </c>
      <c r="C273" s="42">
        <v>8.8789999999999996</v>
      </c>
      <c r="D273" s="25">
        <v>1.1111111111111112E-2</v>
      </c>
      <c r="E273" s="43">
        <v>-12.096598999999999</v>
      </c>
      <c r="F273" s="43">
        <v>-76.979865000000004</v>
      </c>
      <c r="G273" s="43">
        <v>-12.084856</v>
      </c>
      <c r="H273" s="43">
        <v>-76.981634999999997</v>
      </c>
      <c r="I273" s="43">
        <v>-12.081877</v>
      </c>
      <c r="J273" s="43">
        <v>-77.004642000000004</v>
      </c>
    </row>
    <row r="274" spans="1:10" x14ac:dyDescent="0.25">
      <c r="A274" s="15" t="s">
        <v>4300</v>
      </c>
      <c r="B274" s="15" t="s">
        <v>4298</v>
      </c>
      <c r="C274" s="40">
        <v>5.9969999999999999</v>
      </c>
      <c r="D274" s="29">
        <v>9.7222222222222224E-3</v>
      </c>
      <c r="E274" s="41">
        <v>-12.109279000000001</v>
      </c>
      <c r="F274" s="41">
        <v>-76.974834999999999</v>
      </c>
      <c r="G274" s="41">
        <v>-12.109912</v>
      </c>
      <c r="H274" s="41">
        <v>-76.974992</v>
      </c>
      <c r="I274" s="41">
        <v>-12.110939</v>
      </c>
      <c r="J274" s="41">
        <v>-76.989727999999999</v>
      </c>
    </row>
    <row r="275" spans="1:10" x14ac:dyDescent="0.25">
      <c r="A275" s="15" t="s">
        <v>4300</v>
      </c>
      <c r="B275" s="15" t="s">
        <v>4299</v>
      </c>
      <c r="C275" s="42">
        <v>12.061999999999999</v>
      </c>
      <c r="D275" s="25">
        <v>1.3194444444444444E-2</v>
      </c>
      <c r="E275" s="43">
        <v>-12.096399999999999</v>
      </c>
      <c r="F275" s="43">
        <v>-76.980053999999996</v>
      </c>
      <c r="G275" s="43">
        <v>-12.085720999999999</v>
      </c>
      <c r="H275" s="43">
        <v>-76.987510999999998</v>
      </c>
      <c r="I275" s="43">
        <v>-12.091443</v>
      </c>
      <c r="J275" s="43">
        <v>-77.022925000000001</v>
      </c>
    </row>
    <row r="276" spans="1:10" x14ac:dyDescent="0.25">
      <c r="A276" s="15" t="s">
        <v>4300</v>
      </c>
      <c r="B276" s="15" t="s">
        <v>4300</v>
      </c>
      <c r="C276" s="40">
        <v>0</v>
      </c>
      <c r="D276" s="29">
        <v>0</v>
      </c>
      <c r="E276" s="41">
        <f>'1 ubicaciones'!D9</f>
        <v>-12.0598008</v>
      </c>
      <c r="F276" s="41">
        <f>'1 ubicaciones'!E9</f>
        <v>-77.073287399999998</v>
      </c>
      <c r="G276" s="41">
        <f>'1 ubicaciones'!D9</f>
        <v>-12.0598008</v>
      </c>
      <c r="H276" s="41">
        <f>'1 ubicaciones'!E9</f>
        <v>-77.073287399999998</v>
      </c>
      <c r="I276" s="41">
        <f>'1 ubicaciones'!D9</f>
        <v>-12.0598008</v>
      </c>
      <c r="J276" s="41">
        <f>'1 ubicaciones'!E9</f>
        <v>-77.073287399999998</v>
      </c>
    </row>
    <row r="277" spans="1:10" x14ac:dyDescent="0.25">
      <c r="A277" s="15" t="s">
        <v>4300</v>
      </c>
      <c r="B277" s="15" t="s">
        <v>4301</v>
      </c>
      <c r="C277" s="42">
        <v>31.169</v>
      </c>
      <c r="D277" s="25">
        <v>2.5000000000000001E-2</v>
      </c>
      <c r="E277" s="43">
        <v>-12.086148</v>
      </c>
      <c r="F277" s="43">
        <v>-76.982112999999998</v>
      </c>
      <c r="G277" s="43">
        <v>-12.034238999999999</v>
      </c>
      <c r="H277" s="43">
        <v>-76.989767999999998</v>
      </c>
      <c r="I277" s="43">
        <v>-12.039648</v>
      </c>
      <c r="J277" s="43">
        <v>-77.036204999999995</v>
      </c>
    </row>
    <row r="278" spans="1:10" x14ac:dyDescent="0.25">
      <c r="A278" s="15" t="s">
        <v>4300</v>
      </c>
      <c r="B278" s="15" t="s">
        <v>4302</v>
      </c>
      <c r="C278" s="40">
        <v>5.2359999999999998</v>
      </c>
      <c r="D278" s="29">
        <v>8.3333333333333332E-3</v>
      </c>
      <c r="E278" s="41">
        <v>-12.1097</v>
      </c>
      <c r="F278" s="41">
        <v>-76.974995000000007</v>
      </c>
      <c r="G278" s="41">
        <v>-12.110939</v>
      </c>
      <c r="H278" s="41">
        <v>-76.989727999999999</v>
      </c>
      <c r="I278" s="41">
        <v>-12.111535</v>
      </c>
      <c r="J278" s="41">
        <v>-76.998638999999997</v>
      </c>
    </row>
    <row r="279" spans="1:10" x14ac:dyDescent="0.25">
      <c r="A279" s="15" t="s">
        <v>4300</v>
      </c>
      <c r="B279" s="15" t="s">
        <v>4303</v>
      </c>
      <c r="C279" s="42">
        <v>8.7799999999999994</v>
      </c>
      <c r="D279" s="25">
        <v>1.1111111111111112E-2</v>
      </c>
      <c r="E279" s="43">
        <v>-12.096399999999999</v>
      </c>
      <c r="F279" s="43">
        <v>-76.980053999999996</v>
      </c>
      <c r="G279" s="43">
        <v>-12.085720999999999</v>
      </c>
      <c r="H279" s="43">
        <v>-76.987510999999998</v>
      </c>
      <c r="I279" s="43">
        <v>-12.079836</v>
      </c>
      <c r="J279" s="43">
        <v>-77.008672000000004</v>
      </c>
    </row>
    <row r="280" spans="1:10" x14ac:dyDescent="0.25">
      <c r="A280" s="15" t="s">
        <v>4300</v>
      </c>
      <c r="B280" s="15" t="s">
        <v>4304</v>
      </c>
      <c r="C280" s="40">
        <v>8.3629999999999995</v>
      </c>
      <c r="D280" s="29">
        <v>1.0416666666666666E-2</v>
      </c>
      <c r="E280" s="41">
        <v>-12.096598999999999</v>
      </c>
      <c r="F280" s="41">
        <v>-76.979865000000004</v>
      </c>
      <c r="G280" s="41">
        <v>-12.084856</v>
      </c>
      <c r="H280" s="41">
        <v>-76.981634999999997</v>
      </c>
      <c r="I280" s="41">
        <v>-12.081877</v>
      </c>
      <c r="J280" s="41">
        <v>-77.004642000000004</v>
      </c>
    </row>
    <row r="281" spans="1:10" x14ac:dyDescent="0.25">
      <c r="A281" s="15" t="s">
        <v>4300</v>
      </c>
      <c r="B281" s="15" t="s">
        <v>4269</v>
      </c>
      <c r="C281" s="42">
        <v>14.728999999999999</v>
      </c>
      <c r="D281" s="25">
        <v>1.9444444444444445E-2</v>
      </c>
      <c r="E281" s="43">
        <v>-12.098746</v>
      </c>
      <c r="F281" s="43">
        <v>-76.979280000000003</v>
      </c>
      <c r="G281" s="43">
        <v>-12.084199999999999</v>
      </c>
      <c r="H281" s="43">
        <v>-76.981269999999995</v>
      </c>
      <c r="I281" s="43">
        <v>-12.087743</v>
      </c>
      <c r="J281" s="43">
        <v>-77.001643999999999</v>
      </c>
    </row>
    <row r="282" spans="1:10" x14ac:dyDescent="0.25">
      <c r="A282" s="15" t="s">
        <v>4300</v>
      </c>
      <c r="B282" s="15" t="s">
        <v>4305</v>
      </c>
      <c r="C282" s="40">
        <v>13.576000000000001</v>
      </c>
      <c r="D282" s="29">
        <v>1.4583333333333334E-2</v>
      </c>
      <c r="E282" s="41">
        <v>-12.087759</v>
      </c>
      <c r="F282" s="41">
        <v>-76.981299000000007</v>
      </c>
      <c r="G282" s="41">
        <v>-12.090366</v>
      </c>
      <c r="H282" s="41">
        <v>-77.020895999999993</v>
      </c>
      <c r="I282" s="41">
        <v>-12.059982</v>
      </c>
      <c r="J282" s="41">
        <v>-77.041065000000003</v>
      </c>
    </row>
    <row r="283" spans="1:10" x14ac:dyDescent="0.25">
      <c r="A283" s="15" t="s">
        <v>4300</v>
      </c>
      <c r="B283" s="15" t="s">
        <v>4306</v>
      </c>
      <c r="C283" s="42">
        <v>4.4039999999999999</v>
      </c>
      <c r="D283" s="25">
        <v>5.5555555555555558E-3</v>
      </c>
      <c r="E283" s="43">
        <v>-12.110170999999999</v>
      </c>
      <c r="F283" s="43">
        <v>-76.978758999999997</v>
      </c>
      <c r="G283" s="43">
        <v>-12.109344</v>
      </c>
      <c r="H283" s="43">
        <v>-76.978605000000002</v>
      </c>
      <c r="I283" s="43">
        <v>-12.128666000000001</v>
      </c>
      <c r="J283" s="43">
        <v>-76.977340999999996</v>
      </c>
    </row>
    <row r="284" spans="1:10" x14ac:dyDescent="0.25">
      <c r="A284" s="15" t="s">
        <v>4300</v>
      </c>
      <c r="B284" s="15" t="s">
        <v>4277</v>
      </c>
      <c r="C284" s="40">
        <v>10.268000000000001</v>
      </c>
      <c r="D284" s="29">
        <v>1.0416666666666666E-2</v>
      </c>
      <c r="E284" s="41">
        <v>-12.097943000000001</v>
      </c>
      <c r="F284" s="41">
        <v>-76.973279000000005</v>
      </c>
      <c r="G284" s="41">
        <v>-12.087759</v>
      </c>
      <c r="H284" s="41">
        <v>-76.981299000000007</v>
      </c>
      <c r="I284" s="41">
        <v>-12.084856</v>
      </c>
      <c r="J284" s="41">
        <v>-76.981634999999997</v>
      </c>
    </row>
    <row r="285" spans="1:10" x14ac:dyDescent="0.25">
      <c r="A285" s="15" t="s">
        <v>4300</v>
      </c>
      <c r="B285" s="15" t="s">
        <v>4307</v>
      </c>
      <c r="C285" s="42">
        <v>11.032</v>
      </c>
      <c r="D285" s="25">
        <v>1.2500000000000001E-2</v>
      </c>
      <c r="E285" s="43">
        <v>-12.098454</v>
      </c>
      <c r="F285" s="43">
        <v>-76.977070999999995</v>
      </c>
      <c r="G285" s="43">
        <v>-12.084517999999999</v>
      </c>
      <c r="H285" s="43">
        <v>-76.981699000000006</v>
      </c>
      <c r="I285" s="43">
        <v>-12.050679000000001</v>
      </c>
      <c r="J285" s="43">
        <v>-76.977222999999995</v>
      </c>
    </row>
    <row r="286" spans="1:10" x14ac:dyDescent="0.25">
      <c r="A286" s="15" t="s">
        <v>4300</v>
      </c>
      <c r="B286" s="15" t="s">
        <v>4308</v>
      </c>
      <c r="C286" s="40">
        <v>16.231000000000002</v>
      </c>
      <c r="D286" s="29">
        <v>2.0833333333333332E-2</v>
      </c>
      <c r="E286" s="41">
        <v>-12.098701999999999</v>
      </c>
      <c r="F286" s="41">
        <v>-76.979477000000003</v>
      </c>
      <c r="G286" s="41">
        <v>-12.084255000000001</v>
      </c>
      <c r="H286" s="41">
        <v>-76.980714000000006</v>
      </c>
      <c r="I286" s="41">
        <v>-12.094606000000001</v>
      </c>
      <c r="J286" s="41">
        <v>-77.050668000000002</v>
      </c>
    </row>
    <row r="287" spans="1:10" x14ac:dyDescent="0.25">
      <c r="A287" s="15" t="s">
        <v>4300</v>
      </c>
      <c r="B287" s="15" t="s">
        <v>4309</v>
      </c>
      <c r="C287" s="42">
        <v>10.459</v>
      </c>
      <c r="D287" s="25">
        <v>9.7222222222222224E-3</v>
      </c>
      <c r="E287" s="43">
        <v>-12.098701999999999</v>
      </c>
      <c r="F287" s="43">
        <v>-76.979477000000003</v>
      </c>
      <c r="G287" s="43">
        <v>-12.084255000000001</v>
      </c>
      <c r="H287" s="43">
        <v>-76.980714000000006</v>
      </c>
      <c r="I287" s="43">
        <v>-12.090366</v>
      </c>
      <c r="J287" s="43">
        <v>-77.020895999999993</v>
      </c>
    </row>
    <row r="288" spans="1:10" x14ac:dyDescent="0.25">
      <c r="A288" s="15" t="s">
        <v>4300</v>
      </c>
      <c r="B288" s="15" t="s">
        <v>4278</v>
      </c>
      <c r="C288" s="40">
        <v>22.718</v>
      </c>
      <c r="D288" s="29">
        <v>1.9444444444444445E-2</v>
      </c>
      <c r="E288" s="41">
        <v>-12.085667000000001</v>
      </c>
      <c r="F288" s="41">
        <v>-76.982191</v>
      </c>
      <c r="G288" s="41">
        <v>-12.031423999999999</v>
      </c>
      <c r="H288" s="41">
        <v>-76.992137</v>
      </c>
      <c r="I288" s="41">
        <v>-12.035731999999999</v>
      </c>
      <c r="J288" s="41">
        <v>-77.046904999999995</v>
      </c>
    </row>
    <row r="289" spans="1:10" x14ac:dyDescent="0.25">
      <c r="A289" s="15" t="s">
        <v>4300</v>
      </c>
      <c r="B289" s="15" t="s">
        <v>4310</v>
      </c>
      <c r="C289" s="42">
        <v>11.997</v>
      </c>
      <c r="D289" s="25">
        <v>1.2500000000000001E-2</v>
      </c>
      <c r="E289" s="43">
        <v>-12.098492999999999</v>
      </c>
      <c r="F289" s="43">
        <v>-76.979613000000001</v>
      </c>
      <c r="G289" s="43">
        <v>-12.067361999999999</v>
      </c>
      <c r="H289" s="43">
        <v>-76.971562000000006</v>
      </c>
      <c r="I289" s="43">
        <v>-12.030612</v>
      </c>
      <c r="J289" s="43">
        <v>-76.993185999999994</v>
      </c>
    </row>
    <row r="290" spans="1:10" x14ac:dyDescent="0.25">
      <c r="A290" s="15" t="s">
        <v>4300</v>
      </c>
      <c r="B290" s="15" t="s">
        <v>4311</v>
      </c>
      <c r="C290" s="40">
        <v>12.353999999999999</v>
      </c>
      <c r="D290" s="29">
        <v>1.3888888888888888E-2</v>
      </c>
      <c r="E290" s="41">
        <v>-12.091003000000001</v>
      </c>
      <c r="F290" s="41">
        <v>-76.980828000000002</v>
      </c>
      <c r="G290" s="41">
        <v>-12.08681</v>
      </c>
      <c r="H290" s="41">
        <v>-76.997433999999998</v>
      </c>
      <c r="I290" s="41">
        <v>-12.065011999999999</v>
      </c>
      <c r="J290" s="41">
        <v>-77.033253000000002</v>
      </c>
    </row>
    <row r="291" spans="1:10" x14ac:dyDescent="0.25">
      <c r="A291" s="15" t="s">
        <v>4300</v>
      </c>
      <c r="B291" s="15" t="s">
        <v>4312</v>
      </c>
      <c r="C291" s="42">
        <v>9.0879999999999992</v>
      </c>
      <c r="D291" s="25">
        <v>1.1805555555555555E-2</v>
      </c>
      <c r="E291" s="43">
        <v>-12.098492999999999</v>
      </c>
      <c r="F291" s="43">
        <v>-76.979613000000001</v>
      </c>
      <c r="G291" s="43">
        <v>-12.084635</v>
      </c>
      <c r="H291" s="43">
        <v>-76.980838000000006</v>
      </c>
      <c r="I291" s="43">
        <v>-12.087327999999999</v>
      </c>
      <c r="J291" s="43">
        <v>-77.003577000000007</v>
      </c>
    </row>
    <row r="292" spans="1:10" x14ac:dyDescent="0.25">
      <c r="A292" s="15" t="s">
        <v>4300</v>
      </c>
      <c r="B292" s="15" t="s">
        <v>4313</v>
      </c>
      <c r="C292" s="40">
        <v>14.696999999999999</v>
      </c>
      <c r="D292" s="29">
        <v>1.5972222222222221E-2</v>
      </c>
      <c r="E292" s="41">
        <v>-12.088260999999999</v>
      </c>
      <c r="F292" s="41">
        <v>-76.981106999999994</v>
      </c>
      <c r="G292" s="41">
        <v>-12.09027</v>
      </c>
      <c r="H292" s="41">
        <v>-77.019615000000002</v>
      </c>
      <c r="I292" s="41">
        <v>-12.060452</v>
      </c>
      <c r="J292" s="41">
        <v>-77.036019999999994</v>
      </c>
    </row>
    <row r="293" spans="1:10" x14ac:dyDescent="0.25">
      <c r="A293" s="15" t="s">
        <v>4300</v>
      </c>
      <c r="B293" s="15" t="s">
        <v>4314</v>
      </c>
      <c r="C293" s="42">
        <v>15.090999999999999</v>
      </c>
      <c r="D293" s="25">
        <v>1.9444444444444445E-2</v>
      </c>
      <c r="E293" s="43">
        <v>-12.098746</v>
      </c>
      <c r="F293" s="43">
        <v>-76.979280000000003</v>
      </c>
      <c r="G293" s="43">
        <v>-12.084199999999999</v>
      </c>
      <c r="H293" s="43">
        <v>-76.981269999999995</v>
      </c>
      <c r="I293" s="43">
        <v>-12.087743</v>
      </c>
      <c r="J293" s="43">
        <v>-77.001643999999999</v>
      </c>
    </row>
    <row r="294" spans="1:10" x14ac:dyDescent="0.25">
      <c r="A294" s="15" t="s">
        <v>4300</v>
      </c>
      <c r="B294" s="15" t="s">
        <v>4315</v>
      </c>
      <c r="C294" s="40">
        <v>1.4319999999999999</v>
      </c>
      <c r="D294" s="29">
        <v>2.7777777777777779E-3</v>
      </c>
      <c r="E294" s="41">
        <v>-12.103783999999999</v>
      </c>
      <c r="F294" s="41">
        <v>-76.972662</v>
      </c>
      <c r="G294" s="41">
        <v>-12.104922</v>
      </c>
      <c r="H294" s="41">
        <v>-76.970815000000002</v>
      </c>
      <c r="I294" s="41">
        <v>-12.109757999999999</v>
      </c>
      <c r="J294" s="41">
        <v>-76.972819999999999</v>
      </c>
    </row>
    <row r="295" spans="1:10" x14ac:dyDescent="0.25">
      <c r="A295" s="15" t="s">
        <v>4300</v>
      </c>
      <c r="B295" s="15" t="s">
        <v>4316</v>
      </c>
      <c r="C295" s="42">
        <v>12.016</v>
      </c>
      <c r="D295" s="25">
        <v>1.3888888888888888E-2</v>
      </c>
      <c r="E295" s="43">
        <v>-12.098386</v>
      </c>
      <c r="F295" s="43">
        <v>-76.976556000000002</v>
      </c>
      <c r="G295" s="43">
        <v>-12.085789999999999</v>
      </c>
      <c r="H295" s="43">
        <v>-76.982185999999999</v>
      </c>
      <c r="I295" s="43">
        <v>-12.086781</v>
      </c>
      <c r="J295" s="43">
        <v>-76.994743999999997</v>
      </c>
    </row>
    <row r="296" spans="1:10" x14ac:dyDescent="0.25">
      <c r="A296" s="15" t="s">
        <v>4300</v>
      </c>
      <c r="B296" s="15" t="s">
        <v>4317</v>
      </c>
      <c r="C296" s="40">
        <v>9.69</v>
      </c>
      <c r="D296" s="29">
        <v>1.1111111111111112E-2</v>
      </c>
      <c r="E296" s="41">
        <v>-12.109624</v>
      </c>
      <c r="F296" s="41">
        <v>-76.979099000000005</v>
      </c>
      <c r="G296" s="41">
        <v>-12.136835</v>
      </c>
      <c r="H296" s="41">
        <v>-76.980429000000001</v>
      </c>
      <c r="I296" s="41">
        <v>-12.149718</v>
      </c>
      <c r="J296" s="41">
        <v>-76.984601999999995</v>
      </c>
    </row>
    <row r="297" spans="1:10" x14ac:dyDescent="0.25">
      <c r="A297" s="15" t="s">
        <v>4300</v>
      </c>
      <c r="B297" s="15" t="s">
        <v>4318</v>
      </c>
      <c r="C297" s="42">
        <v>6.5389999999999997</v>
      </c>
      <c r="D297" s="25">
        <v>7.6388888888888886E-3</v>
      </c>
      <c r="E297" s="43">
        <v>-12.098386</v>
      </c>
      <c r="F297" s="43">
        <v>-76.976556000000002</v>
      </c>
      <c r="G297" s="43">
        <v>-12.085789999999999</v>
      </c>
      <c r="H297" s="43">
        <v>-76.982185999999999</v>
      </c>
      <c r="I297" s="43">
        <v>-12.086781</v>
      </c>
      <c r="J297" s="43">
        <v>-76.994743999999997</v>
      </c>
    </row>
    <row r="298" spans="1:10" x14ac:dyDescent="0.25">
      <c r="A298" s="15" t="s">
        <v>4300</v>
      </c>
      <c r="B298" s="15" t="s">
        <v>4319</v>
      </c>
      <c r="C298" s="40">
        <v>4.17</v>
      </c>
      <c r="D298" s="29">
        <v>6.9444444444444441E-3</v>
      </c>
      <c r="E298" s="41">
        <v>-12.109912</v>
      </c>
      <c r="F298" s="41">
        <v>-76.974992</v>
      </c>
      <c r="G298" s="41">
        <v>-12.110867000000001</v>
      </c>
      <c r="H298" s="41">
        <v>-76.989977999999994</v>
      </c>
      <c r="I298" s="41">
        <v>-12.107729000000001</v>
      </c>
      <c r="J298" s="41">
        <v>-76.992287000000005</v>
      </c>
    </row>
    <row r="299" spans="1:10" x14ac:dyDescent="0.25">
      <c r="A299" s="15" t="s">
        <v>4300</v>
      </c>
      <c r="B299" s="15" t="s">
        <v>4279</v>
      </c>
      <c r="C299" s="42">
        <v>24.699000000000002</v>
      </c>
      <c r="D299" s="25">
        <v>2.2222222222222223E-2</v>
      </c>
      <c r="E299" s="43">
        <v>-12.080475</v>
      </c>
      <c r="F299" s="43">
        <v>-76.977480999999997</v>
      </c>
      <c r="G299" s="43">
        <v>-12.032583000000001</v>
      </c>
      <c r="H299" s="43">
        <v>-77.006681</v>
      </c>
      <c r="I299" s="43">
        <v>-12.036118</v>
      </c>
      <c r="J299" s="43">
        <v>-77.050306000000006</v>
      </c>
    </row>
    <row r="300" spans="1:10" x14ac:dyDescent="0.25">
      <c r="A300" s="15" t="s">
        <v>4300</v>
      </c>
      <c r="B300" s="15" t="s">
        <v>4320</v>
      </c>
      <c r="C300" s="40">
        <v>6.9720000000000004</v>
      </c>
      <c r="D300" s="29">
        <v>9.0277777777777769E-3</v>
      </c>
      <c r="E300" s="41">
        <v>-12.097943000000001</v>
      </c>
      <c r="F300" s="41">
        <v>-76.973279000000005</v>
      </c>
      <c r="G300" s="41">
        <v>-12.086148</v>
      </c>
      <c r="H300" s="41">
        <v>-76.982112999999998</v>
      </c>
      <c r="I300" s="41">
        <v>-12.065941</v>
      </c>
      <c r="J300" s="41">
        <v>-76.971232999999998</v>
      </c>
    </row>
    <row r="301" spans="1:10" x14ac:dyDescent="0.25">
      <c r="A301" s="15" t="s">
        <v>4300</v>
      </c>
      <c r="B301" s="15" t="s">
        <v>4321</v>
      </c>
      <c r="C301" s="42">
        <v>37.061</v>
      </c>
      <c r="D301" s="25">
        <v>3.3333333333333333E-2</v>
      </c>
      <c r="E301" s="43">
        <v>-12.080475</v>
      </c>
      <c r="F301" s="43">
        <v>-76.977480999999997</v>
      </c>
      <c r="G301" s="43">
        <v>-12.032583000000001</v>
      </c>
      <c r="H301" s="43">
        <v>-77.006681</v>
      </c>
      <c r="I301" s="43">
        <v>-12.009463999999999</v>
      </c>
      <c r="J301" s="43">
        <v>-77.060941999999997</v>
      </c>
    </row>
    <row r="302" spans="1:10" x14ac:dyDescent="0.25">
      <c r="A302" s="15" t="s">
        <v>4300</v>
      </c>
      <c r="B302" s="15" t="s">
        <v>4322</v>
      </c>
      <c r="C302" s="40">
        <v>19.012</v>
      </c>
      <c r="D302" s="29">
        <v>1.6666666666666666E-2</v>
      </c>
      <c r="E302" s="41">
        <v>-12.109344</v>
      </c>
      <c r="F302" s="41">
        <v>-76.978605000000002</v>
      </c>
      <c r="G302" s="41">
        <v>-12.155306</v>
      </c>
      <c r="H302" s="41">
        <v>-76.983779999999996</v>
      </c>
      <c r="I302" s="41">
        <v>-12.217385999999999</v>
      </c>
      <c r="J302" s="41">
        <v>-76.979371</v>
      </c>
    </row>
    <row r="303" spans="1:10" x14ac:dyDescent="0.25">
      <c r="A303" s="15" t="s">
        <v>4300</v>
      </c>
      <c r="B303" s="15" t="s">
        <v>4323</v>
      </c>
      <c r="C303" s="42">
        <v>11.885999999999999</v>
      </c>
      <c r="D303" s="25">
        <v>1.3194444444444444E-2</v>
      </c>
      <c r="E303" s="43">
        <v>-12.109885</v>
      </c>
      <c r="F303" s="43">
        <v>-76.978375</v>
      </c>
      <c r="G303" s="43">
        <v>-12.161180999999999</v>
      </c>
      <c r="H303" s="43">
        <v>-76.982354999999998</v>
      </c>
      <c r="I303" s="43">
        <v>-12.173778</v>
      </c>
      <c r="J303" s="43">
        <v>-76.988288999999995</v>
      </c>
    </row>
    <row r="304" spans="1:10" x14ac:dyDescent="0.25">
      <c r="A304" s="15" t="s">
        <v>4300</v>
      </c>
      <c r="B304" s="15" t="s">
        <v>4324</v>
      </c>
      <c r="C304" s="40">
        <v>14.022</v>
      </c>
      <c r="D304" s="29">
        <v>1.8055555555555554E-2</v>
      </c>
      <c r="E304" s="41">
        <v>-12.098701999999999</v>
      </c>
      <c r="F304" s="41">
        <v>-76.979477000000003</v>
      </c>
      <c r="G304" s="41">
        <v>-12.084255000000001</v>
      </c>
      <c r="H304" s="41">
        <v>-76.980714000000006</v>
      </c>
      <c r="I304" s="41">
        <v>-12.094606000000001</v>
      </c>
      <c r="J304" s="41">
        <v>-77.050668000000002</v>
      </c>
    </row>
    <row r="305" spans="1:10" x14ac:dyDescent="0.25">
      <c r="A305" s="15" t="s">
        <v>4300</v>
      </c>
      <c r="B305" s="15" t="s">
        <v>4325</v>
      </c>
      <c r="C305" s="42">
        <v>9.93</v>
      </c>
      <c r="D305" s="25">
        <v>1.5277777777777777E-2</v>
      </c>
      <c r="E305" s="43">
        <v>-12.123927</v>
      </c>
      <c r="F305" s="43">
        <v>-76.977121999999994</v>
      </c>
      <c r="G305" s="43">
        <v>-12.148364000000001</v>
      </c>
      <c r="H305" s="43">
        <v>-76.969571999999999</v>
      </c>
      <c r="I305" s="43">
        <v>-12.140488</v>
      </c>
      <c r="J305" s="43">
        <v>-76.955409000000003</v>
      </c>
    </row>
    <row r="306" spans="1:10" x14ac:dyDescent="0.25">
      <c r="A306" s="15" t="s">
        <v>4300</v>
      </c>
      <c r="B306" s="15" t="s">
        <v>4268</v>
      </c>
      <c r="C306" s="40">
        <v>11.458</v>
      </c>
      <c r="D306" s="29">
        <v>1.1111111111111112E-2</v>
      </c>
      <c r="E306" s="41">
        <v>-12.098492999999999</v>
      </c>
      <c r="F306" s="41">
        <v>-76.979613000000001</v>
      </c>
      <c r="G306" s="41">
        <v>-12.067361999999999</v>
      </c>
      <c r="H306" s="41">
        <v>-76.971562000000006</v>
      </c>
      <c r="I306" s="41">
        <v>-12.030612</v>
      </c>
      <c r="J306" s="41">
        <v>-76.993185999999994</v>
      </c>
    </row>
    <row r="307" spans="1:10" x14ac:dyDescent="0.25">
      <c r="A307" s="15" t="s">
        <v>4301</v>
      </c>
      <c r="B307" s="15" t="s">
        <v>4267</v>
      </c>
      <c r="C307" s="42">
        <v>21.170999999999999</v>
      </c>
      <c r="D307" s="25">
        <v>2.0833333333333332E-2</v>
      </c>
      <c r="E307" s="43">
        <v>-11.909134999999999</v>
      </c>
      <c r="F307" s="43">
        <v>-77.071046999999993</v>
      </c>
      <c r="G307" s="43">
        <v>-12.011013</v>
      </c>
      <c r="H307" s="43">
        <v>-77.060766999999998</v>
      </c>
      <c r="I307" s="43">
        <v>-12.037672000000001</v>
      </c>
      <c r="J307" s="43">
        <v>-77.043988999999996</v>
      </c>
    </row>
    <row r="308" spans="1:10" x14ac:dyDescent="0.25">
      <c r="A308" s="15" t="s">
        <v>4301</v>
      </c>
      <c r="B308" s="15" t="s">
        <v>4280</v>
      </c>
      <c r="C308" s="40">
        <v>37.767000000000003</v>
      </c>
      <c r="D308" s="29">
        <v>3.6111111111111108E-2</v>
      </c>
      <c r="E308" s="41">
        <v>-12.031509</v>
      </c>
      <c r="F308" s="41">
        <v>-77.056073999999995</v>
      </c>
      <c r="G308" s="41">
        <v>-12.070137000000001</v>
      </c>
      <c r="H308" s="41">
        <v>-77.031685999999993</v>
      </c>
      <c r="I308" s="41">
        <v>-12.141984000000001</v>
      </c>
      <c r="J308" s="41">
        <v>-77.026625999999993</v>
      </c>
    </row>
    <row r="309" spans="1:10" x14ac:dyDescent="0.25">
      <c r="A309" s="15" t="s">
        <v>4301</v>
      </c>
      <c r="B309" s="15" t="s">
        <v>4281</v>
      </c>
      <c r="C309" s="42">
        <v>38.557000000000002</v>
      </c>
      <c r="D309" s="25">
        <v>3.1944444444444442E-2</v>
      </c>
      <c r="E309" s="43">
        <v>-12.027471</v>
      </c>
      <c r="F309" s="43">
        <v>-77.058304000000007</v>
      </c>
      <c r="G309" s="43">
        <v>-12.033524</v>
      </c>
      <c r="H309" s="43">
        <v>-76.990482999999998</v>
      </c>
      <c r="I309" s="43">
        <v>-12.085773</v>
      </c>
      <c r="J309" s="43">
        <v>-76.982428999999996</v>
      </c>
    </row>
    <row r="310" spans="1:10" x14ac:dyDescent="0.25">
      <c r="A310" s="15" t="s">
        <v>4301</v>
      </c>
      <c r="B310" s="15" t="s">
        <v>4296</v>
      </c>
      <c r="C310" s="40">
        <v>23.802</v>
      </c>
      <c r="D310" s="29">
        <v>2.4305555555555556E-2</v>
      </c>
      <c r="E310" s="41">
        <v>-11.909134999999999</v>
      </c>
      <c r="F310" s="41">
        <v>-77.071046999999993</v>
      </c>
      <c r="G310" s="41">
        <v>-12.011013</v>
      </c>
      <c r="H310" s="41">
        <v>-77.060766999999998</v>
      </c>
      <c r="I310" s="41">
        <v>-12.037732</v>
      </c>
      <c r="J310" s="41">
        <v>-77.043806000000004</v>
      </c>
    </row>
    <row r="311" spans="1:10" x14ac:dyDescent="0.25">
      <c r="A311" s="15" t="s">
        <v>4301</v>
      </c>
      <c r="B311" s="15" t="s">
        <v>4297</v>
      </c>
      <c r="C311" s="42">
        <v>25.318999999999999</v>
      </c>
      <c r="D311" s="25">
        <v>2.2222222222222223E-2</v>
      </c>
      <c r="E311" s="43">
        <v>-11.963006</v>
      </c>
      <c r="F311" s="43">
        <v>-77.068439999999995</v>
      </c>
      <c r="G311" s="43">
        <v>-12.036617</v>
      </c>
      <c r="H311" s="43">
        <v>-77.047696999999999</v>
      </c>
      <c r="I311" s="43">
        <v>-12.042144</v>
      </c>
      <c r="J311" s="43">
        <v>-77.014747</v>
      </c>
    </row>
    <row r="312" spans="1:10" x14ac:dyDescent="0.25">
      <c r="A312" s="15" t="s">
        <v>4301</v>
      </c>
      <c r="B312" s="15" t="s">
        <v>4298</v>
      </c>
      <c r="C312" s="40">
        <v>29.904</v>
      </c>
      <c r="D312" s="29">
        <v>2.9166666666666667E-2</v>
      </c>
      <c r="E312" s="41">
        <v>-11.968729</v>
      </c>
      <c r="F312" s="41">
        <v>-77.067466999999994</v>
      </c>
      <c r="G312" s="41">
        <v>-12.037732</v>
      </c>
      <c r="H312" s="41">
        <v>-77.043806000000004</v>
      </c>
      <c r="I312" s="41">
        <v>-12.061382999999999</v>
      </c>
      <c r="J312" s="41">
        <v>-77.035066999999998</v>
      </c>
    </row>
    <row r="313" spans="1:10" x14ac:dyDescent="0.25">
      <c r="A313" s="15" t="s">
        <v>4301</v>
      </c>
      <c r="B313" s="15" t="s">
        <v>4299</v>
      </c>
      <c r="C313" s="42">
        <v>30.059000000000001</v>
      </c>
      <c r="D313" s="25">
        <v>2.9861111111111113E-2</v>
      </c>
      <c r="E313" s="43">
        <v>-11.991241</v>
      </c>
      <c r="F313" s="43">
        <v>-77.064126999999999</v>
      </c>
      <c r="G313" s="43">
        <v>-12.039350000000001</v>
      </c>
      <c r="H313" s="43">
        <v>-77.043459999999996</v>
      </c>
      <c r="I313" s="43">
        <v>-12.088837</v>
      </c>
      <c r="J313" s="43">
        <v>-77.024019999999993</v>
      </c>
    </row>
    <row r="314" spans="1:10" x14ac:dyDescent="0.25">
      <c r="A314" s="15" t="s">
        <v>4301</v>
      </c>
      <c r="B314" s="15" t="s">
        <v>4300</v>
      </c>
      <c r="C314" s="40">
        <v>35.365000000000002</v>
      </c>
      <c r="D314" s="29">
        <v>2.7083333333333334E-2</v>
      </c>
      <c r="E314" s="41">
        <v>-12.005497999999999</v>
      </c>
      <c r="F314" s="41">
        <v>-77.061931999999999</v>
      </c>
      <c r="G314" s="41">
        <v>-12.034575</v>
      </c>
      <c r="H314" s="41">
        <v>-77.009486999999993</v>
      </c>
      <c r="I314" s="41">
        <v>-12.065433000000001</v>
      </c>
      <c r="J314" s="41">
        <v>-76.971452999999997</v>
      </c>
    </row>
    <row r="315" spans="1:10" x14ac:dyDescent="0.25">
      <c r="A315" s="15" t="s">
        <v>4301</v>
      </c>
      <c r="B315" s="15" t="s">
        <v>4301</v>
      </c>
      <c r="C315" s="42">
        <v>0</v>
      </c>
      <c r="D315" s="25">
        <v>0</v>
      </c>
      <c r="E315" s="43" t="str">
        <f>'1 ubicaciones'!D10</f>
        <v>-120.922.845</v>
      </c>
      <c r="F315" s="43" t="str">
        <f>'1 ubicaciones'!E10</f>
        <v>-770.312.974</v>
      </c>
      <c r="G315" s="43" t="str">
        <f>'1 ubicaciones'!D10</f>
        <v>-120.922.845</v>
      </c>
      <c r="H315" s="43" t="str">
        <f>'1 ubicaciones'!E10</f>
        <v>-770.312.974</v>
      </c>
      <c r="I315" s="43" t="str">
        <f>'1 ubicaciones'!D10</f>
        <v>-120.922.845</v>
      </c>
      <c r="J315" s="43" t="str">
        <f>'1 ubicaciones'!E10</f>
        <v>-770.312.974</v>
      </c>
    </row>
    <row r="316" spans="1:10" x14ac:dyDescent="0.25">
      <c r="A316" s="15" t="s">
        <v>4301</v>
      </c>
      <c r="B316" s="15" t="s">
        <v>4302</v>
      </c>
      <c r="C316" s="40">
        <v>36.149000000000001</v>
      </c>
      <c r="D316" s="29">
        <v>2.8472222222222222E-2</v>
      </c>
      <c r="E316" s="41">
        <v>-12.007484</v>
      </c>
      <c r="F316" s="41">
        <v>-77.061617999999996</v>
      </c>
      <c r="G316" s="41">
        <v>-12.031952</v>
      </c>
      <c r="H316" s="41">
        <v>-77.005089999999996</v>
      </c>
      <c r="I316" s="41">
        <v>-12.068777000000001</v>
      </c>
      <c r="J316" s="41">
        <v>-76.972194999999999</v>
      </c>
    </row>
    <row r="317" spans="1:10" x14ac:dyDescent="0.25">
      <c r="A317" s="15" t="s">
        <v>4301</v>
      </c>
      <c r="B317" s="15" t="s">
        <v>4303</v>
      </c>
      <c r="C317" s="42">
        <v>25.568999999999999</v>
      </c>
      <c r="D317" s="25">
        <v>2.2916666666666665E-2</v>
      </c>
      <c r="E317" s="43">
        <v>-11.968729</v>
      </c>
      <c r="F317" s="43">
        <v>-77.067466999999994</v>
      </c>
      <c r="G317" s="43">
        <v>-12.037271</v>
      </c>
      <c r="H317" s="43">
        <v>-77.047427999999996</v>
      </c>
      <c r="I317" s="43">
        <v>-12.044466</v>
      </c>
      <c r="J317" s="43">
        <v>-77.012592999999995</v>
      </c>
    </row>
    <row r="318" spans="1:10" x14ac:dyDescent="0.25">
      <c r="A318" s="15" t="s">
        <v>4301</v>
      </c>
      <c r="B318" s="15" t="s">
        <v>4304</v>
      </c>
      <c r="C318" s="40">
        <v>26.021000000000001</v>
      </c>
      <c r="D318" s="29">
        <v>2.2916666666666665E-2</v>
      </c>
      <c r="E318" s="41">
        <v>-11.963006</v>
      </c>
      <c r="F318" s="41">
        <v>-77.068439999999995</v>
      </c>
      <c r="G318" s="41">
        <v>-12.036617</v>
      </c>
      <c r="H318" s="41">
        <v>-77.047696999999999</v>
      </c>
      <c r="I318" s="41">
        <v>-12.042144</v>
      </c>
      <c r="J318" s="41">
        <v>-77.014747</v>
      </c>
    </row>
    <row r="319" spans="1:10" x14ac:dyDescent="0.25">
      <c r="A319" s="15" t="s">
        <v>4301</v>
      </c>
      <c r="B319" s="15" t="s">
        <v>4269</v>
      </c>
      <c r="C319" s="42">
        <v>27.417999999999999</v>
      </c>
      <c r="D319" s="25">
        <v>3.1944444444444442E-2</v>
      </c>
      <c r="E319" s="43">
        <v>-11.994046000000001</v>
      </c>
      <c r="F319" s="43">
        <v>-77.063518999999999</v>
      </c>
      <c r="G319" s="43">
        <v>-12.028325000000001</v>
      </c>
      <c r="H319" s="43">
        <v>-77.069908999999996</v>
      </c>
      <c r="I319" s="43">
        <v>-12.055835</v>
      </c>
      <c r="J319" s="43">
        <v>-77.078182999999996</v>
      </c>
    </row>
    <row r="320" spans="1:10" x14ac:dyDescent="0.25">
      <c r="A320" s="15" t="s">
        <v>4301</v>
      </c>
      <c r="B320" s="15" t="s">
        <v>4305</v>
      </c>
      <c r="C320" s="40">
        <v>21.994</v>
      </c>
      <c r="D320" s="29">
        <v>2.0833333333333332E-2</v>
      </c>
      <c r="E320" s="41">
        <v>-11.90334</v>
      </c>
      <c r="F320" s="41">
        <v>-77.067874000000003</v>
      </c>
      <c r="G320" s="41">
        <v>-12.002957</v>
      </c>
      <c r="H320" s="41">
        <v>-77.062105000000003</v>
      </c>
      <c r="I320" s="41">
        <v>-12.035778000000001</v>
      </c>
      <c r="J320" s="41">
        <v>-77.047105999999999</v>
      </c>
    </row>
    <row r="321" spans="1:10" x14ac:dyDescent="0.25">
      <c r="A321" s="15" t="s">
        <v>4301</v>
      </c>
      <c r="B321" s="15" t="s">
        <v>4306</v>
      </c>
      <c r="C321" s="42">
        <v>38.023000000000003</v>
      </c>
      <c r="D321" s="25">
        <v>2.8472222222222222E-2</v>
      </c>
      <c r="E321" s="43">
        <v>-12.002957</v>
      </c>
      <c r="F321" s="43">
        <v>-77.062105000000003</v>
      </c>
      <c r="G321" s="43">
        <v>-12.040442000000001</v>
      </c>
      <c r="H321" s="43">
        <v>-77.016828000000004</v>
      </c>
      <c r="I321" s="43">
        <v>-12.062542000000001</v>
      </c>
      <c r="J321" s="43">
        <v>-76.971710000000002</v>
      </c>
    </row>
    <row r="322" spans="1:10" x14ac:dyDescent="0.25">
      <c r="A322" s="15" t="s">
        <v>4301</v>
      </c>
      <c r="B322" s="15" t="s">
        <v>4277</v>
      </c>
      <c r="C322" s="40">
        <v>28.373999999999999</v>
      </c>
      <c r="D322" s="29">
        <v>2.8472222222222222E-2</v>
      </c>
      <c r="E322" s="41">
        <v>-11.94642</v>
      </c>
      <c r="F322" s="41">
        <v>-77.070952000000005</v>
      </c>
      <c r="G322" s="41">
        <v>-12.035778000000001</v>
      </c>
      <c r="H322" s="41">
        <v>-77.047105999999999</v>
      </c>
      <c r="I322" s="41">
        <v>-12.060675</v>
      </c>
      <c r="J322" s="41">
        <v>-77.041227000000006</v>
      </c>
    </row>
    <row r="323" spans="1:10" x14ac:dyDescent="0.25">
      <c r="A323" s="15" t="s">
        <v>4301</v>
      </c>
      <c r="B323" s="15" t="s">
        <v>4307</v>
      </c>
      <c r="C323" s="42">
        <v>28.785</v>
      </c>
      <c r="D323" s="25">
        <v>2.6388888888888889E-2</v>
      </c>
      <c r="E323" s="43">
        <v>-11.968729</v>
      </c>
      <c r="F323" s="43">
        <v>-77.067466999999994</v>
      </c>
      <c r="G323" s="43">
        <v>-12.041703999999999</v>
      </c>
      <c r="H323" s="43">
        <v>-77.032477</v>
      </c>
      <c r="I323" s="43">
        <v>-12.037089999999999</v>
      </c>
      <c r="J323" s="43">
        <v>-76.997448000000006</v>
      </c>
    </row>
    <row r="324" spans="1:10" x14ac:dyDescent="0.25">
      <c r="A324" s="15" t="s">
        <v>4301</v>
      </c>
      <c r="B324" s="15" t="s">
        <v>4308</v>
      </c>
      <c r="C324" s="40">
        <v>26.875</v>
      </c>
      <c r="D324" s="29">
        <v>3.0555555555555555E-2</v>
      </c>
      <c r="E324" s="41">
        <v>-11.963006</v>
      </c>
      <c r="F324" s="41">
        <v>-77.068439999999995</v>
      </c>
      <c r="G324" s="41">
        <v>-12.011186</v>
      </c>
      <c r="H324" s="41">
        <v>-77.089656000000005</v>
      </c>
      <c r="I324" s="41">
        <v>-12.026605999999999</v>
      </c>
      <c r="J324" s="41">
        <v>-77.103722000000005</v>
      </c>
    </row>
    <row r="325" spans="1:10" x14ac:dyDescent="0.25">
      <c r="A325" s="15" t="s">
        <v>4301</v>
      </c>
      <c r="B325" s="15" t="s">
        <v>4309</v>
      </c>
      <c r="C325" s="42">
        <v>25.966000000000001</v>
      </c>
      <c r="D325" s="25">
        <v>2.5000000000000001E-2</v>
      </c>
      <c r="E325" s="43">
        <v>-11.914754</v>
      </c>
      <c r="F325" s="43">
        <v>-77.073988</v>
      </c>
      <c r="G325" s="43">
        <v>-12.035403000000001</v>
      </c>
      <c r="H325" s="43">
        <v>-77.048507999999998</v>
      </c>
      <c r="I325" s="43">
        <v>-12.043742999999999</v>
      </c>
      <c r="J325" s="43">
        <v>-77.019361000000004</v>
      </c>
    </row>
    <row r="326" spans="1:10" x14ac:dyDescent="0.25">
      <c r="A326" s="15" t="s">
        <v>4301</v>
      </c>
      <c r="B326" s="15" t="s">
        <v>4278</v>
      </c>
      <c r="C326" s="40">
        <v>14.93</v>
      </c>
      <c r="D326" s="29">
        <v>1.3194444444444444E-2</v>
      </c>
      <c r="E326" s="41">
        <v>-11.895967000000001</v>
      </c>
      <c r="F326" s="41">
        <v>-77.067722000000003</v>
      </c>
      <c r="G326" s="41">
        <v>-11.914754</v>
      </c>
      <c r="H326" s="41">
        <v>-77.073988</v>
      </c>
      <c r="I326" s="41">
        <v>-11.996229</v>
      </c>
      <c r="J326" s="41">
        <v>-77.063479999999998</v>
      </c>
    </row>
    <row r="327" spans="1:10" x14ac:dyDescent="0.25">
      <c r="A327" s="15" t="s">
        <v>4301</v>
      </c>
      <c r="B327" s="15" t="s">
        <v>4310</v>
      </c>
      <c r="C327" s="42">
        <v>25.628</v>
      </c>
      <c r="D327" s="25">
        <v>2.2222222222222223E-2</v>
      </c>
      <c r="E327" s="43">
        <v>-11.913634</v>
      </c>
      <c r="F327" s="43">
        <v>-77.073836999999997</v>
      </c>
      <c r="G327" s="43">
        <v>-12.032401</v>
      </c>
      <c r="H327" s="43">
        <v>-77.055092000000002</v>
      </c>
      <c r="I327" s="43">
        <v>-12.039738</v>
      </c>
      <c r="J327" s="43">
        <v>-77.015715999999998</v>
      </c>
    </row>
    <row r="328" spans="1:10" x14ac:dyDescent="0.25">
      <c r="A328" s="15" t="s">
        <v>4301</v>
      </c>
      <c r="B328" s="15" t="s">
        <v>4311</v>
      </c>
      <c r="C328" s="40">
        <v>23.332000000000001</v>
      </c>
      <c r="D328" s="29">
        <v>2.2916666666666665E-2</v>
      </c>
      <c r="E328" s="41">
        <v>-11.912874</v>
      </c>
      <c r="F328" s="41">
        <v>-77.073526000000001</v>
      </c>
      <c r="G328" s="41">
        <v>-12.030291</v>
      </c>
      <c r="H328" s="41">
        <v>-77.057019999999994</v>
      </c>
      <c r="I328" s="41">
        <v>-12.049661</v>
      </c>
      <c r="J328" s="41">
        <v>-77.042547999999996</v>
      </c>
    </row>
    <row r="329" spans="1:10" x14ac:dyDescent="0.25">
      <c r="A329" s="15" t="s">
        <v>4301</v>
      </c>
      <c r="B329" s="15" t="s">
        <v>4312</v>
      </c>
      <c r="C329" s="42">
        <v>25.527999999999999</v>
      </c>
      <c r="D329" s="25">
        <v>2.2916666666666665E-2</v>
      </c>
      <c r="E329" s="43">
        <v>-11.963006</v>
      </c>
      <c r="F329" s="43">
        <v>-77.068439999999995</v>
      </c>
      <c r="G329" s="43">
        <v>-12.036617</v>
      </c>
      <c r="H329" s="43">
        <v>-77.047696999999999</v>
      </c>
      <c r="I329" s="43">
        <v>-12.042144</v>
      </c>
      <c r="J329" s="43">
        <v>-77.014747</v>
      </c>
    </row>
    <row r="330" spans="1:10" x14ac:dyDescent="0.25">
      <c r="A330" s="15" t="s">
        <v>4301</v>
      </c>
      <c r="B330" s="15" t="s">
        <v>4313</v>
      </c>
      <c r="C330" s="40">
        <v>23.914000000000001</v>
      </c>
      <c r="D330" s="29">
        <v>2.4305555555555556E-2</v>
      </c>
      <c r="E330" s="41">
        <v>-11.912874</v>
      </c>
      <c r="F330" s="41">
        <v>-77.073526000000001</v>
      </c>
      <c r="G330" s="41">
        <v>-12.030291</v>
      </c>
      <c r="H330" s="41">
        <v>-77.057019999999994</v>
      </c>
      <c r="I330" s="41">
        <v>-12.049661</v>
      </c>
      <c r="J330" s="41">
        <v>-77.042547999999996</v>
      </c>
    </row>
    <row r="331" spans="1:10" x14ac:dyDescent="0.25">
      <c r="A331" s="15" t="s">
        <v>4301</v>
      </c>
      <c r="B331" s="15" t="s">
        <v>4314</v>
      </c>
      <c r="C331" s="42">
        <v>25.908000000000001</v>
      </c>
      <c r="D331" s="25">
        <v>2.9166666666666667E-2</v>
      </c>
      <c r="E331" s="43">
        <v>-11.986625</v>
      </c>
      <c r="F331" s="43">
        <v>-77.064677000000003</v>
      </c>
      <c r="G331" s="43">
        <v>-12.027822</v>
      </c>
      <c r="H331" s="43">
        <v>-77.067413000000002</v>
      </c>
      <c r="I331" s="43">
        <v>-12.050231</v>
      </c>
      <c r="J331" s="43">
        <v>-77.078316000000001</v>
      </c>
    </row>
    <row r="332" spans="1:10" x14ac:dyDescent="0.25">
      <c r="A332" s="15" t="s">
        <v>4301</v>
      </c>
      <c r="B332" s="15" t="s">
        <v>4315</v>
      </c>
      <c r="C332" s="40">
        <v>36.572000000000003</v>
      </c>
      <c r="D332" s="29">
        <v>2.8472222222222222E-2</v>
      </c>
      <c r="E332" s="41">
        <v>-12.007484</v>
      </c>
      <c r="F332" s="41">
        <v>-77.061617999999996</v>
      </c>
      <c r="G332" s="41">
        <v>-12.031952</v>
      </c>
      <c r="H332" s="41">
        <v>-77.005089999999996</v>
      </c>
      <c r="I332" s="41">
        <v>-12.068777000000001</v>
      </c>
      <c r="J332" s="41">
        <v>-76.972194999999999</v>
      </c>
    </row>
    <row r="333" spans="1:10" x14ac:dyDescent="0.25">
      <c r="A333" s="15" t="s">
        <v>4301</v>
      </c>
      <c r="B333" s="15" t="s">
        <v>4316</v>
      </c>
      <c r="C333" s="42">
        <v>27.524000000000001</v>
      </c>
      <c r="D333" s="25">
        <v>3.125E-2</v>
      </c>
      <c r="E333" s="43">
        <v>-11.913634</v>
      </c>
      <c r="F333" s="43">
        <v>-77.073836999999997</v>
      </c>
      <c r="G333" s="43">
        <v>-12.032537</v>
      </c>
      <c r="H333" s="43">
        <v>-77.054901999999998</v>
      </c>
      <c r="I333" s="43">
        <v>-12.059754</v>
      </c>
      <c r="J333" s="43">
        <v>-77.041809000000001</v>
      </c>
    </row>
    <row r="334" spans="1:10" x14ac:dyDescent="0.25">
      <c r="A334" s="15" t="s">
        <v>4301</v>
      </c>
      <c r="B334" s="15" t="s">
        <v>4317</v>
      </c>
      <c r="C334" s="40">
        <v>43.308999999999997</v>
      </c>
      <c r="D334" s="29">
        <v>3.3333333333333333E-2</v>
      </c>
      <c r="E334" s="41">
        <v>-12.012819</v>
      </c>
      <c r="F334" s="41">
        <v>-77.060574000000003</v>
      </c>
      <c r="G334" s="41">
        <v>-12.031034</v>
      </c>
      <c r="H334" s="41">
        <v>-76.992929000000004</v>
      </c>
      <c r="I334" s="41">
        <v>-12.084585000000001</v>
      </c>
      <c r="J334" s="41">
        <v>-76.981942000000004</v>
      </c>
    </row>
    <row r="335" spans="1:10" x14ac:dyDescent="0.25">
      <c r="A335" s="15" t="s">
        <v>4301</v>
      </c>
      <c r="B335" s="15" t="s">
        <v>4318</v>
      </c>
      <c r="C335" s="42">
        <v>28.41</v>
      </c>
      <c r="D335" s="25">
        <v>2.7083333333333334E-2</v>
      </c>
      <c r="E335" s="43">
        <v>-11.963006</v>
      </c>
      <c r="F335" s="43">
        <v>-77.068439999999995</v>
      </c>
      <c r="G335" s="43">
        <v>-12.037411000000001</v>
      </c>
      <c r="H335" s="43">
        <v>-77.044396000000006</v>
      </c>
      <c r="I335" s="43">
        <v>-12.06077</v>
      </c>
      <c r="J335" s="43">
        <v>-77.035853000000003</v>
      </c>
    </row>
    <row r="336" spans="1:10" x14ac:dyDescent="0.25">
      <c r="A336" s="15" t="s">
        <v>4301</v>
      </c>
      <c r="B336" s="15" t="s">
        <v>4319</v>
      </c>
      <c r="C336" s="40">
        <v>35.887999999999998</v>
      </c>
      <c r="D336" s="29">
        <v>2.9166666666666667E-2</v>
      </c>
      <c r="E336" s="41">
        <v>-12.002957</v>
      </c>
      <c r="F336" s="41">
        <v>-77.062105000000003</v>
      </c>
      <c r="G336" s="41">
        <v>-12.040442000000001</v>
      </c>
      <c r="H336" s="41">
        <v>-77.016828000000004</v>
      </c>
      <c r="I336" s="41">
        <v>-12.062542000000001</v>
      </c>
      <c r="J336" s="41">
        <v>-76.971710000000002</v>
      </c>
    </row>
    <row r="337" spans="1:10" x14ac:dyDescent="0.25">
      <c r="A337" s="15" t="s">
        <v>4301</v>
      </c>
      <c r="B337" s="15" t="s">
        <v>4279</v>
      </c>
      <c r="C337" s="42">
        <v>24.739000000000001</v>
      </c>
      <c r="D337" s="25">
        <v>2.5694444444444443E-2</v>
      </c>
      <c r="E337" s="43">
        <v>-11.914754</v>
      </c>
      <c r="F337" s="43">
        <v>-77.073988</v>
      </c>
      <c r="G337" s="43">
        <v>-12.028146</v>
      </c>
      <c r="H337" s="43">
        <v>-77.058544999999995</v>
      </c>
      <c r="I337" s="43">
        <v>-12.026084000000001</v>
      </c>
      <c r="J337" s="43">
        <v>-77.075676000000001</v>
      </c>
    </row>
    <row r="338" spans="1:10" x14ac:dyDescent="0.25">
      <c r="A338" s="15" t="s">
        <v>4301</v>
      </c>
      <c r="B338" s="15" t="s">
        <v>4320</v>
      </c>
      <c r="C338" s="40">
        <v>29.995000000000001</v>
      </c>
      <c r="D338" s="29">
        <v>2.361111111111111E-2</v>
      </c>
      <c r="E338" s="41">
        <v>-11.963006</v>
      </c>
      <c r="F338" s="41">
        <v>-77.068439999999995</v>
      </c>
      <c r="G338" s="41">
        <v>-12.039737000000001</v>
      </c>
      <c r="H338" s="41">
        <v>-77.036270000000002</v>
      </c>
      <c r="I338" s="41">
        <v>-12.034058</v>
      </c>
      <c r="J338" s="41">
        <v>-76.990100999999996</v>
      </c>
    </row>
    <row r="339" spans="1:10" x14ac:dyDescent="0.25">
      <c r="A339" s="15" t="s">
        <v>4301</v>
      </c>
      <c r="B339" s="15" t="s">
        <v>4321</v>
      </c>
      <c r="C339" s="42">
        <v>6.0579999999999998</v>
      </c>
      <c r="D339" s="25">
        <v>8.3333333333333332E-3</v>
      </c>
      <c r="E339" s="43">
        <v>-11.902977</v>
      </c>
      <c r="F339" s="43">
        <v>-77.067694000000003</v>
      </c>
      <c r="G339" s="43">
        <v>-11.867571999999999</v>
      </c>
      <c r="H339" s="43">
        <v>-77.072488000000007</v>
      </c>
      <c r="I339" s="43">
        <v>-11.864820999999999</v>
      </c>
      <c r="J339" s="43">
        <v>-77.074265999999994</v>
      </c>
    </row>
    <row r="340" spans="1:10" x14ac:dyDescent="0.25">
      <c r="A340" s="15" t="s">
        <v>4301</v>
      </c>
      <c r="B340" s="15" t="s">
        <v>4322</v>
      </c>
      <c r="C340" s="40">
        <v>38.726999999999997</v>
      </c>
      <c r="D340" s="29">
        <v>3.7499999999999999E-2</v>
      </c>
      <c r="E340" s="41">
        <v>-12.030291</v>
      </c>
      <c r="F340" s="41">
        <v>-77.057019999999994</v>
      </c>
      <c r="G340" s="41">
        <v>-12.061382999999999</v>
      </c>
      <c r="H340" s="41">
        <v>-77.035066999999998</v>
      </c>
      <c r="I340" s="41">
        <v>-12.139155000000001</v>
      </c>
      <c r="J340" s="41">
        <v>-77.027832000000004</v>
      </c>
    </row>
    <row r="341" spans="1:10" x14ac:dyDescent="0.25">
      <c r="A341" s="15" t="s">
        <v>4301</v>
      </c>
      <c r="B341" s="15" t="s">
        <v>4323</v>
      </c>
      <c r="C341" s="42">
        <v>45.505000000000003</v>
      </c>
      <c r="D341" s="25">
        <v>3.6111111111111108E-2</v>
      </c>
      <c r="E341" s="43">
        <v>-12.031223000000001</v>
      </c>
      <c r="F341" s="43">
        <v>-77.056330000000003</v>
      </c>
      <c r="G341" s="43">
        <v>-12.041712</v>
      </c>
      <c r="H341" s="43">
        <v>-76.987189999999998</v>
      </c>
      <c r="I341" s="43">
        <v>-12.136835</v>
      </c>
      <c r="J341" s="43">
        <v>-76.980429000000001</v>
      </c>
    </row>
    <row r="342" spans="1:10" x14ac:dyDescent="0.25">
      <c r="A342" s="15" t="s">
        <v>4301</v>
      </c>
      <c r="B342" s="15" t="s">
        <v>4324</v>
      </c>
      <c r="C342" s="40">
        <v>24.998000000000001</v>
      </c>
      <c r="D342" s="29">
        <v>2.5694444444444443E-2</v>
      </c>
      <c r="E342" s="41">
        <v>-11.958736</v>
      </c>
      <c r="F342" s="41">
        <v>-77.069010000000006</v>
      </c>
      <c r="G342" s="41">
        <v>-12.036211</v>
      </c>
      <c r="H342" s="41">
        <v>-77.046279999999996</v>
      </c>
      <c r="I342" s="41">
        <v>-12.047427000000001</v>
      </c>
      <c r="J342" s="41">
        <v>-77.053888999999998</v>
      </c>
    </row>
    <row r="343" spans="1:10" x14ac:dyDescent="0.25">
      <c r="A343" s="15" t="s">
        <v>4301</v>
      </c>
      <c r="B343" s="15" t="s">
        <v>4325</v>
      </c>
      <c r="C343" s="42">
        <v>43.548999999999999</v>
      </c>
      <c r="D343" s="25">
        <v>3.8194444444444448E-2</v>
      </c>
      <c r="E343" s="43">
        <v>-12.03201</v>
      </c>
      <c r="F343" s="43">
        <v>-77.055554999999998</v>
      </c>
      <c r="G343" s="43">
        <v>-12.043380000000001</v>
      </c>
      <c r="H343" s="43">
        <v>-76.985742000000002</v>
      </c>
      <c r="I343" s="43">
        <v>-12.133184999999999</v>
      </c>
      <c r="J343" s="43">
        <v>-76.976674000000003</v>
      </c>
    </row>
    <row r="344" spans="1:10" x14ac:dyDescent="0.25">
      <c r="A344" s="15" t="s">
        <v>4301</v>
      </c>
      <c r="B344" s="15" t="s">
        <v>4268</v>
      </c>
      <c r="C344" s="40">
        <v>25.088999999999999</v>
      </c>
      <c r="D344" s="29">
        <v>2.1527777777777778E-2</v>
      </c>
      <c r="E344" s="41">
        <v>-11.913634</v>
      </c>
      <c r="F344" s="41">
        <v>-77.073836999999997</v>
      </c>
      <c r="G344" s="41">
        <v>-12.032401</v>
      </c>
      <c r="H344" s="41">
        <v>-77.055092000000002</v>
      </c>
      <c r="I344" s="41">
        <v>-12.039738</v>
      </c>
      <c r="J344" s="41">
        <v>-77.015715999999998</v>
      </c>
    </row>
    <row r="345" spans="1:10" x14ac:dyDescent="0.25">
      <c r="A345" s="15" t="s">
        <v>4302</v>
      </c>
      <c r="B345" s="15" t="s">
        <v>4267</v>
      </c>
      <c r="C345" s="42">
        <v>9.42</v>
      </c>
      <c r="D345" s="25">
        <v>1.3194444444444444E-2</v>
      </c>
      <c r="E345" s="43">
        <v>-12.08799</v>
      </c>
      <c r="F345" s="43">
        <v>-77.003259999999997</v>
      </c>
      <c r="G345" s="43">
        <v>-12.088846</v>
      </c>
      <c r="H345" s="43">
        <v>-77.023703999999995</v>
      </c>
      <c r="I345" s="43">
        <v>-12.056528</v>
      </c>
      <c r="J345" s="43">
        <v>-77.035701000000003</v>
      </c>
    </row>
    <row r="346" spans="1:10" x14ac:dyDescent="0.25">
      <c r="A346" s="15" t="s">
        <v>4302</v>
      </c>
      <c r="B346" s="15" t="s">
        <v>4280</v>
      </c>
      <c r="C346" s="40">
        <v>15.327</v>
      </c>
      <c r="D346" s="29">
        <v>1.6666666666666666E-2</v>
      </c>
      <c r="E346" s="41">
        <v>-12.091443</v>
      </c>
      <c r="F346" s="41">
        <v>-77.022925000000001</v>
      </c>
      <c r="G346" s="41">
        <v>-12.134446000000001</v>
      </c>
      <c r="H346" s="41">
        <v>-77.021733999999995</v>
      </c>
      <c r="I346" s="41">
        <v>-12.162065</v>
      </c>
      <c r="J346" s="41">
        <v>-77.025720000000007</v>
      </c>
    </row>
    <row r="347" spans="1:10" x14ac:dyDescent="0.25">
      <c r="A347" s="15" t="s">
        <v>4302</v>
      </c>
      <c r="B347" s="15" t="s">
        <v>4281</v>
      </c>
      <c r="C347" s="42">
        <v>9.24</v>
      </c>
      <c r="D347" s="25">
        <v>1.1805555555555555E-2</v>
      </c>
      <c r="E347" s="43">
        <v>-12.087759</v>
      </c>
      <c r="F347" s="43">
        <v>-77.000658999999999</v>
      </c>
      <c r="G347" s="43">
        <v>-12.083311999999999</v>
      </c>
      <c r="H347" s="43">
        <v>-76.970100000000002</v>
      </c>
      <c r="I347" s="43">
        <v>-12.068479999999999</v>
      </c>
      <c r="J347" s="43">
        <v>-76.946973999999997</v>
      </c>
    </row>
    <row r="348" spans="1:10" x14ac:dyDescent="0.25">
      <c r="A348" s="15" t="s">
        <v>4302</v>
      </c>
      <c r="B348" s="15" t="s">
        <v>4296</v>
      </c>
      <c r="C348" s="40">
        <v>10.141999999999999</v>
      </c>
      <c r="D348" s="29">
        <v>1.2500000000000001E-2</v>
      </c>
      <c r="E348" s="41">
        <v>-12.090265</v>
      </c>
      <c r="F348" s="41">
        <v>-77.019711000000001</v>
      </c>
      <c r="G348" s="41">
        <v>-12.061267000000001</v>
      </c>
      <c r="H348" s="41">
        <v>-77.034757999999997</v>
      </c>
      <c r="I348" s="41">
        <v>-12.061806000000001</v>
      </c>
      <c r="J348" s="41">
        <v>-77.034867000000006</v>
      </c>
    </row>
    <row r="349" spans="1:10" x14ac:dyDescent="0.25">
      <c r="A349" s="15" t="s">
        <v>4302</v>
      </c>
      <c r="B349" s="15" t="s">
        <v>4297</v>
      </c>
      <c r="C349" s="42">
        <v>4.2720000000000002</v>
      </c>
      <c r="D349" s="25">
        <v>7.6388888888888886E-3</v>
      </c>
      <c r="E349" s="43">
        <v>-12.081877</v>
      </c>
      <c r="F349" s="43">
        <v>-77.004642000000004</v>
      </c>
      <c r="G349" s="43">
        <v>-12.079117</v>
      </c>
      <c r="H349" s="43">
        <v>-77.009737999999999</v>
      </c>
      <c r="I349" s="43">
        <v>-12.076814000000001</v>
      </c>
      <c r="J349" s="43">
        <v>-77.010493999999994</v>
      </c>
    </row>
    <row r="350" spans="1:10" x14ac:dyDescent="0.25">
      <c r="A350" s="15" t="s">
        <v>4302</v>
      </c>
      <c r="B350" s="15" t="s">
        <v>4298</v>
      </c>
      <c r="C350" s="40">
        <v>3.7440000000000002</v>
      </c>
      <c r="D350" s="29">
        <v>6.9444444444444441E-3</v>
      </c>
      <c r="E350" s="41">
        <v>-12.103318</v>
      </c>
      <c r="F350" s="41">
        <v>-77.001439000000005</v>
      </c>
      <c r="G350" s="41">
        <v>-12.111454999999999</v>
      </c>
      <c r="H350" s="41">
        <v>-77.000750999999994</v>
      </c>
      <c r="I350" s="41">
        <v>-12.111675999999999</v>
      </c>
      <c r="J350" s="41">
        <v>-77.001589999999993</v>
      </c>
    </row>
    <row r="351" spans="1:10" x14ac:dyDescent="0.25">
      <c r="A351" s="15" t="s">
        <v>4302</v>
      </c>
      <c r="B351" s="15" t="s">
        <v>4299</v>
      </c>
      <c r="C351" s="42">
        <v>7.6189999999999998</v>
      </c>
      <c r="D351" s="25">
        <v>1.0416666666666666E-2</v>
      </c>
      <c r="E351" s="43">
        <v>-12.09027</v>
      </c>
      <c r="F351" s="43">
        <v>-77.019615000000002</v>
      </c>
      <c r="G351" s="43">
        <v>-12.091443</v>
      </c>
      <c r="H351" s="43">
        <v>-77.022925000000001</v>
      </c>
      <c r="I351" s="43">
        <v>-12.112401999999999</v>
      </c>
      <c r="J351" s="43">
        <v>-77.026313000000002</v>
      </c>
    </row>
    <row r="352" spans="1:10" x14ac:dyDescent="0.25">
      <c r="A352" s="15" t="s">
        <v>4302</v>
      </c>
      <c r="B352" s="15" t="s">
        <v>4300</v>
      </c>
      <c r="C352" s="40">
        <v>6.1079999999999997</v>
      </c>
      <c r="D352" s="29">
        <v>7.6388888888888886E-3</v>
      </c>
      <c r="E352" s="41">
        <v>-12.087927000000001</v>
      </c>
      <c r="F352" s="41">
        <v>-77.001481999999996</v>
      </c>
      <c r="G352" s="41">
        <v>-12.085989</v>
      </c>
      <c r="H352" s="41">
        <v>-76.987696999999997</v>
      </c>
      <c r="I352" s="41">
        <v>-12.094654999999999</v>
      </c>
      <c r="J352" s="41">
        <v>-76.980564999999999</v>
      </c>
    </row>
    <row r="353" spans="1:10" x14ac:dyDescent="0.25">
      <c r="A353" s="15" t="s">
        <v>4302</v>
      </c>
      <c r="B353" s="15" t="s">
        <v>4301</v>
      </c>
      <c r="C353" s="42">
        <v>31.905999999999999</v>
      </c>
      <c r="D353" s="25">
        <v>2.5694444444444443E-2</v>
      </c>
      <c r="E353" s="43">
        <v>-12.085798</v>
      </c>
      <c r="F353" s="43">
        <v>-76.981514000000004</v>
      </c>
      <c r="G353" s="43">
        <v>-12.039692000000001</v>
      </c>
      <c r="H353" s="43">
        <v>-76.987967999999995</v>
      </c>
      <c r="I353" s="43">
        <v>-12.040149</v>
      </c>
      <c r="J353" s="43">
        <v>-77.035490999999993</v>
      </c>
    </row>
    <row r="354" spans="1:10" x14ac:dyDescent="0.25">
      <c r="A354" s="15" t="s">
        <v>4302</v>
      </c>
      <c r="B354" s="15" t="s">
        <v>4302</v>
      </c>
      <c r="C354" s="40">
        <v>0</v>
      </c>
      <c r="D354" s="29">
        <v>0</v>
      </c>
      <c r="E354" s="41">
        <f>'1 ubicaciones'!D11</f>
        <v>-11.9744805</v>
      </c>
      <c r="F354" s="41">
        <f>'1 ubicaciones'!E11</f>
        <v>-77.002573999999996</v>
      </c>
      <c r="G354" s="41">
        <f>'1 ubicaciones'!D11</f>
        <v>-11.9744805</v>
      </c>
      <c r="H354" s="41">
        <f>'1 ubicaciones'!E11</f>
        <v>-77.002573999999996</v>
      </c>
      <c r="I354" s="41">
        <f>'1 ubicaciones'!D11</f>
        <v>-11.9744805</v>
      </c>
      <c r="J354" s="41">
        <f>'1 ubicaciones'!E11</f>
        <v>-77.002573999999996</v>
      </c>
    </row>
    <row r="355" spans="1:10" x14ac:dyDescent="0.25">
      <c r="A355" s="15" t="s">
        <v>4302</v>
      </c>
      <c r="B355" s="15" t="s">
        <v>4303</v>
      </c>
      <c r="C355" s="42">
        <v>4.173</v>
      </c>
      <c r="D355" s="25">
        <v>7.6388888888888886E-3</v>
      </c>
      <c r="E355" s="43">
        <v>-12.081375</v>
      </c>
      <c r="F355" s="43">
        <v>-77.005055999999996</v>
      </c>
      <c r="G355" s="43">
        <v>-12.077563</v>
      </c>
      <c r="H355" s="43">
        <v>-77.010282000000004</v>
      </c>
      <c r="I355" s="43">
        <v>-12.076169</v>
      </c>
      <c r="J355" s="43">
        <v>-77.010795000000002</v>
      </c>
    </row>
    <row r="356" spans="1:10" x14ac:dyDescent="0.25">
      <c r="A356" s="15" t="s">
        <v>4302</v>
      </c>
      <c r="B356" s="15" t="s">
        <v>4304</v>
      </c>
      <c r="C356" s="40">
        <v>3.7559999999999998</v>
      </c>
      <c r="D356" s="29">
        <v>6.9444444444444441E-3</v>
      </c>
      <c r="E356" s="41">
        <v>-12.081877</v>
      </c>
      <c r="F356" s="41">
        <v>-77.004642000000004</v>
      </c>
      <c r="G356" s="41">
        <v>-12.079117</v>
      </c>
      <c r="H356" s="41">
        <v>-77.009737999999999</v>
      </c>
      <c r="I356" s="41">
        <v>-12.076814000000001</v>
      </c>
      <c r="J356" s="41">
        <v>-77.010493999999994</v>
      </c>
    </row>
    <row r="357" spans="1:10" x14ac:dyDescent="0.25">
      <c r="A357" s="15" t="s">
        <v>4302</v>
      </c>
      <c r="B357" s="15" t="s">
        <v>4269</v>
      </c>
      <c r="C357" s="42">
        <v>10.286</v>
      </c>
      <c r="D357" s="25">
        <v>1.5972222222222221E-2</v>
      </c>
      <c r="E357" s="43">
        <v>-12.087543</v>
      </c>
      <c r="F357" s="43">
        <v>-77.003360999999998</v>
      </c>
      <c r="G357" s="43">
        <v>-12.092278</v>
      </c>
      <c r="H357" s="43">
        <v>-77.033850999999999</v>
      </c>
      <c r="I357" s="43">
        <v>-12.090033999999999</v>
      </c>
      <c r="J357" s="43">
        <v>-77.065608999999995</v>
      </c>
    </row>
    <row r="358" spans="1:10" x14ac:dyDescent="0.25">
      <c r="A358" s="15" t="s">
        <v>4302</v>
      </c>
      <c r="B358" s="15" t="s">
        <v>4305</v>
      </c>
      <c r="C358" s="40">
        <v>9.1329999999999991</v>
      </c>
      <c r="D358" s="29">
        <v>1.1805555555555555E-2</v>
      </c>
      <c r="E358" s="41">
        <v>-12.090422999999999</v>
      </c>
      <c r="F358" s="41">
        <v>-77.022125000000003</v>
      </c>
      <c r="G358" s="41">
        <v>-12.05926</v>
      </c>
      <c r="H358" s="41">
        <v>-77.035741999999999</v>
      </c>
      <c r="I358" s="41">
        <v>-12.060855</v>
      </c>
      <c r="J358" s="41">
        <v>-77.044832999999997</v>
      </c>
    </row>
    <row r="359" spans="1:10" x14ac:dyDescent="0.25">
      <c r="A359" s="15" t="s">
        <v>4302</v>
      </c>
      <c r="B359" s="15" t="s">
        <v>4306</v>
      </c>
      <c r="C359" s="42">
        <v>8.766</v>
      </c>
      <c r="D359" s="25">
        <v>9.0277777777777769E-3</v>
      </c>
      <c r="E359" s="43">
        <v>-12.087927000000001</v>
      </c>
      <c r="F359" s="43">
        <v>-77.001481999999996</v>
      </c>
      <c r="G359" s="43">
        <v>-12.085989</v>
      </c>
      <c r="H359" s="43">
        <v>-76.987696999999997</v>
      </c>
      <c r="I359" s="43">
        <v>-12.127027999999999</v>
      </c>
      <c r="J359" s="43">
        <v>-76.977030999999997</v>
      </c>
    </row>
    <row r="360" spans="1:10" x14ac:dyDescent="0.25">
      <c r="A360" s="15" t="s">
        <v>4302</v>
      </c>
      <c r="B360" s="15" t="s">
        <v>4277</v>
      </c>
      <c r="C360" s="40">
        <v>5.8250000000000002</v>
      </c>
      <c r="D360" s="29">
        <v>7.6388888888888886E-3</v>
      </c>
      <c r="E360" s="41">
        <v>-12.087782000000001</v>
      </c>
      <c r="F360" s="41">
        <v>-77.003530999999995</v>
      </c>
      <c r="G360" s="41">
        <v>-12.087593999999999</v>
      </c>
      <c r="H360" s="41">
        <v>-77.002853999999999</v>
      </c>
      <c r="I360" s="41">
        <v>-12.092278</v>
      </c>
      <c r="J360" s="41">
        <v>-77.033850999999999</v>
      </c>
    </row>
    <row r="361" spans="1:10" x14ac:dyDescent="0.25">
      <c r="A361" s="15" t="s">
        <v>4302</v>
      </c>
      <c r="B361" s="15" t="s">
        <v>4307</v>
      </c>
      <c r="C361" s="42">
        <v>11.769</v>
      </c>
      <c r="D361" s="25">
        <v>1.3194444444444444E-2</v>
      </c>
      <c r="E361" s="43">
        <v>-12.086715</v>
      </c>
      <c r="F361" s="43">
        <v>-76.995919999999998</v>
      </c>
      <c r="G361" s="43">
        <v>-12.085383</v>
      </c>
      <c r="H361" s="43">
        <v>-76.982168999999999</v>
      </c>
      <c r="I361" s="43">
        <v>-12.052244</v>
      </c>
      <c r="J361" s="43">
        <v>-76.976022999999998</v>
      </c>
    </row>
    <row r="362" spans="1:10" x14ac:dyDescent="0.25">
      <c r="A362" s="15" t="s">
        <v>4302</v>
      </c>
      <c r="B362" s="15" t="s">
        <v>4308</v>
      </c>
      <c r="C362" s="40">
        <v>11.788</v>
      </c>
      <c r="D362" s="29">
        <v>1.8055555555555554E-2</v>
      </c>
      <c r="E362" s="41">
        <v>-12.087477</v>
      </c>
      <c r="F362" s="41">
        <v>-77.003018999999995</v>
      </c>
      <c r="G362" s="41">
        <v>-12.094547</v>
      </c>
      <c r="H362" s="41">
        <v>-77.050759999999997</v>
      </c>
      <c r="I362" s="41">
        <v>-12.084085999999999</v>
      </c>
      <c r="J362" s="41">
        <v>-77.064746999999997</v>
      </c>
    </row>
    <row r="363" spans="1:10" x14ac:dyDescent="0.25">
      <c r="A363" s="15" t="s">
        <v>4302</v>
      </c>
      <c r="B363" s="15" t="s">
        <v>4309</v>
      </c>
      <c r="C363" s="42">
        <v>6.016</v>
      </c>
      <c r="D363" s="25">
        <v>6.9444444444444441E-3</v>
      </c>
      <c r="E363" s="43">
        <v>-12.087477</v>
      </c>
      <c r="F363" s="43">
        <v>-77.003018999999995</v>
      </c>
      <c r="G363" s="43">
        <v>-12.090526000000001</v>
      </c>
      <c r="H363" s="43">
        <v>-77.021861000000001</v>
      </c>
      <c r="I363" s="43">
        <v>-12.078685</v>
      </c>
      <c r="J363" s="43">
        <v>-77.027928000000003</v>
      </c>
    </row>
    <row r="364" spans="1:10" x14ac:dyDescent="0.25">
      <c r="A364" s="15" t="s">
        <v>4302</v>
      </c>
      <c r="B364" s="15" t="s">
        <v>4278</v>
      </c>
      <c r="C364" s="40">
        <v>23.454999999999998</v>
      </c>
      <c r="D364" s="29">
        <v>2.013888888888889E-2</v>
      </c>
      <c r="E364" s="41">
        <v>-12.085900000000001</v>
      </c>
      <c r="F364" s="41">
        <v>-76.981693000000007</v>
      </c>
      <c r="G364" s="41">
        <v>-12.034238999999999</v>
      </c>
      <c r="H364" s="41">
        <v>-76.989767999999998</v>
      </c>
      <c r="I364" s="41">
        <v>-12.03608</v>
      </c>
      <c r="J364" s="41">
        <v>-77.044940999999994</v>
      </c>
    </row>
    <row r="365" spans="1:10" x14ac:dyDescent="0.25">
      <c r="A365" s="15" t="s">
        <v>4302</v>
      </c>
      <c r="B365" s="15" t="s">
        <v>4310</v>
      </c>
      <c r="C365" s="42">
        <v>12.734</v>
      </c>
      <c r="D365" s="25">
        <v>1.3194444444444444E-2</v>
      </c>
      <c r="E365" s="43">
        <v>-12.086</v>
      </c>
      <c r="F365" s="43">
        <v>-76.987904999999998</v>
      </c>
      <c r="G365" s="43">
        <v>-12.073001</v>
      </c>
      <c r="H365" s="43">
        <v>-76.973752000000005</v>
      </c>
      <c r="I365" s="43">
        <v>-12.031423999999999</v>
      </c>
      <c r="J365" s="43">
        <v>-76.992137</v>
      </c>
    </row>
    <row r="366" spans="1:10" x14ac:dyDescent="0.25">
      <c r="A366" s="15" t="s">
        <v>4302</v>
      </c>
      <c r="B366" s="15" t="s">
        <v>4311</v>
      </c>
      <c r="C366" s="40">
        <v>7.9109999999999996</v>
      </c>
      <c r="D366" s="29">
        <v>1.0416666666666666E-2</v>
      </c>
      <c r="E366" s="41">
        <v>-12.090265</v>
      </c>
      <c r="F366" s="41">
        <v>-77.019711000000001</v>
      </c>
      <c r="G366" s="41">
        <v>-12.06874</v>
      </c>
      <c r="H366" s="41">
        <v>-77.031944999999993</v>
      </c>
      <c r="I366" s="41">
        <v>-12.068913999999999</v>
      </c>
      <c r="J366" s="41">
        <v>-77.032422999999994</v>
      </c>
    </row>
    <row r="367" spans="1:10" x14ac:dyDescent="0.25">
      <c r="A367" s="15" t="s">
        <v>4302</v>
      </c>
      <c r="B367" s="15" t="s">
        <v>4312</v>
      </c>
      <c r="C367" s="42">
        <v>4.4809999999999999</v>
      </c>
      <c r="D367" s="25">
        <v>8.3333333333333332E-3</v>
      </c>
      <c r="E367" s="43">
        <v>-12.082394000000001</v>
      </c>
      <c r="F367" s="43">
        <v>-77.004341999999994</v>
      </c>
      <c r="G367" s="43">
        <v>-12.079836</v>
      </c>
      <c r="H367" s="43">
        <v>-77.008672000000004</v>
      </c>
      <c r="I367" s="43">
        <v>-12.077489999999999</v>
      </c>
      <c r="J367" s="43">
        <v>-77.010262999999995</v>
      </c>
    </row>
    <row r="368" spans="1:10" x14ac:dyDescent="0.25">
      <c r="A368" s="15" t="s">
        <v>4302</v>
      </c>
      <c r="B368" s="15" t="s">
        <v>4313</v>
      </c>
      <c r="C368" s="40">
        <v>10.254</v>
      </c>
      <c r="D368" s="29">
        <v>1.3194444444444444E-2</v>
      </c>
      <c r="E368" s="41">
        <v>-12.090526000000001</v>
      </c>
      <c r="F368" s="41">
        <v>-77.021861000000001</v>
      </c>
      <c r="G368" s="41">
        <v>-12.059535</v>
      </c>
      <c r="H368" s="41">
        <v>-77.035432</v>
      </c>
      <c r="I368" s="41">
        <v>-12.064423</v>
      </c>
      <c r="J368" s="41">
        <v>-77.039175</v>
      </c>
    </row>
    <row r="369" spans="1:10" x14ac:dyDescent="0.25">
      <c r="A369" s="15" t="s">
        <v>4302</v>
      </c>
      <c r="B369" s="15" t="s">
        <v>4314</v>
      </c>
      <c r="C369" s="42">
        <v>10.648</v>
      </c>
      <c r="D369" s="25">
        <v>1.6666666666666666E-2</v>
      </c>
      <c r="E369" s="43">
        <v>-12.087543</v>
      </c>
      <c r="F369" s="43">
        <v>-77.003360999999998</v>
      </c>
      <c r="G369" s="43">
        <v>-12.092278</v>
      </c>
      <c r="H369" s="43">
        <v>-77.033850999999999</v>
      </c>
      <c r="I369" s="43">
        <v>-12.085043000000001</v>
      </c>
      <c r="J369" s="43">
        <v>-77.064421999999993</v>
      </c>
    </row>
    <row r="370" spans="1:10" x14ac:dyDescent="0.25">
      <c r="A370" s="15" t="s">
        <v>4302</v>
      </c>
      <c r="B370" s="15" t="s">
        <v>4315</v>
      </c>
      <c r="C370" s="40">
        <v>4.9000000000000004</v>
      </c>
      <c r="D370" s="29">
        <v>7.6388888888888886E-3</v>
      </c>
      <c r="E370" s="41">
        <v>-12.098036</v>
      </c>
      <c r="F370" s="41">
        <v>-77.002235999999996</v>
      </c>
      <c r="G370" s="41">
        <v>-12.110910000000001</v>
      </c>
      <c r="H370" s="41">
        <v>-77.000429999999994</v>
      </c>
      <c r="I370" s="41">
        <v>-12.111039</v>
      </c>
      <c r="J370" s="41">
        <v>-76.989649</v>
      </c>
    </row>
    <row r="371" spans="1:10" x14ac:dyDescent="0.25">
      <c r="A371" s="15" t="s">
        <v>4302</v>
      </c>
      <c r="B371" s="15" t="s">
        <v>4316</v>
      </c>
      <c r="C371" s="42">
        <v>7.5730000000000004</v>
      </c>
      <c r="D371" s="25">
        <v>1.1111111111111112E-2</v>
      </c>
      <c r="E371" s="43">
        <v>-12.087782000000001</v>
      </c>
      <c r="F371" s="43">
        <v>-77.003530999999995</v>
      </c>
      <c r="G371" s="43">
        <v>-12.087593999999999</v>
      </c>
      <c r="H371" s="43">
        <v>-77.002853999999999</v>
      </c>
      <c r="I371" s="43">
        <v>-12.092278</v>
      </c>
      <c r="J371" s="43">
        <v>-77.033850999999999</v>
      </c>
    </row>
    <row r="372" spans="1:10" x14ac:dyDescent="0.25">
      <c r="A372" s="15" t="s">
        <v>4302</v>
      </c>
      <c r="B372" s="15" t="s">
        <v>4317</v>
      </c>
      <c r="C372" s="40">
        <v>14.052</v>
      </c>
      <c r="D372" s="29">
        <v>1.3888888888888888E-2</v>
      </c>
      <c r="E372" s="41">
        <v>-12.087429999999999</v>
      </c>
      <c r="F372" s="41">
        <v>-76.998507000000004</v>
      </c>
      <c r="G372" s="41">
        <v>-12.117227</v>
      </c>
      <c r="H372" s="41">
        <v>-76.977379999999997</v>
      </c>
      <c r="I372" s="41">
        <v>-12.150254</v>
      </c>
      <c r="J372" s="41">
        <v>-76.984515000000002</v>
      </c>
    </row>
    <row r="373" spans="1:10" x14ac:dyDescent="0.25">
      <c r="A373" s="15" t="s">
        <v>4302</v>
      </c>
      <c r="B373" s="15" t="s">
        <v>4318</v>
      </c>
      <c r="C373" s="42">
        <v>1.321</v>
      </c>
      <c r="D373" s="25">
        <v>3.472222222222222E-3</v>
      </c>
      <c r="E373" s="43">
        <v>-12.090852999999999</v>
      </c>
      <c r="F373" s="43">
        <v>-77.003097999999994</v>
      </c>
      <c r="G373" s="43">
        <v>-12.09102</v>
      </c>
      <c r="H373" s="43">
        <v>-77.004282000000003</v>
      </c>
      <c r="I373" s="43">
        <v>-12.090788999999999</v>
      </c>
      <c r="J373" s="43">
        <v>-77.005059000000003</v>
      </c>
    </row>
    <row r="374" spans="1:10" x14ac:dyDescent="0.25">
      <c r="A374" s="15" t="s">
        <v>4302</v>
      </c>
      <c r="B374" s="15" t="s">
        <v>4319</v>
      </c>
      <c r="C374" s="40">
        <v>1.258</v>
      </c>
      <c r="D374" s="29">
        <v>2.7777777777777779E-3</v>
      </c>
      <c r="E374" s="41">
        <v>-12.098141999999999</v>
      </c>
      <c r="F374" s="41">
        <v>-77.000647000000001</v>
      </c>
      <c r="G374" s="41">
        <v>-12.099895999999999</v>
      </c>
      <c r="H374" s="41">
        <v>-76.998705999999999</v>
      </c>
      <c r="I374" s="41">
        <v>-12.100557</v>
      </c>
      <c r="J374" s="41">
        <v>-76.996780999999999</v>
      </c>
    </row>
    <row r="375" spans="1:10" x14ac:dyDescent="0.25">
      <c r="A375" s="15" t="s">
        <v>4302</v>
      </c>
      <c r="B375" s="15" t="s">
        <v>4279</v>
      </c>
      <c r="C375" s="42">
        <v>16.010999999999999</v>
      </c>
      <c r="D375" s="25">
        <v>2.2916666666666665E-2</v>
      </c>
      <c r="E375" s="43">
        <v>-12.090526000000001</v>
      </c>
      <c r="F375" s="43">
        <v>-77.021861000000001</v>
      </c>
      <c r="G375" s="43">
        <v>-12.059535</v>
      </c>
      <c r="H375" s="43">
        <v>-77.035432</v>
      </c>
      <c r="I375" s="43">
        <v>-12.046716</v>
      </c>
      <c r="J375" s="43">
        <v>-77.042501000000001</v>
      </c>
    </row>
    <row r="376" spans="1:10" x14ac:dyDescent="0.25">
      <c r="A376" s="15" t="s">
        <v>4302</v>
      </c>
      <c r="B376" s="15" t="s">
        <v>4320</v>
      </c>
      <c r="C376" s="40">
        <v>7.7089999999999996</v>
      </c>
      <c r="D376" s="29">
        <v>9.7222222222222224E-3</v>
      </c>
      <c r="E376" s="41">
        <v>-12.087429999999999</v>
      </c>
      <c r="F376" s="41">
        <v>-76.998507000000004</v>
      </c>
      <c r="G376" s="41">
        <v>-12.085900000000001</v>
      </c>
      <c r="H376" s="41">
        <v>-76.981693000000007</v>
      </c>
      <c r="I376" s="41">
        <v>-12.066178000000001</v>
      </c>
      <c r="J376" s="41">
        <v>-76.971248000000003</v>
      </c>
    </row>
    <row r="377" spans="1:10" x14ac:dyDescent="0.25">
      <c r="A377" s="15" t="s">
        <v>4302</v>
      </c>
      <c r="B377" s="15" t="s">
        <v>4321</v>
      </c>
      <c r="C377" s="42">
        <v>37.798000000000002</v>
      </c>
      <c r="D377" s="25">
        <v>3.4027777777777775E-2</v>
      </c>
      <c r="E377" s="43">
        <v>-12.085383</v>
      </c>
      <c r="F377" s="43">
        <v>-76.982168999999999</v>
      </c>
      <c r="G377" s="43">
        <v>-12.02913</v>
      </c>
      <c r="H377" s="43">
        <v>-76.998157000000006</v>
      </c>
      <c r="I377" s="43">
        <v>-12.011450999999999</v>
      </c>
      <c r="J377" s="43">
        <v>-77.060586000000001</v>
      </c>
    </row>
    <row r="378" spans="1:10" x14ac:dyDescent="0.25">
      <c r="A378" s="15" t="s">
        <v>4302</v>
      </c>
      <c r="B378" s="15" t="s">
        <v>4322</v>
      </c>
      <c r="C378" s="40">
        <v>16.286999999999999</v>
      </c>
      <c r="D378" s="29">
        <v>1.8055555555555554E-2</v>
      </c>
      <c r="E378" s="41">
        <v>-12.090811</v>
      </c>
      <c r="F378" s="41">
        <v>-77.022954999999996</v>
      </c>
      <c r="G378" s="41">
        <v>-12.134126999999999</v>
      </c>
      <c r="H378" s="41">
        <v>-77.021338999999998</v>
      </c>
      <c r="I378" s="41">
        <v>-12.157667</v>
      </c>
      <c r="J378" s="41">
        <v>-77.025107000000006</v>
      </c>
    </row>
    <row r="379" spans="1:10" x14ac:dyDescent="0.25">
      <c r="A379" s="15" t="s">
        <v>4302</v>
      </c>
      <c r="B379" s="15" t="s">
        <v>4323</v>
      </c>
      <c r="C379" s="42">
        <v>16.248000000000001</v>
      </c>
      <c r="D379" s="25">
        <v>1.6666666666666666E-2</v>
      </c>
      <c r="E379" s="43">
        <v>-12.086</v>
      </c>
      <c r="F379" s="43">
        <v>-76.987904999999998</v>
      </c>
      <c r="G379" s="43">
        <v>-12.153060999999999</v>
      </c>
      <c r="H379" s="43">
        <v>-76.983917000000005</v>
      </c>
      <c r="I379" s="43">
        <v>-12.17191</v>
      </c>
      <c r="J379" s="43">
        <v>-76.985184000000004</v>
      </c>
    </row>
    <row r="380" spans="1:10" x14ac:dyDescent="0.25">
      <c r="A380" s="15" t="s">
        <v>4302</v>
      </c>
      <c r="B380" s="15" t="s">
        <v>4324</v>
      </c>
      <c r="C380" s="40">
        <v>9.5790000000000006</v>
      </c>
      <c r="D380" s="29">
        <v>1.5277777777777777E-2</v>
      </c>
      <c r="E380" s="41">
        <v>-12.087477</v>
      </c>
      <c r="F380" s="41">
        <v>-77.003018999999995</v>
      </c>
      <c r="G380" s="41">
        <v>-12.094547</v>
      </c>
      <c r="H380" s="41">
        <v>-77.050759999999997</v>
      </c>
      <c r="I380" s="41">
        <v>-12.084085999999999</v>
      </c>
      <c r="J380" s="41">
        <v>-77.064746999999997</v>
      </c>
    </row>
    <row r="381" spans="1:10" x14ac:dyDescent="0.25">
      <c r="A381" s="15" t="s">
        <v>4302</v>
      </c>
      <c r="B381" s="15" t="s">
        <v>4325</v>
      </c>
      <c r="C381" s="42">
        <v>14.292</v>
      </c>
      <c r="D381" s="25">
        <v>1.8749999999999999E-2</v>
      </c>
      <c r="E381" s="43">
        <v>-12.085989</v>
      </c>
      <c r="F381" s="43">
        <v>-76.987696999999997</v>
      </c>
      <c r="G381" s="43">
        <v>-12.135672</v>
      </c>
      <c r="H381" s="43">
        <v>-76.976173000000003</v>
      </c>
      <c r="I381" s="43">
        <v>-12.142108</v>
      </c>
      <c r="J381" s="43">
        <v>-76.958974999999995</v>
      </c>
    </row>
    <row r="382" spans="1:10" x14ac:dyDescent="0.25">
      <c r="A382" s="15" t="s">
        <v>4302</v>
      </c>
      <c r="B382" s="15" t="s">
        <v>4268</v>
      </c>
      <c r="C382" s="40">
        <v>12.195</v>
      </c>
      <c r="D382" s="29">
        <v>1.2500000000000001E-2</v>
      </c>
      <c r="E382" s="41">
        <v>-12.086</v>
      </c>
      <c r="F382" s="41">
        <v>-76.987904999999998</v>
      </c>
      <c r="G382" s="41">
        <v>-12.073001</v>
      </c>
      <c r="H382" s="41">
        <v>-76.973752000000005</v>
      </c>
      <c r="I382" s="41">
        <v>-12.031423999999999</v>
      </c>
      <c r="J382" s="41">
        <v>-76.992137</v>
      </c>
    </row>
    <row r="383" spans="1:10" x14ac:dyDescent="0.25">
      <c r="A383" s="15" t="s">
        <v>4303</v>
      </c>
      <c r="B383" s="15" t="s">
        <v>4267</v>
      </c>
      <c r="C383" s="42">
        <v>4.4379999999999997</v>
      </c>
      <c r="D383" s="25">
        <v>1.0416666666666666E-2</v>
      </c>
      <c r="E383" s="43">
        <v>-12.065412</v>
      </c>
      <c r="F383" s="43">
        <v>-77.015000999999998</v>
      </c>
      <c r="G383" s="43">
        <v>-12.057376</v>
      </c>
      <c r="H383" s="43">
        <v>-77.017562999999996</v>
      </c>
      <c r="I383" s="43">
        <v>-12.050115999999999</v>
      </c>
      <c r="J383" s="43">
        <v>-77.031329999999997</v>
      </c>
    </row>
    <row r="384" spans="1:10" x14ac:dyDescent="0.25">
      <c r="A384" s="15" t="s">
        <v>4303</v>
      </c>
      <c r="B384" s="15" t="s">
        <v>4280</v>
      </c>
      <c r="C384" s="40">
        <v>16.475000000000001</v>
      </c>
      <c r="D384" s="29">
        <v>1.7361111111111112E-2</v>
      </c>
      <c r="E384" s="41">
        <v>-12.090925</v>
      </c>
      <c r="F384" s="41">
        <v>-77.022936000000001</v>
      </c>
      <c r="G384" s="41">
        <v>-12.134446000000001</v>
      </c>
      <c r="H384" s="41">
        <v>-77.021733999999995</v>
      </c>
      <c r="I384" s="41">
        <v>-12.162065</v>
      </c>
      <c r="J384" s="41">
        <v>-77.025720000000007</v>
      </c>
    </row>
    <row r="385" spans="1:10" x14ac:dyDescent="0.25">
      <c r="A385" s="15" t="s">
        <v>4303</v>
      </c>
      <c r="B385" s="15" t="s">
        <v>4281</v>
      </c>
      <c r="C385" s="42">
        <v>11.304</v>
      </c>
      <c r="D385" s="25">
        <v>1.5277777777777777E-2</v>
      </c>
      <c r="E385" s="43">
        <v>-12.080859</v>
      </c>
      <c r="F385" s="43">
        <v>-77.006247000000002</v>
      </c>
      <c r="G385" s="43">
        <v>-12.086715</v>
      </c>
      <c r="H385" s="43">
        <v>-76.995919999999998</v>
      </c>
      <c r="I385" s="43">
        <v>-12.075670000000001</v>
      </c>
      <c r="J385" s="43">
        <v>-76.963638000000003</v>
      </c>
    </row>
    <row r="386" spans="1:10" x14ac:dyDescent="0.25">
      <c r="A386" s="15" t="s">
        <v>4303</v>
      </c>
      <c r="B386" s="15" t="s">
        <v>4296</v>
      </c>
      <c r="C386" s="40">
        <v>5.6749999999999998</v>
      </c>
      <c r="D386" s="29">
        <v>1.1111111111111112E-2</v>
      </c>
      <c r="E386" s="41">
        <v>-12.073734</v>
      </c>
      <c r="F386" s="41">
        <v>-77.018263000000005</v>
      </c>
      <c r="G386" s="41">
        <v>-12.077546999999999</v>
      </c>
      <c r="H386" s="41">
        <v>-77.034357999999997</v>
      </c>
      <c r="I386" s="41">
        <v>-12.074973999999999</v>
      </c>
      <c r="J386" s="41">
        <v>-77.042777000000001</v>
      </c>
    </row>
    <row r="387" spans="1:10" x14ac:dyDescent="0.25">
      <c r="A387" s="15" t="s">
        <v>4303</v>
      </c>
      <c r="B387" s="15" t="s">
        <v>4297</v>
      </c>
      <c r="C387" s="42">
        <v>0.248</v>
      </c>
      <c r="D387" s="25">
        <v>6.9444444444444447E-4</v>
      </c>
      <c r="E387" s="43">
        <v>-12.065429</v>
      </c>
      <c r="F387" s="43">
        <v>-77.013417000000004</v>
      </c>
      <c r="G387" s="43">
        <v>-12.06521</v>
      </c>
      <c r="H387" s="43">
        <v>-77.013446000000002</v>
      </c>
      <c r="I387" s="43">
        <v>-12.063889</v>
      </c>
      <c r="J387" s="43">
        <v>-77.013622999999995</v>
      </c>
    </row>
    <row r="388" spans="1:10" x14ac:dyDescent="0.25">
      <c r="A388" s="15" t="s">
        <v>4303</v>
      </c>
      <c r="B388" s="15" t="s">
        <v>4298</v>
      </c>
      <c r="C388" s="40">
        <v>8.6120000000000001</v>
      </c>
      <c r="D388" s="29">
        <v>1.0416666666666666E-2</v>
      </c>
      <c r="E388" s="41">
        <v>-12.076845</v>
      </c>
      <c r="F388" s="41">
        <v>-77.029330000000002</v>
      </c>
      <c r="G388" s="41">
        <v>-12.088837</v>
      </c>
      <c r="H388" s="41">
        <v>-77.024019999999993</v>
      </c>
      <c r="I388" s="41">
        <v>-12.10798</v>
      </c>
      <c r="J388" s="41">
        <v>-77.026662000000002</v>
      </c>
    </row>
    <row r="389" spans="1:10" x14ac:dyDescent="0.25">
      <c r="A389" s="15" t="s">
        <v>4303</v>
      </c>
      <c r="B389" s="15" t="s">
        <v>4299</v>
      </c>
      <c r="C389" s="42">
        <v>8.7669999999999995</v>
      </c>
      <c r="D389" s="25">
        <v>1.1111111111111112E-2</v>
      </c>
      <c r="E389" s="43">
        <v>-12.076866000000001</v>
      </c>
      <c r="F389" s="43">
        <v>-77.029426999999998</v>
      </c>
      <c r="G389" s="43">
        <v>-12.091074000000001</v>
      </c>
      <c r="H389" s="43">
        <v>-77.022919000000002</v>
      </c>
      <c r="I389" s="43">
        <v>-12.110060000000001</v>
      </c>
      <c r="J389" s="43">
        <v>-77.02646</v>
      </c>
    </row>
    <row r="390" spans="1:10" x14ac:dyDescent="0.25">
      <c r="A390" s="15" t="s">
        <v>4303</v>
      </c>
      <c r="B390" s="15" t="s">
        <v>4300</v>
      </c>
      <c r="C390" s="40">
        <v>8.1720000000000006</v>
      </c>
      <c r="D390" s="29">
        <v>1.1111111111111112E-2</v>
      </c>
      <c r="E390" s="41">
        <v>-12.079059000000001</v>
      </c>
      <c r="F390" s="41">
        <v>-77.010137</v>
      </c>
      <c r="G390" s="41">
        <v>-12.087927000000001</v>
      </c>
      <c r="H390" s="41">
        <v>-77.001481999999996</v>
      </c>
      <c r="I390" s="41">
        <v>-12.087826</v>
      </c>
      <c r="J390" s="41">
        <v>-76.982071000000005</v>
      </c>
    </row>
    <row r="391" spans="1:10" x14ac:dyDescent="0.25">
      <c r="A391" s="15" t="s">
        <v>4303</v>
      </c>
      <c r="B391" s="15" t="s">
        <v>4301</v>
      </c>
      <c r="C391" s="42">
        <v>20.753</v>
      </c>
      <c r="D391" s="25">
        <v>2.0833333333333332E-2</v>
      </c>
      <c r="E391" s="43">
        <v>-12.046936000000001</v>
      </c>
      <c r="F391" s="43">
        <v>-77.019964000000002</v>
      </c>
      <c r="G391" s="43">
        <v>-12.043023</v>
      </c>
      <c r="H391" s="43">
        <v>-77.022886999999997</v>
      </c>
      <c r="I391" s="43">
        <v>-12.032619</v>
      </c>
      <c r="J391" s="43">
        <v>-77.054616999999993</v>
      </c>
    </row>
    <row r="392" spans="1:10" x14ac:dyDescent="0.25">
      <c r="A392" s="15" t="s">
        <v>4303</v>
      </c>
      <c r="B392" s="15" t="s">
        <v>4302</v>
      </c>
      <c r="C392" s="40">
        <v>4.2160000000000002</v>
      </c>
      <c r="D392" s="29">
        <v>7.6388888888888886E-3</v>
      </c>
      <c r="E392" s="41">
        <v>-12.065573000000001</v>
      </c>
      <c r="F392" s="41">
        <v>-77.012471000000005</v>
      </c>
      <c r="G392" s="41">
        <v>-12.078115</v>
      </c>
      <c r="H392" s="41">
        <v>-77.010765000000006</v>
      </c>
      <c r="I392" s="41">
        <v>-12.080121999999999</v>
      </c>
      <c r="J392" s="41">
        <v>-77.008591999999993</v>
      </c>
    </row>
    <row r="393" spans="1:10" x14ac:dyDescent="0.25">
      <c r="A393" s="15" t="s">
        <v>4303</v>
      </c>
      <c r="B393" s="15" t="s">
        <v>4303</v>
      </c>
      <c r="C393" s="42">
        <v>0</v>
      </c>
      <c r="D393" s="25">
        <v>0</v>
      </c>
      <c r="E393" s="43">
        <f>'1 ubicaciones'!D12</f>
        <v>-12.1167728</v>
      </c>
      <c r="F393" s="43">
        <f>'1 ubicaciones'!E12</f>
        <v>-77.029634099999996</v>
      </c>
      <c r="G393" s="43">
        <f>'1 ubicaciones'!D12</f>
        <v>-12.1167728</v>
      </c>
      <c r="H393" s="43">
        <f>'1 ubicaciones'!E12</f>
        <v>-77.029634099999996</v>
      </c>
      <c r="I393" s="43">
        <f>'1 ubicaciones'!D12</f>
        <v>-12.1167728</v>
      </c>
      <c r="J393" s="43">
        <f>'1 ubicaciones'!E12</f>
        <v>-77.029634099999996</v>
      </c>
    </row>
    <row r="394" spans="1:10" x14ac:dyDescent="0.25">
      <c r="A394" s="15" t="s">
        <v>4303</v>
      </c>
      <c r="B394" s="15" t="s">
        <v>4304</v>
      </c>
      <c r="C394" s="40">
        <v>0.70199999999999996</v>
      </c>
      <c r="D394" s="29">
        <v>1.3888888888888889E-3</v>
      </c>
      <c r="E394" s="41">
        <v>-12.065429</v>
      </c>
      <c r="F394" s="41">
        <v>-77.013417000000004</v>
      </c>
      <c r="G394" s="41">
        <v>-12.06521</v>
      </c>
      <c r="H394" s="41">
        <v>-77.013446000000002</v>
      </c>
      <c r="I394" s="41">
        <v>-12.065201999999999</v>
      </c>
      <c r="J394" s="41">
        <v>-77.013385999999997</v>
      </c>
    </row>
    <row r="395" spans="1:10" x14ac:dyDescent="0.25">
      <c r="A395" s="15" t="s">
        <v>4303</v>
      </c>
      <c r="B395" s="15" t="s">
        <v>4269</v>
      </c>
      <c r="C395" s="42">
        <v>20.760999999999999</v>
      </c>
      <c r="D395" s="25">
        <v>1.8749999999999999E-2</v>
      </c>
      <c r="E395" s="43">
        <v>-12.112062999999999</v>
      </c>
      <c r="F395" s="43">
        <v>-77.026141999999993</v>
      </c>
      <c r="G395" s="43">
        <v>-12.132712</v>
      </c>
      <c r="H395" s="43">
        <v>-77.030824999999993</v>
      </c>
      <c r="I395" s="43">
        <v>-12.105864</v>
      </c>
      <c r="J395" s="43">
        <v>-77.061139999999995</v>
      </c>
    </row>
    <row r="396" spans="1:10" x14ac:dyDescent="0.25">
      <c r="A396" s="15" t="s">
        <v>4303</v>
      </c>
      <c r="B396" s="15" t="s">
        <v>4305</v>
      </c>
      <c r="C396" s="40">
        <v>5.0910000000000002</v>
      </c>
      <c r="D396" s="29">
        <v>1.1111111111111112E-2</v>
      </c>
      <c r="E396" s="41">
        <v>-12.057368</v>
      </c>
      <c r="F396" s="41">
        <v>-77.017472999999995</v>
      </c>
      <c r="G396" s="41">
        <v>-12.060046</v>
      </c>
      <c r="H396" s="41">
        <v>-77.041033999999996</v>
      </c>
      <c r="I396" s="41">
        <v>-12.061386000000001</v>
      </c>
      <c r="J396" s="41">
        <v>-77.045427000000004</v>
      </c>
    </row>
    <row r="397" spans="1:10" x14ac:dyDescent="0.25">
      <c r="A397" s="15" t="s">
        <v>4303</v>
      </c>
      <c r="B397" s="15" t="s">
        <v>4306</v>
      </c>
      <c r="C397" s="42">
        <v>10.83</v>
      </c>
      <c r="D397" s="25">
        <v>1.1805555555555555E-2</v>
      </c>
      <c r="E397" s="43">
        <v>-12.079059000000001</v>
      </c>
      <c r="F397" s="43">
        <v>-77.010137</v>
      </c>
      <c r="G397" s="43">
        <v>-12.087927000000001</v>
      </c>
      <c r="H397" s="43">
        <v>-77.001481999999996</v>
      </c>
      <c r="I397" s="43">
        <v>-12.087826</v>
      </c>
      <c r="J397" s="43">
        <v>-76.982071000000005</v>
      </c>
    </row>
    <row r="398" spans="1:10" x14ac:dyDescent="0.25">
      <c r="A398" s="15" t="s">
        <v>4303</v>
      </c>
      <c r="B398" s="15" t="s">
        <v>4277</v>
      </c>
      <c r="C398" s="40">
        <v>6.0119999999999996</v>
      </c>
      <c r="D398" s="29">
        <v>8.3333333333333332E-3</v>
      </c>
      <c r="E398" s="41">
        <v>-12.065573000000001</v>
      </c>
      <c r="F398" s="41">
        <v>-77.012471000000005</v>
      </c>
      <c r="G398" s="41">
        <v>-12.08074</v>
      </c>
      <c r="H398" s="41">
        <v>-77.012994000000006</v>
      </c>
      <c r="I398" s="41">
        <v>-12.090158000000001</v>
      </c>
      <c r="J398" s="41">
        <v>-77.018827000000002</v>
      </c>
    </row>
    <row r="399" spans="1:10" x14ac:dyDescent="0.25">
      <c r="A399" s="15" t="s">
        <v>4303</v>
      </c>
      <c r="B399" s="15" t="s">
        <v>4307</v>
      </c>
      <c r="C399" s="42">
        <v>8.8019999999999996</v>
      </c>
      <c r="D399" s="25">
        <v>1.3194444444444444E-2</v>
      </c>
      <c r="E399" s="43">
        <v>-12.078118</v>
      </c>
      <c r="F399" s="43">
        <v>-77.01061</v>
      </c>
      <c r="G399" s="43">
        <v>-12.063489000000001</v>
      </c>
      <c r="H399" s="43">
        <v>-76.983271999999999</v>
      </c>
      <c r="I399" s="43">
        <v>-12.051228999999999</v>
      </c>
      <c r="J399" s="43">
        <v>-76.969678000000002</v>
      </c>
    </row>
    <row r="400" spans="1:10" x14ac:dyDescent="0.25">
      <c r="A400" s="15" t="s">
        <v>4303</v>
      </c>
      <c r="B400" s="15" t="s">
        <v>4308</v>
      </c>
      <c r="C400" s="40">
        <v>11.975</v>
      </c>
      <c r="D400" s="29">
        <v>1.9444444444444445E-2</v>
      </c>
      <c r="E400" s="41">
        <v>-12.079288</v>
      </c>
      <c r="F400" s="41">
        <v>-77.012179000000003</v>
      </c>
      <c r="G400" s="41">
        <v>-12.092278</v>
      </c>
      <c r="H400" s="41">
        <v>-77.033850999999999</v>
      </c>
      <c r="I400" s="41">
        <v>-12.084085999999999</v>
      </c>
      <c r="J400" s="41">
        <v>-77.064746999999997</v>
      </c>
    </row>
    <row r="401" spans="1:10" x14ac:dyDescent="0.25">
      <c r="A401" s="15" t="s">
        <v>4303</v>
      </c>
      <c r="B401" s="15" t="s">
        <v>4309</v>
      </c>
      <c r="C401" s="42">
        <v>2.403</v>
      </c>
      <c r="D401" s="25">
        <v>4.1666666666666666E-3</v>
      </c>
      <c r="E401" s="43">
        <v>-12.06521</v>
      </c>
      <c r="F401" s="43">
        <v>-77.013446000000002</v>
      </c>
      <c r="G401" s="43">
        <v>-12.065091000000001</v>
      </c>
      <c r="H401" s="43">
        <v>-77.012534000000002</v>
      </c>
      <c r="I401" s="43">
        <v>-12.071923999999999</v>
      </c>
      <c r="J401" s="43">
        <v>-77.011618999999996</v>
      </c>
    </row>
    <row r="402" spans="1:10" x14ac:dyDescent="0.25">
      <c r="A402" s="15" t="s">
        <v>4303</v>
      </c>
      <c r="B402" s="15" t="s">
        <v>4278</v>
      </c>
      <c r="C402" s="40">
        <v>12.302</v>
      </c>
      <c r="D402" s="29">
        <v>1.4583333333333334E-2</v>
      </c>
      <c r="E402" s="41">
        <v>-12.045296</v>
      </c>
      <c r="F402" s="41">
        <v>-77.019583999999995</v>
      </c>
      <c r="G402" s="41">
        <v>-12.043112000000001</v>
      </c>
      <c r="H402" s="41">
        <v>-77.02807</v>
      </c>
      <c r="I402" s="41">
        <v>-12.029517</v>
      </c>
      <c r="J402" s="41">
        <v>-77.057417000000001</v>
      </c>
    </row>
    <row r="403" spans="1:10" x14ac:dyDescent="0.25">
      <c r="A403" s="15" t="s">
        <v>4303</v>
      </c>
      <c r="B403" s="15" t="s">
        <v>4310</v>
      </c>
      <c r="C403" s="42">
        <v>6.5990000000000002</v>
      </c>
      <c r="D403" s="25">
        <v>1.1111111111111112E-2</v>
      </c>
      <c r="E403" s="43">
        <v>-12.055434999999999</v>
      </c>
      <c r="F403" s="43">
        <v>-77.018174999999999</v>
      </c>
      <c r="G403" s="43">
        <v>-12.042714999999999</v>
      </c>
      <c r="H403" s="43">
        <v>-77.019615999999999</v>
      </c>
      <c r="I403" s="43">
        <v>-12.031910999999999</v>
      </c>
      <c r="J403" s="43">
        <v>-77.004946000000004</v>
      </c>
    </row>
    <row r="404" spans="1:10" x14ac:dyDescent="0.25">
      <c r="A404" s="15" t="s">
        <v>4303</v>
      </c>
      <c r="B404" s="15" t="s">
        <v>4311</v>
      </c>
      <c r="C404" s="40">
        <v>4.8029999999999999</v>
      </c>
      <c r="D404" s="29">
        <v>9.0277777777777769E-3</v>
      </c>
      <c r="E404" s="41">
        <v>-12.071923999999999</v>
      </c>
      <c r="F404" s="41">
        <v>-77.011618999999996</v>
      </c>
      <c r="G404" s="41">
        <v>-12.076896</v>
      </c>
      <c r="H404" s="41">
        <v>-77.029593000000006</v>
      </c>
      <c r="I404" s="41">
        <v>-12.071358</v>
      </c>
      <c r="J404" s="41">
        <v>-77.035257000000001</v>
      </c>
    </row>
    <row r="405" spans="1:10" x14ac:dyDescent="0.25">
      <c r="A405" s="15" t="s">
        <v>4303</v>
      </c>
      <c r="B405" s="15" t="s">
        <v>4312</v>
      </c>
      <c r="C405" s="42">
        <v>0.38100000000000001</v>
      </c>
      <c r="D405" s="25">
        <v>1.3888888888888889E-3</v>
      </c>
      <c r="E405" s="43">
        <v>-12.065325</v>
      </c>
      <c r="F405" s="43">
        <v>-77.014331999999996</v>
      </c>
      <c r="G405" s="43">
        <v>-12.065412</v>
      </c>
      <c r="H405" s="43">
        <v>-77.015000999999998</v>
      </c>
      <c r="I405" s="43">
        <v>-12.064351</v>
      </c>
      <c r="J405" s="43">
        <v>-77.015139000000005</v>
      </c>
    </row>
    <row r="406" spans="1:10" x14ac:dyDescent="0.25">
      <c r="A406" s="15" t="s">
        <v>4303</v>
      </c>
      <c r="B406" s="15" t="s">
        <v>4313</v>
      </c>
      <c r="C406" s="40">
        <v>5.4550000000000001</v>
      </c>
      <c r="D406" s="29">
        <v>1.0416666666666666E-2</v>
      </c>
      <c r="E406" s="41">
        <v>-12.073734</v>
      </c>
      <c r="F406" s="41">
        <v>-77.018263000000005</v>
      </c>
      <c r="G406" s="41">
        <v>-12.077546999999999</v>
      </c>
      <c r="H406" s="41">
        <v>-77.034357999999997</v>
      </c>
      <c r="I406" s="41">
        <v>-12.074973999999999</v>
      </c>
      <c r="J406" s="41">
        <v>-77.042777000000001</v>
      </c>
    </row>
    <row r="407" spans="1:10" x14ac:dyDescent="0.25">
      <c r="A407" s="15" t="s">
        <v>4303</v>
      </c>
      <c r="B407" s="15" t="s">
        <v>4314</v>
      </c>
      <c r="C407" s="42">
        <v>10.835000000000001</v>
      </c>
      <c r="D407" s="25">
        <v>1.7361111111111112E-2</v>
      </c>
      <c r="E407" s="43">
        <v>-12.077807999999999</v>
      </c>
      <c r="F407" s="43">
        <v>-77.011223000000001</v>
      </c>
      <c r="G407" s="43">
        <v>-12.090173</v>
      </c>
      <c r="H407" s="43">
        <v>-77.018933000000004</v>
      </c>
      <c r="I407" s="43">
        <v>-12.085043000000001</v>
      </c>
      <c r="J407" s="43">
        <v>-77.064421999999993</v>
      </c>
    </row>
    <row r="408" spans="1:10" x14ac:dyDescent="0.25">
      <c r="A408" s="15" t="s">
        <v>4303</v>
      </c>
      <c r="B408" s="15" t="s">
        <v>4315</v>
      </c>
      <c r="C408" s="40">
        <v>9.3789999999999996</v>
      </c>
      <c r="D408" s="29">
        <v>1.2500000000000001E-2</v>
      </c>
      <c r="E408" s="41">
        <v>-12.079706</v>
      </c>
      <c r="F408" s="41">
        <v>-77.009442000000007</v>
      </c>
      <c r="G408" s="41">
        <v>-12.087815000000001</v>
      </c>
      <c r="H408" s="41">
        <v>-77.001070999999996</v>
      </c>
      <c r="I408" s="41">
        <v>-12.090748</v>
      </c>
      <c r="J408" s="41">
        <v>-76.981072999999995</v>
      </c>
    </row>
    <row r="409" spans="1:10" x14ac:dyDescent="0.25">
      <c r="A409" s="15" t="s">
        <v>4303</v>
      </c>
      <c r="B409" s="15" t="s">
        <v>4316</v>
      </c>
      <c r="C409" s="42">
        <v>7.76</v>
      </c>
      <c r="D409" s="25">
        <v>1.1805555555555555E-2</v>
      </c>
      <c r="E409" s="43">
        <v>-12.077209999999999</v>
      </c>
      <c r="F409" s="43">
        <v>-77.010907000000003</v>
      </c>
      <c r="G409" s="43">
        <v>-12.088051999999999</v>
      </c>
      <c r="H409" s="43">
        <v>-77.016462000000004</v>
      </c>
      <c r="I409" s="43">
        <v>-12.092278</v>
      </c>
      <c r="J409" s="43">
        <v>-77.033850999999999</v>
      </c>
    </row>
    <row r="410" spans="1:10" x14ac:dyDescent="0.25">
      <c r="A410" s="15" t="s">
        <v>4303</v>
      </c>
      <c r="B410" s="15" t="s">
        <v>4317</v>
      </c>
      <c r="C410" s="40">
        <v>16.116</v>
      </c>
      <c r="D410" s="29">
        <v>1.7361111111111112E-2</v>
      </c>
      <c r="E410" s="41">
        <v>-12.081253</v>
      </c>
      <c r="F410" s="41">
        <v>-77.005616000000003</v>
      </c>
      <c r="G410" s="41">
        <v>-12.086</v>
      </c>
      <c r="H410" s="41">
        <v>-76.987904999999998</v>
      </c>
      <c r="I410" s="41">
        <v>-12.150119</v>
      </c>
      <c r="J410" s="41">
        <v>-76.983529000000004</v>
      </c>
    </row>
    <row r="411" spans="1:10" x14ac:dyDescent="0.25">
      <c r="A411" s="15" t="s">
        <v>4303</v>
      </c>
      <c r="B411" s="15" t="s">
        <v>4318</v>
      </c>
      <c r="C411" s="42">
        <v>3.7810000000000001</v>
      </c>
      <c r="D411" s="25">
        <v>7.6388888888888886E-3</v>
      </c>
      <c r="E411" s="43">
        <v>-12.077209999999999</v>
      </c>
      <c r="F411" s="43">
        <v>-77.010907000000003</v>
      </c>
      <c r="G411" s="43">
        <v>-12.078395</v>
      </c>
      <c r="H411" s="43">
        <v>-77.010478000000006</v>
      </c>
      <c r="I411" s="43">
        <v>-12.081789000000001</v>
      </c>
      <c r="J411" s="43">
        <v>-77.005088000000001</v>
      </c>
    </row>
    <row r="412" spans="1:10" x14ac:dyDescent="0.25">
      <c r="A412" s="15" t="s">
        <v>4303</v>
      </c>
      <c r="B412" s="15" t="s">
        <v>4319</v>
      </c>
      <c r="C412" s="40">
        <v>5.6609999999999996</v>
      </c>
      <c r="D412" s="29">
        <v>9.7222222222222224E-3</v>
      </c>
      <c r="E412" s="41">
        <v>-12.078039</v>
      </c>
      <c r="F412" s="41">
        <v>-77.010919999999999</v>
      </c>
      <c r="G412" s="41">
        <v>-12.081789000000001</v>
      </c>
      <c r="H412" s="41">
        <v>-77.005088000000001</v>
      </c>
      <c r="I412" s="41">
        <v>-12.087888</v>
      </c>
      <c r="J412" s="41">
        <v>-77.001266000000001</v>
      </c>
    </row>
    <row r="413" spans="1:10" x14ac:dyDescent="0.25">
      <c r="A413" s="15" t="s">
        <v>4303</v>
      </c>
      <c r="B413" s="15" t="s">
        <v>4279</v>
      </c>
      <c r="C413" s="42">
        <v>14.02</v>
      </c>
      <c r="D413" s="25">
        <v>1.7361111111111112E-2</v>
      </c>
      <c r="E413" s="43">
        <v>-12.044456</v>
      </c>
      <c r="F413" s="43">
        <v>-77.019295</v>
      </c>
      <c r="G413" s="43">
        <v>-12.039211</v>
      </c>
      <c r="H413" s="43">
        <v>-77.037908000000002</v>
      </c>
      <c r="I413" s="43">
        <v>-12.035662</v>
      </c>
      <c r="J413" s="43">
        <v>-77.077561000000003</v>
      </c>
    </row>
    <row r="414" spans="1:10" x14ac:dyDescent="0.25">
      <c r="A414" s="15" t="s">
        <v>4303</v>
      </c>
      <c r="B414" s="15" t="s">
        <v>4320</v>
      </c>
      <c r="C414" s="40">
        <v>6.984</v>
      </c>
      <c r="D414" s="29">
        <v>9.7222222222222224E-3</v>
      </c>
      <c r="E414" s="41">
        <v>-12.077209999999999</v>
      </c>
      <c r="F414" s="41">
        <v>-77.010907000000003</v>
      </c>
      <c r="G414" s="41">
        <v>-12.077178999999999</v>
      </c>
      <c r="H414" s="41">
        <v>-77.010195999999993</v>
      </c>
      <c r="I414" s="41">
        <v>-12.064317000000001</v>
      </c>
      <c r="J414" s="41">
        <v>-76.988410999999999</v>
      </c>
    </row>
    <row r="415" spans="1:10" x14ac:dyDescent="0.25">
      <c r="A415" s="15" t="s">
        <v>4303</v>
      </c>
      <c r="B415" s="15" t="s">
        <v>4321</v>
      </c>
      <c r="C415" s="42">
        <v>26.645</v>
      </c>
      <c r="D415" s="25">
        <v>2.9166666666666667E-2</v>
      </c>
      <c r="E415" s="43">
        <v>-12.042840999999999</v>
      </c>
      <c r="F415" s="43">
        <v>-77.019557000000006</v>
      </c>
      <c r="G415" s="43">
        <v>-12.038219</v>
      </c>
      <c r="H415" s="43">
        <v>-77.038023999999993</v>
      </c>
      <c r="I415" s="43">
        <v>-11.944969</v>
      </c>
      <c r="J415" s="43">
        <v>-77.070972999999995</v>
      </c>
    </row>
    <row r="416" spans="1:10" x14ac:dyDescent="0.25">
      <c r="A416" s="15" t="s">
        <v>4303</v>
      </c>
      <c r="B416" s="15" t="s">
        <v>4322</v>
      </c>
      <c r="C416" s="40">
        <v>17.434999999999999</v>
      </c>
      <c r="D416" s="29">
        <v>1.8749999999999999E-2</v>
      </c>
      <c r="E416" s="41">
        <v>-12.090020000000001</v>
      </c>
      <c r="F416" s="41">
        <v>-77.023193000000006</v>
      </c>
      <c r="G416" s="41">
        <v>-12.134126999999999</v>
      </c>
      <c r="H416" s="41">
        <v>-77.021338999999998</v>
      </c>
      <c r="I416" s="41">
        <v>-12.157667</v>
      </c>
      <c r="J416" s="41">
        <v>-77.025107000000006</v>
      </c>
    </row>
    <row r="417" spans="1:10" x14ac:dyDescent="0.25">
      <c r="A417" s="15" t="s">
        <v>4303</v>
      </c>
      <c r="B417" s="15" t="s">
        <v>4323</v>
      </c>
      <c r="C417" s="42">
        <v>17.945</v>
      </c>
      <c r="D417" s="25">
        <v>2.013888888888889E-2</v>
      </c>
      <c r="E417" s="43">
        <v>-12.090925</v>
      </c>
      <c r="F417" s="43">
        <v>-77.022936000000001</v>
      </c>
      <c r="G417" s="43">
        <v>-12.134446000000001</v>
      </c>
      <c r="H417" s="43">
        <v>-77.021733999999995</v>
      </c>
      <c r="I417" s="43">
        <v>-12.162065</v>
      </c>
      <c r="J417" s="43">
        <v>-77.025720000000007</v>
      </c>
    </row>
    <row r="418" spans="1:10" x14ac:dyDescent="0.25">
      <c r="A418" s="15" t="s">
        <v>4303</v>
      </c>
      <c r="B418" s="15" t="s">
        <v>4324</v>
      </c>
      <c r="C418" s="40">
        <v>7.2089999999999996</v>
      </c>
      <c r="D418" s="29">
        <v>1.4583333333333334E-2</v>
      </c>
      <c r="E418" s="41">
        <v>-12.073734</v>
      </c>
      <c r="F418" s="41">
        <v>-77.018263000000005</v>
      </c>
      <c r="G418" s="41">
        <v>-12.077546999999999</v>
      </c>
      <c r="H418" s="41">
        <v>-77.034357999999997</v>
      </c>
      <c r="I418" s="41">
        <v>-12.078642</v>
      </c>
      <c r="J418" s="41">
        <v>-77.056788999999995</v>
      </c>
    </row>
    <row r="419" spans="1:10" x14ac:dyDescent="0.25">
      <c r="A419" s="15" t="s">
        <v>4303</v>
      </c>
      <c r="B419" s="15" t="s">
        <v>4325</v>
      </c>
      <c r="C419" s="42">
        <v>16.356000000000002</v>
      </c>
      <c r="D419" s="25">
        <v>2.2222222222222223E-2</v>
      </c>
      <c r="E419" s="43">
        <v>-12.088307</v>
      </c>
      <c r="F419" s="43">
        <v>-77.003642999999997</v>
      </c>
      <c r="G419" s="43">
        <v>-12.124874999999999</v>
      </c>
      <c r="H419" s="43">
        <v>-76.977251999999993</v>
      </c>
      <c r="I419" s="43">
        <v>-12.143687</v>
      </c>
      <c r="J419" s="43">
        <v>-76.959457</v>
      </c>
    </row>
    <row r="420" spans="1:10" x14ac:dyDescent="0.25">
      <c r="A420" s="15" t="s">
        <v>4303</v>
      </c>
      <c r="B420" s="15" t="s">
        <v>4268</v>
      </c>
      <c r="C420" s="40">
        <v>6.06</v>
      </c>
      <c r="D420" s="29">
        <v>1.0416666666666666E-2</v>
      </c>
      <c r="E420" s="41">
        <v>-12.055434999999999</v>
      </c>
      <c r="F420" s="41">
        <v>-77.018174999999999</v>
      </c>
      <c r="G420" s="41">
        <v>-12.042714999999999</v>
      </c>
      <c r="H420" s="41">
        <v>-77.019615999999999</v>
      </c>
      <c r="I420" s="41">
        <v>-12.031910999999999</v>
      </c>
      <c r="J420" s="41">
        <v>-77.004946000000004</v>
      </c>
    </row>
    <row r="421" spans="1:10" x14ac:dyDescent="0.25">
      <c r="A421" s="15" t="s">
        <v>4304</v>
      </c>
      <c r="B421" s="15" t="s">
        <v>4267</v>
      </c>
      <c r="C421" s="42">
        <v>5.5110000000000001</v>
      </c>
      <c r="D421" s="25">
        <v>1.1805555555555555E-2</v>
      </c>
      <c r="E421" s="43">
        <v>-12.072578999999999</v>
      </c>
      <c r="F421" s="43">
        <v>-77.014014000000003</v>
      </c>
      <c r="G421" s="43">
        <v>-12.058211</v>
      </c>
      <c r="H421" s="43">
        <v>-77.024315000000001</v>
      </c>
      <c r="I421" s="43">
        <v>-12.050079999999999</v>
      </c>
      <c r="J421" s="43">
        <v>-77.031356000000002</v>
      </c>
    </row>
    <row r="422" spans="1:10" x14ac:dyDescent="0.25">
      <c r="A422" s="15" t="s">
        <v>4304</v>
      </c>
      <c r="B422" s="15" t="s">
        <v>4280</v>
      </c>
      <c r="C422" s="40">
        <v>15.773</v>
      </c>
      <c r="D422" s="29">
        <v>1.6666666666666666E-2</v>
      </c>
      <c r="E422" s="41">
        <v>-12.100593</v>
      </c>
      <c r="F422" s="41">
        <v>-77.026944999999998</v>
      </c>
      <c r="G422" s="41">
        <v>-12.135997</v>
      </c>
      <c r="H422" s="41">
        <v>-77.025216</v>
      </c>
      <c r="I422" s="41">
        <v>-12.162088000000001</v>
      </c>
      <c r="J422" s="41">
        <v>-77.025544999999994</v>
      </c>
    </row>
    <row r="423" spans="1:10" x14ac:dyDescent="0.25">
      <c r="A423" s="15" t="s">
        <v>4304</v>
      </c>
      <c r="B423" s="15" t="s">
        <v>4281</v>
      </c>
      <c r="C423" s="42">
        <v>10.602</v>
      </c>
      <c r="D423" s="25">
        <v>1.3888888888888888E-2</v>
      </c>
      <c r="E423" s="43">
        <v>-12.082642999999999</v>
      </c>
      <c r="F423" s="43">
        <v>-77.004598999999999</v>
      </c>
      <c r="G423" s="43">
        <v>-12.086672</v>
      </c>
      <c r="H423" s="43">
        <v>-76.992756999999997</v>
      </c>
      <c r="I423" s="43">
        <v>-12.074628000000001</v>
      </c>
      <c r="J423" s="43">
        <v>-76.96266</v>
      </c>
    </row>
    <row r="424" spans="1:10" x14ac:dyDescent="0.25">
      <c r="A424" s="15" t="s">
        <v>4304</v>
      </c>
      <c r="B424" s="15" t="s">
        <v>4296</v>
      </c>
      <c r="C424" s="40">
        <v>4.9729999999999999</v>
      </c>
      <c r="D424" s="29">
        <v>1.0416666666666666E-2</v>
      </c>
      <c r="E424" s="41">
        <v>-12.076866000000001</v>
      </c>
      <c r="F424" s="41">
        <v>-77.029426999999998</v>
      </c>
      <c r="G424" s="41">
        <v>-12.074377999999999</v>
      </c>
      <c r="H424" s="41">
        <v>-77.034827000000007</v>
      </c>
      <c r="I424" s="41">
        <v>-12.074831</v>
      </c>
      <c r="J424" s="41">
        <v>-77.042978000000005</v>
      </c>
    </row>
    <row r="425" spans="1:10" x14ac:dyDescent="0.25">
      <c r="A425" s="15" t="s">
        <v>4304</v>
      </c>
      <c r="B425" s="15" t="s">
        <v>4297</v>
      </c>
      <c r="C425" s="42">
        <v>1.2809999999999999</v>
      </c>
      <c r="D425" s="25">
        <v>2.7777777777777779E-3</v>
      </c>
      <c r="E425" s="43">
        <v>-12.071183</v>
      </c>
      <c r="F425" s="43">
        <v>-77.011724000000001</v>
      </c>
      <c r="G425" s="43">
        <v>-12.070631000000001</v>
      </c>
      <c r="H425" s="43">
        <v>-77.013137999999998</v>
      </c>
      <c r="I425" s="43">
        <v>-12.069198</v>
      </c>
      <c r="J425" s="43">
        <v>-77.012106000000003</v>
      </c>
    </row>
    <row r="426" spans="1:10" x14ac:dyDescent="0.25">
      <c r="A426" s="15" t="s">
        <v>4304</v>
      </c>
      <c r="B426" s="15" t="s">
        <v>4298</v>
      </c>
      <c r="C426" s="40">
        <v>7.91</v>
      </c>
      <c r="D426" s="29">
        <v>9.7222222222222224E-3</v>
      </c>
      <c r="E426" s="41">
        <v>-12.076632999999999</v>
      </c>
      <c r="F426" s="41">
        <v>-77.029916</v>
      </c>
      <c r="G426" s="41">
        <v>-12.091074000000001</v>
      </c>
      <c r="H426" s="41">
        <v>-77.022919000000002</v>
      </c>
      <c r="I426" s="41">
        <v>-12.109499</v>
      </c>
      <c r="J426" s="41">
        <v>-77.026428999999993</v>
      </c>
    </row>
    <row r="427" spans="1:10" x14ac:dyDescent="0.25">
      <c r="A427" s="15" t="s">
        <v>4304</v>
      </c>
      <c r="B427" s="15" t="s">
        <v>4299</v>
      </c>
      <c r="C427" s="42">
        <v>8.0649999999999995</v>
      </c>
      <c r="D427" s="25">
        <v>1.0416666666666666E-2</v>
      </c>
      <c r="E427" s="43">
        <v>-12.076383999999999</v>
      </c>
      <c r="F427" s="43">
        <v>-77.029882000000001</v>
      </c>
      <c r="G427" s="43">
        <v>-12.092161000000001</v>
      </c>
      <c r="H427" s="43">
        <v>-77.023083</v>
      </c>
      <c r="I427" s="43">
        <v>-12.111587999999999</v>
      </c>
      <c r="J427" s="43">
        <v>-77.026289000000006</v>
      </c>
    </row>
    <row r="428" spans="1:10" x14ac:dyDescent="0.25">
      <c r="A428" s="15" t="s">
        <v>4304</v>
      </c>
      <c r="B428" s="15" t="s">
        <v>4300</v>
      </c>
      <c r="C428" s="40">
        <v>7.47</v>
      </c>
      <c r="D428" s="29">
        <v>1.0416666666666666E-2</v>
      </c>
      <c r="E428" s="41">
        <v>-12.080859</v>
      </c>
      <c r="F428" s="41">
        <v>-77.006247000000002</v>
      </c>
      <c r="G428" s="41">
        <v>-12.087815000000001</v>
      </c>
      <c r="H428" s="41">
        <v>-77.001070999999996</v>
      </c>
      <c r="I428" s="41">
        <v>-12.088449000000001</v>
      </c>
      <c r="J428" s="41">
        <v>-76.981604000000004</v>
      </c>
    </row>
    <row r="429" spans="1:10" x14ac:dyDescent="0.25">
      <c r="A429" s="15" t="s">
        <v>4304</v>
      </c>
      <c r="B429" s="15" t="s">
        <v>4301</v>
      </c>
      <c r="C429" s="42">
        <v>21.826000000000001</v>
      </c>
      <c r="D429" s="25">
        <v>2.2222222222222223E-2</v>
      </c>
      <c r="E429" s="43">
        <v>-12.045296</v>
      </c>
      <c r="F429" s="43">
        <v>-77.019583999999995</v>
      </c>
      <c r="G429" s="43">
        <v>-12.043182</v>
      </c>
      <c r="H429" s="43">
        <v>-77.023822999999993</v>
      </c>
      <c r="I429" s="43">
        <v>-12.031428999999999</v>
      </c>
      <c r="J429" s="43">
        <v>-77.055999</v>
      </c>
    </row>
    <row r="430" spans="1:10" x14ac:dyDescent="0.25">
      <c r="A430" s="15" t="s">
        <v>4304</v>
      </c>
      <c r="B430" s="15" t="s">
        <v>4302</v>
      </c>
      <c r="C430" s="40">
        <v>3.5139999999999998</v>
      </c>
      <c r="D430" s="29">
        <v>6.9444444444444441E-3</v>
      </c>
      <c r="E430" s="41">
        <v>-12.077907</v>
      </c>
      <c r="F430" s="41">
        <v>-77.010986000000003</v>
      </c>
      <c r="G430" s="41">
        <v>-12.078395</v>
      </c>
      <c r="H430" s="41">
        <v>-77.010478000000006</v>
      </c>
      <c r="I430" s="41">
        <v>-12.080859</v>
      </c>
      <c r="J430" s="41">
        <v>-77.006247000000002</v>
      </c>
    </row>
    <row r="431" spans="1:10" x14ac:dyDescent="0.25">
      <c r="A431" s="15" t="s">
        <v>4304</v>
      </c>
      <c r="B431" s="15" t="s">
        <v>4303</v>
      </c>
      <c r="C431" s="42">
        <v>0.92100000000000004</v>
      </c>
      <c r="D431" s="25">
        <v>2.0833333333333333E-3</v>
      </c>
      <c r="E431" s="43">
        <v>-12.070225000000001</v>
      </c>
      <c r="F431" s="43">
        <v>-77.011854</v>
      </c>
      <c r="G431" s="43">
        <v>-12.070857</v>
      </c>
      <c r="H431" s="43">
        <v>-77.011768000000004</v>
      </c>
      <c r="I431" s="43">
        <v>-12.071183</v>
      </c>
      <c r="J431" s="43">
        <v>-77.011724000000001</v>
      </c>
    </row>
    <row r="432" spans="1:10" x14ac:dyDescent="0.25">
      <c r="A432" s="15" t="s">
        <v>4304</v>
      </c>
      <c r="B432" s="15" t="s">
        <v>4304</v>
      </c>
      <c r="C432" s="40">
        <v>0</v>
      </c>
      <c r="D432" s="29">
        <v>0</v>
      </c>
      <c r="E432" s="41">
        <f>'1 ubicaciones'!D13</f>
        <v>-12.092487800000001</v>
      </c>
      <c r="F432" s="41">
        <f>'1 ubicaciones'!E13</f>
        <v>-77.031754800000002</v>
      </c>
      <c r="G432" s="41">
        <f>'1 ubicaciones'!D13</f>
        <v>-12.092487800000001</v>
      </c>
      <c r="H432" s="41">
        <f>'1 ubicaciones'!E13</f>
        <v>-77.031754800000002</v>
      </c>
      <c r="I432" s="41">
        <f>'1 ubicaciones'!D13</f>
        <v>-12.092487800000001</v>
      </c>
      <c r="J432" s="41">
        <f>'1 ubicaciones'!E13</f>
        <v>-77.031754800000002</v>
      </c>
    </row>
    <row r="433" spans="1:10" x14ac:dyDescent="0.25">
      <c r="A433" s="15" t="s">
        <v>4304</v>
      </c>
      <c r="B433" s="15" t="s">
        <v>4269</v>
      </c>
      <c r="C433" s="42">
        <v>20.059000000000001</v>
      </c>
      <c r="D433" s="25">
        <v>1.7361111111111112E-2</v>
      </c>
      <c r="E433" s="43">
        <v>-12.119611000000001</v>
      </c>
      <c r="F433" s="43">
        <v>-77.025917000000007</v>
      </c>
      <c r="G433" s="43">
        <v>-12.130725999999999</v>
      </c>
      <c r="H433" s="43">
        <v>-77.034313999999995</v>
      </c>
      <c r="I433" s="43">
        <v>-12.104105000000001</v>
      </c>
      <c r="J433" s="43">
        <v>-77.063557000000003</v>
      </c>
    </row>
    <row r="434" spans="1:10" x14ac:dyDescent="0.25">
      <c r="A434" s="15" t="s">
        <v>4304</v>
      </c>
      <c r="B434" s="15" t="s">
        <v>4305</v>
      </c>
      <c r="C434" s="40">
        <v>7.8869999999999996</v>
      </c>
      <c r="D434" s="29">
        <v>1.2500000000000001E-2</v>
      </c>
      <c r="E434" s="41">
        <v>-12.078832999999999</v>
      </c>
      <c r="F434" s="41">
        <v>-77.028351000000001</v>
      </c>
      <c r="G434" s="41">
        <v>-12.059331999999999</v>
      </c>
      <c r="H434" s="41">
        <v>-77.035520000000005</v>
      </c>
      <c r="I434" s="41">
        <v>-12.060855</v>
      </c>
      <c r="J434" s="41">
        <v>-77.044832999999997</v>
      </c>
    </row>
    <row r="435" spans="1:10" x14ac:dyDescent="0.25">
      <c r="A435" s="15" t="s">
        <v>4304</v>
      </c>
      <c r="B435" s="15" t="s">
        <v>4306</v>
      </c>
      <c r="C435" s="42">
        <v>10.128</v>
      </c>
      <c r="D435" s="25">
        <v>1.1111111111111112E-2</v>
      </c>
      <c r="E435" s="43">
        <v>-12.080859</v>
      </c>
      <c r="F435" s="43">
        <v>-77.006247000000002</v>
      </c>
      <c r="G435" s="43">
        <v>-12.087815000000001</v>
      </c>
      <c r="H435" s="43">
        <v>-77.001070999999996</v>
      </c>
      <c r="I435" s="43">
        <v>-12.088449000000001</v>
      </c>
      <c r="J435" s="43">
        <v>-76.981604000000004</v>
      </c>
    </row>
    <row r="436" spans="1:10" x14ac:dyDescent="0.25">
      <c r="A436" s="15" t="s">
        <v>4304</v>
      </c>
      <c r="B436" s="15" t="s">
        <v>4277</v>
      </c>
      <c r="C436" s="40">
        <v>5.31</v>
      </c>
      <c r="D436" s="29">
        <v>7.6388888888888886E-3</v>
      </c>
      <c r="E436" s="41">
        <v>-12.077807999999999</v>
      </c>
      <c r="F436" s="41">
        <v>-77.011223000000001</v>
      </c>
      <c r="G436" s="41">
        <v>-12.088051999999999</v>
      </c>
      <c r="H436" s="41">
        <v>-77.016462000000004</v>
      </c>
      <c r="I436" s="41">
        <v>-12.090173</v>
      </c>
      <c r="J436" s="41">
        <v>-77.018933000000004</v>
      </c>
    </row>
    <row r="437" spans="1:10" x14ac:dyDescent="0.25">
      <c r="A437" s="15" t="s">
        <v>4304</v>
      </c>
      <c r="B437" s="15" t="s">
        <v>4307</v>
      </c>
      <c r="C437" s="42">
        <v>8.1</v>
      </c>
      <c r="D437" s="25">
        <v>1.2500000000000001E-2</v>
      </c>
      <c r="E437" s="43">
        <v>-12.076978</v>
      </c>
      <c r="F437" s="43">
        <v>-77.010082999999995</v>
      </c>
      <c r="G437" s="43">
        <v>-12.060852000000001</v>
      </c>
      <c r="H437" s="43">
        <v>-76.978527</v>
      </c>
      <c r="I437" s="43">
        <v>-12.050981999999999</v>
      </c>
      <c r="J437" s="43">
        <v>-76.969729999999998</v>
      </c>
    </row>
    <row r="438" spans="1:10" x14ac:dyDescent="0.25">
      <c r="A438" s="15" t="s">
        <v>4304</v>
      </c>
      <c r="B438" s="15" t="s">
        <v>4308</v>
      </c>
      <c r="C438" s="40">
        <v>11.273</v>
      </c>
      <c r="D438" s="29">
        <v>1.8055555555555554E-2</v>
      </c>
      <c r="E438" s="41">
        <v>-12.088051999999999</v>
      </c>
      <c r="F438" s="41">
        <v>-77.016462000000004</v>
      </c>
      <c r="G438" s="41">
        <v>-12.094547</v>
      </c>
      <c r="H438" s="41">
        <v>-77.050759999999997</v>
      </c>
      <c r="I438" s="41">
        <v>-12.083748999999999</v>
      </c>
      <c r="J438" s="41">
        <v>-77.065212000000002</v>
      </c>
    </row>
    <row r="439" spans="1:10" x14ac:dyDescent="0.25">
      <c r="A439" s="15" t="s">
        <v>4304</v>
      </c>
      <c r="B439" s="15" t="s">
        <v>4309</v>
      </c>
      <c r="C439" s="42">
        <v>1.7010000000000001</v>
      </c>
      <c r="D439" s="25">
        <v>2.7777777777777779E-3</v>
      </c>
      <c r="E439" s="43">
        <v>-12.070225000000001</v>
      </c>
      <c r="F439" s="43">
        <v>-77.011854</v>
      </c>
      <c r="G439" s="43">
        <v>-12.071923999999999</v>
      </c>
      <c r="H439" s="43">
        <v>-77.011618999999996</v>
      </c>
      <c r="I439" s="43">
        <v>-12.071991000000001</v>
      </c>
      <c r="J439" s="43">
        <v>-77.011763999999999</v>
      </c>
    </row>
    <row r="440" spans="1:10" x14ac:dyDescent="0.25">
      <c r="A440" s="15" t="s">
        <v>4304</v>
      </c>
      <c r="B440" s="15" t="s">
        <v>4278</v>
      </c>
      <c r="C440" s="40">
        <v>13.375</v>
      </c>
      <c r="D440" s="29">
        <v>1.5972222222222221E-2</v>
      </c>
      <c r="E440" s="41">
        <v>-12.044456</v>
      </c>
      <c r="F440" s="41">
        <v>-77.019295</v>
      </c>
      <c r="G440" s="41">
        <v>-12.043042</v>
      </c>
      <c r="H440" s="41">
        <v>-77.028893999999994</v>
      </c>
      <c r="I440" s="41">
        <v>-12.028237000000001</v>
      </c>
      <c r="J440" s="41">
        <v>-77.057979000000003</v>
      </c>
    </row>
    <row r="441" spans="1:10" x14ac:dyDescent="0.25">
      <c r="A441" s="15" t="s">
        <v>4304</v>
      </c>
      <c r="B441" s="15" t="s">
        <v>4310</v>
      </c>
      <c r="C441" s="42">
        <v>7.6719999999999997</v>
      </c>
      <c r="D441" s="25">
        <v>1.2500000000000001E-2</v>
      </c>
      <c r="E441" s="43">
        <v>-12.054611</v>
      </c>
      <c r="F441" s="43">
        <v>-77.018609999999995</v>
      </c>
      <c r="G441" s="43">
        <v>-12.042623000000001</v>
      </c>
      <c r="H441" s="43">
        <v>-77.019419999999997</v>
      </c>
      <c r="I441" s="43">
        <v>-12.031307999999999</v>
      </c>
      <c r="J441" s="43">
        <v>-77.003049000000004</v>
      </c>
    </row>
    <row r="442" spans="1:10" x14ac:dyDescent="0.25">
      <c r="A442" s="15" t="s">
        <v>4304</v>
      </c>
      <c r="B442" s="15" t="s">
        <v>4311</v>
      </c>
      <c r="C442" s="40">
        <v>4.101</v>
      </c>
      <c r="D442" s="29">
        <v>7.6388888888888886E-3</v>
      </c>
      <c r="E442" s="41">
        <v>-12.074436</v>
      </c>
      <c r="F442" s="41">
        <v>-77.022589999999994</v>
      </c>
      <c r="G442" s="41">
        <v>-12.076969</v>
      </c>
      <c r="H442" s="41">
        <v>-77.030199999999994</v>
      </c>
      <c r="I442" s="41">
        <v>-12.071265</v>
      </c>
      <c r="J442" s="41">
        <v>-77.035354999999996</v>
      </c>
    </row>
    <row r="443" spans="1:10" x14ac:dyDescent="0.25">
      <c r="A443" s="15" t="s">
        <v>4304</v>
      </c>
      <c r="B443" s="15" t="s">
        <v>4312</v>
      </c>
      <c r="C443" s="42">
        <v>1.454</v>
      </c>
      <c r="D443" s="25">
        <v>2.7777777777777779E-3</v>
      </c>
      <c r="E443" s="43">
        <v>-12.071923999999999</v>
      </c>
      <c r="F443" s="43">
        <v>-77.011618999999996</v>
      </c>
      <c r="G443" s="43">
        <v>-12.072494000000001</v>
      </c>
      <c r="H443" s="43">
        <v>-77.013692000000006</v>
      </c>
      <c r="I443" s="43">
        <v>-12.072578999999999</v>
      </c>
      <c r="J443" s="43">
        <v>-77.014014000000003</v>
      </c>
    </row>
    <row r="444" spans="1:10" x14ac:dyDescent="0.25">
      <c r="A444" s="15" t="s">
        <v>4304</v>
      </c>
      <c r="B444" s="15" t="s">
        <v>4313</v>
      </c>
      <c r="C444" s="40">
        <v>4.7530000000000001</v>
      </c>
      <c r="D444" s="29">
        <v>9.7222222222222224E-3</v>
      </c>
      <c r="E444" s="41">
        <v>-12.076866000000001</v>
      </c>
      <c r="F444" s="41">
        <v>-77.029426999999998</v>
      </c>
      <c r="G444" s="41">
        <v>-12.074377999999999</v>
      </c>
      <c r="H444" s="41">
        <v>-77.034827000000007</v>
      </c>
      <c r="I444" s="41">
        <v>-12.074831</v>
      </c>
      <c r="J444" s="41">
        <v>-77.042978000000005</v>
      </c>
    </row>
    <row r="445" spans="1:10" x14ac:dyDescent="0.25">
      <c r="A445" s="15" t="s">
        <v>4304</v>
      </c>
      <c r="B445" s="15" t="s">
        <v>4314</v>
      </c>
      <c r="C445" s="42">
        <v>10.132999999999999</v>
      </c>
      <c r="D445" s="25">
        <v>1.5972222222222221E-2</v>
      </c>
      <c r="E445" s="43">
        <v>-12.087555999999999</v>
      </c>
      <c r="F445" s="43">
        <v>-77.016170000000002</v>
      </c>
      <c r="G445" s="43">
        <v>-12.092278</v>
      </c>
      <c r="H445" s="43">
        <v>-77.033850999999999</v>
      </c>
      <c r="I445" s="43">
        <v>-12.084512</v>
      </c>
      <c r="J445" s="43">
        <v>-77.064483999999993</v>
      </c>
    </row>
    <row r="446" spans="1:10" x14ac:dyDescent="0.25">
      <c r="A446" s="15" t="s">
        <v>4304</v>
      </c>
      <c r="B446" s="15" t="s">
        <v>4315</v>
      </c>
      <c r="C446" s="40">
        <v>8.6769999999999996</v>
      </c>
      <c r="D446" s="29">
        <v>1.1111111111111112E-2</v>
      </c>
      <c r="E446" s="41">
        <v>-12.081253</v>
      </c>
      <c r="F446" s="41">
        <v>-77.005616000000003</v>
      </c>
      <c r="G446" s="41">
        <v>-12.087429999999999</v>
      </c>
      <c r="H446" s="41">
        <v>-76.998507000000004</v>
      </c>
      <c r="I446" s="41">
        <v>-12.102033</v>
      </c>
      <c r="J446" s="41">
        <v>-76.979474999999994</v>
      </c>
    </row>
    <row r="447" spans="1:10" x14ac:dyDescent="0.25">
      <c r="A447" s="15" t="s">
        <v>4304</v>
      </c>
      <c r="B447" s="15" t="s">
        <v>4316</v>
      </c>
      <c r="C447" s="42">
        <v>7.0579999999999998</v>
      </c>
      <c r="D447" s="25">
        <v>1.1111111111111112E-2</v>
      </c>
      <c r="E447" s="43">
        <v>-12.079288</v>
      </c>
      <c r="F447" s="43">
        <v>-77.012179000000003</v>
      </c>
      <c r="G447" s="43">
        <v>-12.089988999999999</v>
      </c>
      <c r="H447" s="43">
        <v>-77.018383</v>
      </c>
      <c r="I447" s="43">
        <v>-12.095108</v>
      </c>
      <c r="J447" s="43">
        <v>-77.054213000000004</v>
      </c>
    </row>
    <row r="448" spans="1:10" x14ac:dyDescent="0.25">
      <c r="A448" s="15" t="s">
        <v>4304</v>
      </c>
      <c r="B448" s="15" t="s">
        <v>4317</v>
      </c>
      <c r="C448" s="40">
        <v>15.414</v>
      </c>
      <c r="D448" s="29">
        <v>1.6666666666666666E-2</v>
      </c>
      <c r="E448" s="41">
        <v>-12.083446</v>
      </c>
      <c r="F448" s="41">
        <v>-77.004374999999996</v>
      </c>
      <c r="G448" s="41">
        <v>-12.085888000000001</v>
      </c>
      <c r="H448" s="41">
        <v>-76.985515000000007</v>
      </c>
      <c r="I448" s="41">
        <v>-12.150183999999999</v>
      </c>
      <c r="J448" s="41">
        <v>-76.983569000000003</v>
      </c>
    </row>
    <row r="449" spans="1:10" x14ac:dyDescent="0.25">
      <c r="A449" s="15" t="s">
        <v>4304</v>
      </c>
      <c r="B449" s="15" t="s">
        <v>4318</v>
      </c>
      <c r="C449" s="42">
        <v>3.0790000000000002</v>
      </c>
      <c r="D449" s="25">
        <v>6.2500000000000003E-3</v>
      </c>
      <c r="E449" s="43">
        <v>-12.078039</v>
      </c>
      <c r="F449" s="43">
        <v>-77.010919999999999</v>
      </c>
      <c r="G449" s="43">
        <v>-12.079706</v>
      </c>
      <c r="H449" s="43">
        <v>-77.009442000000007</v>
      </c>
      <c r="I449" s="43">
        <v>-12.082642999999999</v>
      </c>
      <c r="J449" s="43">
        <v>-77.004598999999999</v>
      </c>
    </row>
    <row r="450" spans="1:10" x14ac:dyDescent="0.25">
      <c r="A450" s="15" t="s">
        <v>4304</v>
      </c>
      <c r="B450" s="15" t="s">
        <v>4319</v>
      </c>
      <c r="C450" s="40">
        <v>4.9589999999999996</v>
      </c>
      <c r="D450" s="29">
        <v>9.0277777777777769E-3</v>
      </c>
      <c r="E450" s="41">
        <v>-12.078395</v>
      </c>
      <c r="F450" s="41">
        <v>-77.010478000000006</v>
      </c>
      <c r="G450" s="41">
        <v>-12.083446</v>
      </c>
      <c r="H450" s="41">
        <v>-77.004374999999996</v>
      </c>
      <c r="I450" s="41">
        <v>-12.087815000000001</v>
      </c>
      <c r="J450" s="41">
        <v>-77.001070999999996</v>
      </c>
    </row>
    <row r="451" spans="1:10" x14ac:dyDescent="0.25">
      <c r="A451" s="15" t="s">
        <v>4304</v>
      </c>
      <c r="B451" s="15" t="s">
        <v>4279</v>
      </c>
      <c r="C451" s="42">
        <v>15.093</v>
      </c>
      <c r="D451" s="25">
        <v>1.8749999999999999E-2</v>
      </c>
      <c r="E451" s="43">
        <v>-12.043741000000001</v>
      </c>
      <c r="F451" s="43">
        <v>-77.019284999999996</v>
      </c>
      <c r="G451" s="43">
        <v>-12.038741</v>
      </c>
      <c r="H451" s="43">
        <v>-77.039518999999999</v>
      </c>
      <c r="I451" s="43">
        <v>-12.035679999999999</v>
      </c>
      <c r="J451" s="43">
        <v>-77.077590999999998</v>
      </c>
    </row>
    <row r="452" spans="1:10" x14ac:dyDescent="0.25">
      <c r="A452" s="15" t="s">
        <v>4304</v>
      </c>
      <c r="B452" s="15" t="s">
        <v>4320</v>
      </c>
      <c r="C452" s="40">
        <v>6.282</v>
      </c>
      <c r="D452" s="29">
        <v>9.0277777777777769E-3</v>
      </c>
      <c r="E452" s="41">
        <v>-12.078094</v>
      </c>
      <c r="F452" s="41">
        <v>-77.010822000000005</v>
      </c>
      <c r="G452" s="41">
        <v>-12.075881000000001</v>
      </c>
      <c r="H452" s="41">
        <v>-77.009200000000007</v>
      </c>
      <c r="I452" s="41">
        <v>-12.064223</v>
      </c>
      <c r="J452" s="41">
        <v>-76.987818000000004</v>
      </c>
    </row>
    <row r="453" spans="1:10" x14ac:dyDescent="0.25">
      <c r="A453" s="15" t="s">
        <v>4304</v>
      </c>
      <c r="B453" s="15" t="s">
        <v>4321</v>
      </c>
      <c r="C453" s="42">
        <v>27.718</v>
      </c>
      <c r="D453" s="25">
        <v>2.9861111111111113E-2</v>
      </c>
      <c r="E453" s="43">
        <v>-12.041791999999999</v>
      </c>
      <c r="F453" s="43">
        <v>-77.020060999999998</v>
      </c>
      <c r="G453" s="43">
        <v>-12.038017999999999</v>
      </c>
      <c r="H453" s="43">
        <v>-77.038489999999996</v>
      </c>
      <c r="I453" s="43">
        <v>-11.914884000000001</v>
      </c>
      <c r="J453" s="43">
        <v>-77.073864</v>
      </c>
    </row>
    <row r="454" spans="1:10" x14ac:dyDescent="0.25">
      <c r="A454" s="15" t="s">
        <v>4304</v>
      </c>
      <c r="B454" s="15" t="s">
        <v>4322</v>
      </c>
      <c r="C454" s="40">
        <v>16.733000000000001</v>
      </c>
      <c r="D454" s="29">
        <v>1.8055555555555554E-2</v>
      </c>
      <c r="E454" s="41">
        <v>-12.092161000000001</v>
      </c>
      <c r="F454" s="41">
        <v>-77.023083</v>
      </c>
      <c r="G454" s="41">
        <v>-12.134446000000001</v>
      </c>
      <c r="H454" s="41">
        <v>-77.021733999999995</v>
      </c>
      <c r="I454" s="41">
        <v>-12.161678</v>
      </c>
      <c r="J454" s="41">
        <v>-77.025835999999998</v>
      </c>
    </row>
    <row r="455" spans="1:10" x14ac:dyDescent="0.25">
      <c r="A455" s="15" t="s">
        <v>4304</v>
      </c>
      <c r="B455" s="15" t="s">
        <v>4323</v>
      </c>
      <c r="C455" s="42">
        <v>17.242999999999999</v>
      </c>
      <c r="D455" s="25">
        <v>1.8749999999999999E-2</v>
      </c>
      <c r="E455" s="43">
        <v>-12.100593</v>
      </c>
      <c r="F455" s="43">
        <v>-77.026944999999998</v>
      </c>
      <c r="G455" s="43">
        <v>-12.135997</v>
      </c>
      <c r="H455" s="43">
        <v>-77.025216</v>
      </c>
      <c r="I455" s="43">
        <v>-12.162088000000001</v>
      </c>
      <c r="J455" s="43">
        <v>-77.025544999999994</v>
      </c>
    </row>
    <row r="456" spans="1:10" x14ac:dyDescent="0.25">
      <c r="A456" s="15" t="s">
        <v>4304</v>
      </c>
      <c r="B456" s="15" t="s">
        <v>4324</v>
      </c>
      <c r="C456" s="40">
        <v>6.5069999999999997</v>
      </c>
      <c r="D456" s="29">
        <v>1.3194444444444444E-2</v>
      </c>
      <c r="E456" s="41">
        <v>-12.076866000000001</v>
      </c>
      <c r="F456" s="41">
        <v>-77.029426999999998</v>
      </c>
      <c r="G456" s="41">
        <v>-12.075405999999999</v>
      </c>
      <c r="H456" s="41">
        <v>-77.034678999999997</v>
      </c>
      <c r="I456" s="41">
        <v>-12.080541</v>
      </c>
      <c r="J456" s="41">
        <v>-77.058355000000006</v>
      </c>
    </row>
    <row r="457" spans="1:10" x14ac:dyDescent="0.25">
      <c r="A457" s="15" t="s">
        <v>4304</v>
      </c>
      <c r="B457" s="15" t="s">
        <v>4325</v>
      </c>
      <c r="C457" s="42">
        <v>15.654</v>
      </c>
      <c r="D457" s="25">
        <v>2.0833333333333332E-2</v>
      </c>
      <c r="E457" s="43">
        <v>-12.087927000000001</v>
      </c>
      <c r="F457" s="43">
        <v>-77.001481999999996</v>
      </c>
      <c r="G457" s="43">
        <v>-12.126777000000001</v>
      </c>
      <c r="H457" s="43">
        <v>-76.977121999999994</v>
      </c>
      <c r="I457" s="43">
        <v>-12.143283</v>
      </c>
      <c r="J457" s="43">
        <v>-76.959165999999996</v>
      </c>
    </row>
    <row r="458" spans="1:10" x14ac:dyDescent="0.25">
      <c r="A458" s="15" t="s">
        <v>4304</v>
      </c>
      <c r="B458" s="15" t="s">
        <v>4268</v>
      </c>
      <c r="C458" s="40">
        <v>7.133</v>
      </c>
      <c r="D458" s="29">
        <v>1.1805555555555555E-2</v>
      </c>
      <c r="E458" s="41">
        <v>-12.054611</v>
      </c>
      <c r="F458" s="41">
        <v>-77.018609999999995</v>
      </c>
      <c r="G458" s="41">
        <v>-12.042623000000001</v>
      </c>
      <c r="H458" s="41">
        <v>-77.019419999999997</v>
      </c>
      <c r="I458" s="41">
        <v>-12.031307999999999</v>
      </c>
      <c r="J458" s="41">
        <v>-77.003049000000004</v>
      </c>
    </row>
    <row r="459" spans="1:10" x14ac:dyDescent="0.25">
      <c r="A459" s="15" t="s">
        <v>4269</v>
      </c>
      <c r="B459" s="15" t="s">
        <v>4267</v>
      </c>
      <c r="C459" s="42">
        <v>10.393000000000001</v>
      </c>
      <c r="D459" s="25">
        <v>2.1527777777777778E-2</v>
      </c>
      <c r="E459" s="43">
        <v>-12.079898</v>
      </c>
      <c r="F459" s="43">
        <v>-77.081840999999997</v>
      </c>
      <c r="G459" s="43">
        <v>-12.065899</v>
      </c>
      <c r="H459" s="43">
        <v>-77.077866</v>
      </c>
      <c r="I459" s="43">
        <v>-12.049956</v>
      </c>
      <c r="J459" s="43">
        <v>-77.076363999999998</v>
      </c>
    </row>
    <row r="460" spans="1:10" x14ac:dyDescent="0.25">
      <c r="A460" s="15" t="s">
        <v>4269</v>
      </c>
      <c r="B460" s="15" t="s">
        <v>4280</v>
      </c>
      <c r="C460" s="40">
        <v>14.138999999999999</v>
      </c>
      <c r="D460" s="29">
        <v>1.5972222222222221E-2</v>
      </c>
      <c r="E460" s="41">
        <v>-12.106005</v>
      </c>
      <c r="F460" s="41">
        <v>-77.061161999999996</v>
      </c>
      <c r="G460" s="41">
        <v>-12.130181</v>
      </c>
      <c r="H460" s="41">
        <v>-77.035334000000006</v>
      </c>
      <c r="I460" s="41">
        <v>-12.161678</v>
      </c>
      <c r="J460" s="41">
        <v>-77.025835999999998</v>
      </c>
    </row>
    <row r="461" spans="1:10" x14ac:dyDescent="0.25">
      <c r="A461" s="15" t="s">
        <v>4269</v>
      </c>
      <c r="B461" s="15" t="s">
        <v>4281</v>
      </c>
      <c r="C461" s="42">
        <v>17.338000000000001</v>
      </c>
      <c r="D461" s="25">
        <v>2.361111111111111E-2</v>
      </c>
      <c r="E461" s="43">
        <v>-12.089859000000001</v>
      </c>
      <c r="F461" s="43">
        <v>-77.066034999999999</v>
      </c>
      <c r="G461" s="43">
        <v>-12.086</v>
      </c>
      <c r="H461" s="43">
        <v>-76.987904999999998</v>
      </c>
      <c r="I461" s="43">
        <v>-12.073943</v>
      </c>
      <c r="J461" s="43">
        <v>-76.961647999999997</v>
      </c>
    </row>
    <row r="462" spans="1:10" x14ac:dyDescent="0.25">
      <c r="A462" s="15" t="s">
        <v>4269</v>
      </c>
      <c r="B462" s="15" t="s">
        <v>4296</v>
      </c>
      <c r="C462" s="40">
        <v>4.8010000000000002</v>
      </c>
      <c r="D462" s="29">
        <v>1.0416666666666666E-2</v>
      </c>
      <c r="E462" s="41">
        <v>-12.086608</v>
      </c>
      <c r="F462" s="41">
        <v>-77.074470000000005</v>
      </c>
      <c r="G462" s="41">
        <v>-12.089648</v>
      </c>
      <c r="H462" s="41">
        <v>-77.065957999999995</v>
      </c>
      <c r="I462" s="41">
        <v>-12.075136000000001</v>
      </c>
      <c r="J462" s="41">
        <v>-77.053711000000007</v>
      </c>
    </row>
    <row r="463" spans="1:10" x14ac:dyDescent="0.25">
      <c r="A463" s="15" t="s">
        <v>4269</v>
      </c>
      <c r="B463" s="15" t="s">
        <v>4297</v>
      </c>
      <c r="C463" s="42">
        <v>19.486000000000001</v>
      </c>
      <c r="D463" s="25">
        <v>1.9444444444444445E-2</v>
      </c>
      <c r="E463" s="43">
        <v>-12.110970999999999</v>
      </c>
      <c r="F463" s="43">
        <v>-77.055130000000005</v>
      </c>
      <c r="G463" s="43">
        <v>-12.137309</v>
      </c>
      <c r="H463" s="43">
        <v>-77.028450000000007</v>
      </c>
      <c r="I463" s="43">
        <v>-12.113899</v>
      </c>
      <c r="J463" s="43">
        <v>-77.025834000000003</v>
      </c>
    </row>
    <row r="464" spans="1:10" x14ac:dyDescent="0.25">
      <c r="A464" s="15" t="s">
        <v>4269</v>
      </c>
      <c r="B464" s="15" t="s">
        <v>4298</v>
      </c>
      <c r="C464" s="40">
        <v>13.307</v>
      </c>
      <c r="D464" s="29">
        <v>1.3888888888888888E-2</v>
      </c>
      <c r="E464" s="41">
        <v>-12.102997999999999</v>
      </c>
      <c r="F464" s="41">
        <v>-77.064746999999997</v>
      </c>
      <c r="G464" s="41">
        <v>-12.124352999999999</v>
      </c>
      <c r="H464" s="41">
        <v>-77.040341999999995</v>
      </c>
      <c r="I464" s="41">
        <v>-12.134294000000001</v>
      </c>
      <c r="J464" s="41">
        <v>-77.021263000000005</v>
      </c>
    </row>
    <row r="465" spans="1:10" x14ac:dyDescent="0.25">
      <c r="A465" s="15" t="s">
        <v>4269</v>
      </c>
      <c r="B465" s="15" t="s">
        <v>4299</v>
      </c>
      <c r="C465" s="42">
        <v>7.6550000000000002</v>
      </c>
      <c r="D465" s="25">
        <v>1.1111111111111112E-2</v>
      </c>
      <c r="E465" s="43">
        <v>-12.099963000000001</v>
      </c>
      <c r="F465" s="43">
        <v>-77.069479999999999</v>
      </c>
      <c r="G465" s="43">
        <v>-12.111902000000001</v>
      </c>
      <c r="H465" s="43">
        <v>-77.052509000000001</v>
      </c>
      <c r="I465" s="43">
        <v>-12.113227999999999</v>
      </c>
      <c r="J465" s="43">
        <v>-77.048597000000001</v>
      </c>
    </row>
    <row r="466" spans="1:10" x14ac:dyDescent="0.25">
      <c r="A466" s="15" t="s">
        <v>4269</v>
      </c>
      <c r="B466" s="15" t="s">
        <v>4300</v>
      </c>
      <c r="C466" s="40">
        <v>14.206</v>
      </c>
      <c r="D466" s="29">
        <v>1.9444444444444445E-2</v>
      </c>
      <c r="E466" s="41">
        <v>-12.089648</v>
      </c>
      <c r="F466" s="41">
        <v>-77.065957999999995</v>
      </c>
      <c r="G466" s="41">
        <v>-12.087486999999999</v>
      </c>
      <c r="H466" s="41">
        <v>-76.998773999999997</v>
      </c>
      <c r="I466" s="41">
        <v>-12.08907</v>
      </c>
      <c r="J466" s="41">
        <v>-76.981326999999993</v>
      </c>
    </row>
    <row r="467" spans="1:10" x14ac:dyDescent="0.25">
      <c r="A467" s="15" t="s">
        <v>4269</v>
      </c>
      <c r="B467" s="15" t="s">
        <v>4301</v>
      </c>
      <c r="C467" s="42">
        <v>22.895</v>
      </c>
      <c r="D467" s="25">
        <v>2.9861111111111113E-2</v>
      </c>
      <c r="E467" s="43">
        <v>-12.073136999999999</v>
      </c>
      <c r="F467" s="43">
        <v>-77.078399000000005</v>
      </c>
      <c r="G467" s="43">
        <v>-12.035520999999999</v>
      </c>
      <c r="H467" s="43">
        <v>-77.077811999999994</v>
      </c>
      <c r="I467" s="43">
        <v>-12.029057</v>
      </c>
      <c r="J467" s="43">
        <v>-77.057777999999999</v>
      </c>
    </row>
    <row r="468" spans="1:10" x14ac:dyDescent="0.25">
      <c r="A468" s="15" t="s">
        <v>4269</v>
      </c>
      <c r="B468" s="15" t="s">
        <v>4302</v>
      </c>
      <c r="C468" s="40">
        <v>10.25</v>
      </c>
      <c r="D468" s="29">
        <v>1.8055555555555554E-2</v>
      </c>
      <c r="E468" s="41">
        <v>-12.086833</v>
      </c>
      <c r="F468" s="41">
        <v>-77.073836</v>
      </c>
      <c r="G468" s="41">
        <v>-12.089791</v>
      </c>
      <c r="H468" s="41">
        <v>-77.066073000000003</v>
      </c>
      <c r="I468" s="41">
        <v>-12.095271</v>
      </c>
      <c r="J468" s="41">
        <v>-77.054421000000005</v>
      </c>
    </row>
    <row r="469" spans="1:10" x14ac:dyDescent="0.25">
      <c r="A469" s="15" t="s">
        <v>4269</v>
      </c>
      <c r="B469" s="15" t="s">
        <v>4303</v>
      </c>
      <c r="C469" s="42">
        <v>19.225000000000001</v>
      </c>
      <c r="D469" s="25">
        <v>1.8749999999999999E-2</v>
      </c>
      <c r="E469" s="43">
        <v>-12.110970999999999</v>
      </c>
      <c r="F469" s="43">
        <v>-77.055130000000005</v>
      </c>
      <c r="G469" s="43">
        <v>-12.137309</v>
      </c>
      <c r="H469" s="43">
        <v>-77.028450000000007</v>
      </c>
      <c r="I469" s="43">
        <v>-12.113899</v>
      </c>
      <c r="J469" s="43">
        <v>-77.025834000000003</v>
      </c>
    </row>
    <row r="470" spans="1:10" x14ac:dyDescent="0.25">
      <c r="A470" s="15" t="s">
        <v>4269</v>
      </c>
      <c r="B470" s="15" t="s">
        <v>4304</v>
      </c>
      <c r="C470" s="40">
        <v>18.957999999999998</v>
      </c>
      <c r="D470" s="29">
        <v>1.8055555555555554E-2</v>
      </c>
      <c r="E470" s="41">
        <v>-12.110970999999999</v>
      </c>
      <c r="F470" s="41">
        <v>-77.055130000000005</v>
      </c>
      <c r="G470" s="41">
        <v>-12.137309</v>
      </c>
      <c r="H470" s="41">
        <v>-77.028450000000007</v>
      </c>
      <c r="I470" s="41">
        <v>-12.113899</v>
      </c>
      <c r="J470" s="41">
        <v>-77.025834000000003</v>
      </c>
    </row>
    <row r="471" spans="1:10" x14ac:dyDescent="0.25">
      <c r="A471" s="15" t="s">
        <v>4269</v>
      </c>
      <c r="B471" s="15" t="s">
        <v>4269</v>
      </c>
      <c r="C471" s="42">
        <v>0</v>
      </c>
      <c r="D471" s="25">
        <v>0</v>
      </c>
      <c r="E471" s="43">
        <f>'1 ubicaciones'!D14</f>
        <v>-12.074638200000001</v>
      </c>
      <c r="F471" s="43">
        <f>'1 ubicaciones'!E14</f>
        <v>-76.963822199999996</v>
      </c>
      <c r="G471" s="43">
        <f>'1 ubicaciones'!D14</f>
        <v>-12.074638200000001</v>
      </c>
      <c r="H471" s="43">
        <f>'1 ubicaciones'!E14</f>
        <v>-76.963822199999996</v>
      </c>
      <c r="I471" s="43">
        <f>'1 ubicaciones'!D14</f>
        <v>-12.074638200000001</v>
      </c>
      <c r="J471" s="43">
        <f>'1 ubicaciones'!E14</f>
        <v>-76.963822199999996</v>
      </c>
    </row>
    <row r="472" spans="1:10" x14ac:dyDescent="0.25">
      <c r="A472" s="15" t="s">
        <v>4269</v>
      </c>
      <c r="B472" s="15" t="s">
        <v>4305</v>
      </c>
      <c r="C472" s="40">
        <v>7.4290000000000003</v>
      </c>
      <c r="D472" s="29">
        <v>1.4583333333333334E-2</v>
      </c>
      <c r="E472" s="41">
        <v>-12.078723999999999</v>
      </c>
      <c r="F472" s="41">
        <v>-77.081282000000002</v>
      </c>
      <c r="G472" s="41">
        <v>-12.067653999999999</v>
      </c>
      <c r="H472" s="41">
        <v>-77.061918000000006</v>
      </c>
      <c r="I472" s="41">
        <v>-12.066259000000001</v>
      </c>
      <c r="J472" s="41">
        <v>-77.052002000000002</v>
      </c>
    </row>
    <row r="473" spans="1:10" x14ac:dyDescent="0.25">
      <c r="A473" s="15" t="s">
        <v>4269</v>
      </c>
      <c r="B473" s="15" t="s">
        <v>4306</v>
      </c>
      <c r="C473" s="42">
        <v>14.955</v>
      </c>
      <c r="D473" s="25">
        <v>1.8749999999999999E-2</v>
      </c>
      <c r="E473" s="43">
        <v>-12.104236</v>
      </c>
      <c r="F473" s="43">
        <v>-77.063581999999997</v>
      </c>
      <c r="G473" s="43">
        <v>-12.125451</v>
      </c>
      <c r="H473" s="43">
        <v>-77.039016000000004</v>
      </c>
      <c r="I473" s="43">
        <v>-12.13424</v>
      </c>
      <c r="J473" s="43">
        <v>-77.019125000000003</v>
      </c>
    </row>
    <row r="474" spans="1:10" x14ac:dyDescent="0.25">
      <c r="A474" s="15" t="s">
        <v>4269</v>
      </c>
      <c r="B474" s="15" t="s">
        <v>4277</v>
      </c>
      <c r="C474" s="40">
        <v>5.0579999999999998</v>
      </c>
      <c r="D474" s="29">
        <v>1.0416666666666666E-2</v>
      </c>
      <c r="E474" s="41">
        <v>-12.086608</v>
      </c>
      <c r="F474" s="41">
        <v>-77.074470000000005</v>
      </c>
      <c r="G474" s="41">
        <v>-12.089648</v>
      </c>
      <c r="H474" s="41">
        <v>-77.065957999999995</v>
      </c>
      <c r="I474" s="41">
        <v>-12.092871000000001</v>
      </c>
      <c r="J474" s="41">
        <v>-77.062179999999998</v>
      </c>
    </row>
    <row r="475" spans="1:10" x14ac:dyDescent="0.25">
      <c r="A475" s="15" t="s">
        <v>4269</v>
      </c>
      <c r="B475" s="15" t="s">
        <v>4307</v>
      </c>
      <c r="C475" s="42">
        <v>19.867000000000001</v>
      </c>
      <c r="D475" s="25">
        <v>2.5000000000000001E-2</v>
      </c>
      <c r="E475" s="43">
        <v>-12.092871000000001</v>
      </c>
      <c r="F475" s="43">
        <v>-77.062179999999998</v>
      </c>
      <c r="G475" s="43">
        <v>-12.085632</v>
      </c>
      <c r="H475" s="43">
        <v>-76.981426999999996</v>
      </c>
      <c r="I475" s="43">
        <v>-12.062414</v>
      </c>
      <c r="J475" s="43">
        <v>-76.971571999999995</v>
      </c>
    </row>
    <row r="476" spans="1:10" x14ac:dyDescent="0.25">
      <c r="A476" s="15" t="s">
        <v>4269</v>
      </c>
      <c r="B476" s="15" t="s">
        <v>4308</v>
      </c>
      <c r="C476" s="40">
        <v>2.931</v>
      </c>
      <c r="D476" s="29">
        <v>6.9444444444444441E-3</v>
      </c>
      <c r="E476" s="41">
        <v>-12.091424999999999</v>
      </c>
      <c r="F476" s="41">
        <v>-77.081187</v>
      </c>
      <c r="G476" s="41">
        <v>-12.08966</v>
      </c>
      <c r="H476" s="41">
        <v>-77.084377000000003</v>
      </c>
      <c r="I476" s="41">
        <v>-12.0838</v>
      </c>
      <c r="J476" s="41">
        <v>-77.096328</v>
      </c>
    </row>
    <row r="477" spans="1:10" x14ac:dyDescent="0.25">
      <c r="A477" s="15" t="s">
        <v>4269</v>
      </c>
      <c r="B477" s="15" t="s">
        <v>4309</v>
      </c>
      <c r="C477" s="42">
        <v>17.510999999999999</v>
      </c>
      <c r="D477" s="25">
        <v>1.5972222222222221E-2</v>
      </c>
      <c r="E477" s="43">
        <v>-12.108695000000001</v>
      </c>
      <c r="F477" s="43">
        <v>-77.058077999999995</v>
      </c>
      <c r="G477" s="43">
        <v>-12.133124</v>
      </c>
      <c r="H477" s="43">
        <v>-77.030569999999997</v>
      </c>
      <c r="I477" s="43">
        <v>-12.131584</v>
      </c>
      <c r="J477" s="43">
        <v>-77.021951999999999</v>
      </c>
    </row>
    <row r="478" spans="1:10" x14ac:dyDescent="0.25">
      <c r="A478" s="15" t="s">
        <v>4269</v>
      </c>
      <c r="B478" s="15" t="s">
        <v>4278</v>
      </c>
      <c r="C478" s="40">
        <v>14.444000000000001</v>
      </c>
      <c r="D478" s="29">
        <v>2.361111111111111E-2</v>
      </c>
      <c r="E478" s="41">
        <v>-12.071872000000001</v>
      </c>
      <c r="F478" s="41">
        <v>-77.078256999999994</v>
      </c>
      <c r="G478" s="41">
        <v>-12.03424</v>
      </c>
      <c r="H478" s="41">
        <v>-77.078328999999997</v>
      </c>
      <c r="I478" s="41">
        <v>-12.028442999999999</v>
      </c>
      <c r="J478" s="41">
        <v>-77.057480999999996</v>
      </c>
    </row>
    <row r="479" spans="1:10" x14ac:dyDescent="0.25">
      <c r="A479" s="15" t="s">
        <v>4269</v>
      </c>
      <c r="B479" s="15" t="s">
        <v>4310</v>
      </c>
      <c r="C479" s="42">
        <v>17.451000000000001</v>
      </c>
      <c r="D479" s="25">
        <v>2.361111111111111E-2</v>
      </c>
      <c r="E479" s="43">
        <v>-12.067981</v>
      </c>
      <c r="F479" s="43">
        <v>-77.077726999999996</v>
      </c>
      <c r="G479" s="43">
        <v>-12.036773</v>
      </c>
      <c r="H479" s="43">
        <v>-77.057248000000001</v>
      </c>
      <c r="I479" s="43">
        <v>-12.043358</v>
      </c>
      <c r="J479" s="43">
        <v>-77.017360999999994</v>
      </c>
    </row>
    <row r="480" spans="1:10" x14ac:dyDescent="0.25">
      <c r="A480" s="15" t="s">
        <v>4269</v>
      </c>
      <c r="B480" s="15" t="s">
        <v>4311</v>
      </c>
      <c r="C480" s="40">
        <v>6.63</v>
      </c>
      <c r="D480" s="29">
        <v>1.4583333333333334E-2</v>
      </c>
      <c r="E480" s="41">
        <v>-12.086833</v>
      </c>
      <c r="F480" s="41">
        <v>-77.073836</v>
      </c>
      <c r="G480" s="41">
        <v>-12.089777</v>
      </c>
      <c r="H480" s="41">
        <v>-77.065780000000004</v>
      </c>
      <c r="I480" s="41">
        <v>-12.072067000000001</v>
      </c>
      <c r="J480" s="41">
        <v>-77.049389000000005</v>
      </c>
    </row>
    <row r="481" spans="1:10" x14ac:dyDescent="0.25">
      <c r="A481" s="15" t="s">
        <v>4269</v>
      </c>
      <c r="B481" s="15" t="s">
        <v>4312</v>
      </c>
      <c r="C481" s="42">
        <v>19.218</v>
      </c>
      <c r="D481" s="25">
        <v>1.8055555555555554E-2</v>
      </c>
      <c r="E481" s="43">
        <v>-12.110970999999999</v>
      </c>
      <c r="F481" s="43">
        <v>-77.055130000000005</v>
      </c>
      <c r="G481" s="43">
        <v>-12.137309</v>
      </c>
      <c r="H481" s="43">
        <v>-77.028450000000007</v>
      </c>
      <c r="I481" s="43">
        <v>-12.113899</v>
      </c>
      <c r="J481" s="43">
        <v>-77.025834000000003</v>
      </c>
    </row>
    <row r="482" spans="1:10" x14ac:dyDescent="0.25">
      <c r="A482" s="15" t="s">
        <v>4269</v>
      </c>
      <c r="B482" s="15" t="s">
        <v>4313</v>
      </c>
      <c r="C482" s="40">
        <v>5.08</v>
      </c>
      <c r="D482" s="29">
        <v>1.1111111111111112E-2</v>
      </c>
      <c r="E482" s="41">
        <v>-12.091461000000001</v>
      </c>
      <c r="F482" s="41">
        <v>-77.077061</v>
      </c>
      <c r="G482" s="41">
        <v>-12.088447</v>
      </c>
      <c r="H482" s="41">
        <v>-77.069276000000002</v>
      </c>
      <c r="I482" s="41">
        <v>-12.081505999999999</v>
      </c>
      <c r="J482" s="41">
        <v>-77.058986000000004</v>
      </c>
    </row>
    <row r="483" spans="1:10" x14ac:dyDescent="0.25">
      <c r="A483" s="15" t="s">
        <v>4269</v>
      </c>
      <c r="B483" s="15" t="s">
        <v>4314</v>
      </c>
      <c r="C483" s="42">
        <v>2.2149999999999999</v>
      </c>
      <c r="D483" s="25">
        <v>6.2500000000000003E-3</v>
      </c>
      <c r="E483" s="43">
        <v>-12.090972000000001</v>
      </c>
      <c r="F483" s="43">
        <v>-77.082065999999998</v>
      </c>
      <c r="G483" s="43">
        <v>-12.086112999999999</v>
      </c>
      <c r="H483" s="43">
        <v>-77.083248999999995</v>
      </c>
      <c r="I483" s="43">
        <v>-12.078989</v>
      </c>
      <c r="J483" s="43">
        <v>-77.081468999999998</v>
      </c>
    </row>
    <row r="484" spans="1:10" x14ac:dyDescent="0.25">
      <c r="A484" s="15" t="s">
        <v>4269</v>
      </c>
      <c r="B484" s="15" t="s">
        <v>4315</v>
      </c>
      <c r="C484" s="40">
        <v>18.329000000000001</v>
      </c>
      <c r="D484" s="29">
        <v>2.1527777777777778E-2</v>
      </c>
      <c r="E484" s="41">
        <v>-12.104236</v>
      </c>
      <c r="F484" s="41">
        <v>-77.063581999999997</v>
      </c>
      <c r="G484" s="41">
        <v>-12.125451</v>
      </c>
      <c r="H484" s="41">
        <v>-77.039016000000004</v>
      </c>
      <c r="I484" s="41">
        <v>-12.13424</v>
      </c>
      <c r="J484" s="41">
        <v>-77.019125000000003</v>
      </c>
    </row>
    <row r="485" spans="1:10" x14ac:dyDescent="0.25">
      <c r="A485" s="15" t="s">
        <v>4269</v>
      </c>
      <c r="B485" s="15" t="s">
        <v>4316</v>
      </c>
      <c r="C485" s="42">
        <v>3.847</v>
      </c>
      <c r="D485" s="25">
        <v>8.3333333333333332E-3</v>
      </c>
      <c r="E485" s="43">
        <v>-12.094635999999999</v>
      </c>
      <c r="F485" s="43">
        <v>-77.076937999999998</v>
      </c>
      <c r="G485" s="43">
        <v>-12.097042999999999</v>
      </c>
      <c r="H485" s="43">
        <v>-77.072091999999998</v>
      </c>
      <c r="I485" s="43">
        <v>-12.101696</v>
      </c>
      <c r="J485" s="43">
        <v>-77.059616000000005</v>
      </c>
    </row>
    <row r="486" spans="1:10" x14ac:dyDescent="0.25">
      <c r="A486" s="15" t="s">
        <v>4269</v>
      </c>
      <c r="B486" s="15" t="s">
        <v>4317</v>
      </c>
      <c r="C486" s="40">
        <v>18.951000000000001</v>
      </c>
      <c r="D486" s="29">
        <v>2.5000000000000001E-2</v>
      </c>
      <c r="E486" s="41">
        <v>-12.109672</v>
      </c>
      <c r="F486" s="41">
        <v>-77.056258</v>
      </c>
      <c r="G486" s="41">
        <v>-12.135751000000001</v>
      </c>
      <c r="H486" s="41">
        <v>-77.029077999999998</v>
      </c>
      <c r="I486" s="41">
        <v>-12.130611</v>
      </c>
      <c r="J486" s="41">
        <v>-77.019549999999995</v>
      </c>
    </row>
    <row r="487" spans="1:10" x14ac:dyDescent="0.25">
      <c r="A487" s="15" t="s">
        <v>4269</v>
      </c>
      <c r="B487" s="15" t="s">
        <v>4318</v>
      </c>
      <c r="C487" s="42">
        <v>8.9770000000000003</v>
      </c>
      <c r="D487" s="25">
        <v>1.4583333333333334E-2</v>
      </c>
      <c r="E487" s="43">
        <v>-12.086608</v>
      </c>
      <c r="F487" s="43">
        <v>-77.074470000000005</v>
      </c>
      <c r="G487" s="43">
        <v>-12.089648</v>
      </c>
      <c r="H487" s="43">
        <v>-77.065957999999995</v>
      </c>
      <c r="I487" s="43">
        <v>-12.092871000000001</v>
      </c>
      <c r="J487" s="43">
        <v>-77.062179999999998</v>
      </c>
    </row>
    <row r="488" spans="1:10" x14ac:dyDescent="0.25">
      <c r="A488" s="15" t="s">
        <v>4269</v>
      </c>
      <c r="B488" s="15" t="s">
        <v>4319</v>
      </c>
      <c r="C488" s="40">
        <v>11.695</v>
      </c>
      <c r="D488" s="29">
        <v>1.8055555555555554E-2</v>
      </c>
      <c r="E488" s="41">
        <v>-12.087336000000001</v>
      </c>
      <c r="F488" s="41">
        <v>-77.072396999999995</v>
      </c>
      <c r="G488" s="41">
        <v>-12.090035</v>
      </c>
      <c r="H488" s="41">
        <v>-77.065911</v>
      </c>
      <c r="I488" s="41">
        <v>-12.08774</v>
      </c>
      <c r="J488" s="41">
        <v>-77.000512999999998</v>
      </c>
    </row>
    <row r="489" spans="1:10" x14ac:dyDescent="0.25">
      <c r="A489" s="15" t="s">
        <v>4269</v>
      </c>
      <c r="B489" s="15" t="s">
        <v>4279</v>
      </c>
      <c r="C489" s="42">
        <v>11.302</v>
      </c>
      <c r="D489" s="25">
        <v>1.3194444444444444E-2</v>
      </c>
      <c r="E489" s="43">
        <v>-12.090806000000001</v>
      </c>
      <c r="F489" s="43">
        <v>-77.085016999999993</v>
      </c>
      <c r="G489" s="43">
        <v>-12.07771</v>
      </c>
      <c r="H489" s="43">
        <v>-77.114960999999994</v>
      </c>
      <c r="I489" s="43">
        <v>-12.065251</v>
      </c>
      <c r="J489" s="43">
        <v>-77.118431999999999</v>
      </c>
    </row>
    <row r="490" spans="1:10" x14ac:dyDescent="0.25">
      <c r="A490" s="15" t="s">
        <v>4269</v>
      </c>
      <c r="B490" s="15" t="s">
        <v>4320</v>
      </c>
      <c r="C490" s="40">
        <v>15.807</v>
      </c>
      <c r="D490" s="29">
        <v>2.0833333333333332E-2</v>
      </c>
      <c r="E490" s="41">
        <v>-12.090035</v>
      </c>
      <c r="F490" s="41">
        <v>-77.065911</v>
      </c>
      <c r="G490" s="41">
        <v>-12.085035</v>
      </c>
      <c r="H490" s="41">
        <v>-76.981905999999995</v>
      </c>
      <c r="I490" s="41">
        <v>-12.073001</v>
      </c>
      <c r="J490" s="41">
        <v>-76.973752000000005</v>
      </c>
    </row>
    <row r="491" spans="1:10" x14ac:dyDescent="0.25">
      <c r="A491" s="15" t="s">
        <v>4269</v>
      </c>
      <c r="B491" s="15" t="s">
        <v>4321</v>
      </c>
      <c r="C491" s="42">
        <v>28.786999999999999</v>
      </c>
      <c r="D491" s="25">
        <v>3.8194444444444448E-2</v>
      </c>
      <c r="E491" s="43">
        <v>-12.065899</v>
      </c>
      <c r="F491" s="43">
        <v>-77.077866</v>
      </c>
      <c r="G491" s="43">
        <v>-12.028295</v>
      </c>
      <c r="H491" s="43">
        <v>-77.069271000000001</v>
      </c>
      <c r="I491" s="43">
        <v>-12.009463999999999</v>
      </c>
      <c r="J491" s="43">
        <v>-77.060941999999997</v>
      </c>
    </row>
    <row r="492" spans="1:10" x14ac:dyDescent="0.25">
      <c r="A492" s="15" t="s">
        <v>4269</v>
      </c>
      <c r="B492" s="15" t="s">
        <v>4322</v>
      </c>
      <c r="C492" s="40">
        <v>15.099</v>
      </c>
      <c r="D492" s="29">
        <v>1.7361111111111112E-2</v>
      </c>
      <c r="E492" s="41">
        <v>-12.104236</v>
      </c>
      <c r="F492" s="41">
        <v>-77.063581999999997</v>
      </c>
      <c r="G492" s="41">
        <v>-12.125451</v>
      </c>
      <c r="H492" s="41">
        <v>-77.039016000000004</v>
      </c>
      <c r="I492" s="41">
        <v>-12.152922</v>
      </c>
      <c r="J492" s="41">
        <v>-77.024518999999998</v>
      </c>
    </row>
    <row r="493" spans="1:10" x14ac:dyDescent="0.25">
      <c r="A493" s="15" t="s">
        <v>4269</v>
      </c>
      <c r="B493" s="15" t="s">
        <v>4323</v>
      </c>
      <c r="C493" s="42">
        <v>15.609</v>
      </c>
      <c r="D493" s="25">
        <v>1.8749999999999999E-2</v>
      </c>
      <c r="E493" s="43">
        <v>-12.106005</v>
      </c>
      <c r="F493" s="43">
        <v>-77.061161999999996</v>
      </c>
      <c r="G493" s="43">
        <v>-12.130181</v>
      </c>
      <c r="H493" s="43">
        <v>-77.035334000000006</v>
      </c>
      <c r="I493" s="43">
        <v>-12.161678</v>
      </c>
      <c r="J493" s="43">
        <v>-77.025835999999998</v>
      </c>
    </row>
    <row r="494" spans="1:10" x14ac:dyDescent="0.25">
      <c r="A494" s="15" t="s">
        <v>4269</v>
      </c>
      <c r="B494" s="15" t="s">
        <v>4324</v>
      </c>
      <c r="C494" s="40">
        <v>3.5979999999999999</v>
      </c>
      <c r="D494" s="29">
        <v>8.3333333333333332E-3</v>
      </c>
      <c r="E494" s="41">
        <v>-12.092243</v>
      </c>
      <c r="F494" s="41">
        <v>-77.077489</v>
      </c>
      <c r="G494" s="41">
        <v>-12.087336000000001</v>
      </c>
      <c r="H494" s="41">
        <v>-77.072396999999995</v>
      </c>
      <c r="I494" s="41">
        <v>-12.083167</v>
      </c>
      <c r="J494" s="41">
        <v>-77.067221000000004</v>
      </c>
    </row>
    <row r="495" spans="1:10" x14ac:dyDescent="0.25">
      <c r="A495" s="15" t="s">
        <v>4269</v>
      </c>
      <c r="B495" s="15" t="s">
        <v>4325</v>
      </c>
      <c r="C495" s="42">
        <v>22.31</v>
      </c>
      <c r="D495" s="25">
        <v>3.125E-2</v>
      </c>
      <c r="E495" s="43">
        <v>-12.114053999999999</v>
      </c>
      <c r="F495" s="43">
        <v>-77.050679000000002</v>
      </c>
      <c r="G495" s="43">
        <v>-12.134361999999999</v>
      </c>
      <c r="H495" s="43">
        <v>-77.021394000000001</v>
      </c>
      <c r="I495" s="43">
        <v>-12.146993999999999</v>
      </c>
      <c r="J495" s="43">
        <v>-76.987425000000002</v>
      </c>
    </row>
    <row r="496" spans="1:10" x14ac:dyDescent="0.25">
      <c r="A496" s="15" t="s">
        <v>4269</v>
      </c>
      <c r="B496" s="15" t="s">
        <v>4268</v>
      </c>
      <c r="C496" s="40">
        <v>16.911999999999999</v>
      </c>
      <c r="D496" s="29">
        <v>2.2222222222222223E-2</v>
      </c>
      <c r="E496" s="41">
        <v>-12.067981</v>
      </c>
      <c r="F496" s="41">
        <v>-77.077726999999996</v>
      </c>
      <c r="G496" s="41">
        <v>-12.036773</v>
      </c>
      <c r="H496" s="41">
        <v>-77.057248000000001</v>
      </c>
      <c r="I496" s="41">
        <v>-12.043358</v>
      </c>
      <c r="J496" s="41">
        <v>-77.017360999999994</v>
      </c>
    </row>
    <row r="497" spans="1:10" x14ac:dyDescent="0.25">
      <c r="A497" s="15" t="s">
        <v>4305</v>
      </c>
      <c r="B497" s="15" t="s">
        <v>4267</v>
      </c>
      <c r="C497" s="42">
        <v>2.8849999999999998</v>
      </c>
      <c r="D497" s="25">
        <v>8.3333333333333332E-3</v>
      </c>
      <c r="E497" s="43">
        <v>-12.059053</v>
      </c>
      <c r="F497" s="43">
        <v>-77.045544000000007</v>
      </c>
      <c r="G497" s="43">
        <v>-12.056545</v>
      </c>
      <c r="H497" s="43">
        <v>-77.045877000000004</v>
      </c>
      <c r="I497" s="43">
        <v>-12.051603</v>
      </c>
      <c r="J497" s="43">
        <v>-77.039831000000007</v>
      </c>
    </row>
    <row r="498" spans="1:10" x14ac:dyDescent="0.25">
      <c r="A498" s="15" t="s">
        <v>4305</v>
      </c>
      <c r="B498" s="15" t="s">
        <v>4280</v>
      </c>
      <c r="C498" s="40">
        <v>17.53</v>
      </c>
      <c r="D498" s="29">
        <v>1.9444444444444445E-2</v>
      </c>
      <c r="E498" s="41">
        <v>-12.060675</v>
      </c>
      <c r="F498" s="41">
        <v>-77.041227000000006</v>
      </c>
      <c r="G498" s="41">
        <v>-12.119611000000001</v>
      </c>
      <c r="H498" s="41">
        <v>-77.025917000000007</v>
      </c>
      <c r="I498" s="41">
        <v>-12.152922</v>
      </c>
      <c r="J498" s="41">
        <v>-77.024518999999998</v>
      </c>
    </row>
    <row r="499" spans="1:10" x14ac:dyDescent="0.25">
      <c r="A499" s="15" t="s">
        <v>4305</v>
      </c>
      <c r="B499" s="15" t="s">
        <v>4281</v>
      </c>
      <c r="C499" s="42">
        <v>16.533999999999999</v>
      </c>
      <c r="D499" s="25">
        <v>1.9444444444444445E-2</v>
      </c>
      <c r="E499" s="43">
        <v>-12.059801</v>
      </c>
      <c r="F499" s="43">
        <v>-77.041883999999996</v>
      </c>
      <c r="G499" s="43">
        <v>-12.091602999999999</v>
      </c>
      <c r="H499" s="43">
        <v>-77.022992000000002</v>
      </c>
      <c r="I499" s="43">
        <v>-12.083311999999999</v>
      </c>
      <c r="J499" s="43">
        <v>-76.970100000000002</v>
      </c>
    </row>
    <row r="500" spans="1:10" x14ac:dyDescent="0.25">
      <c r="A500" s="15" t="s">
        <v>4305</v>
      </c>
      <c r="B500" s="15" t="s">
        <v>4296</v>
      </c>
      <c r="C500" s="40">
        <v>2.5179999999999998</v>
      </c>
      <c r="D500" s="29">
        <v>7.6388888888888886E-3</v>
      </c>
      <c r="E500" s="41">
        <v>-12.058515</v>
      </c>
      <c r="F500" s="41">
        <v>-77.047066999999998</v>
      </c>
      <c r="G500" s="41">
        <v>-12.05865</v>
      </c>
      <c r="H500" s="41">
        <v>-77.047262000000003</v>
      </c>
      <c r="I500" s="41">
        <v>-12.067161</v>
      </c>
      <c r="J500" s="41">
        <v>-77.047399999999996</v>
      </c>
    </row>
    <row r="501" spans="1:10" x14ac:dyDescent="0.25">
      <c r="A501" s="15" t="s">
        <v>4305</v>
      </c>
      <c r="B501" s="15" t="s">
        <v>4297</v>
      </c>
      <c r="C501" s="42">
        <v>5.3550000000000004</v>
      </c>
      <c r="D501" s="25">
        <v>1.1111111111111112E-2</v>
      </c>
      <c r="E501" s="43">
        <v>-12.05903</v>
      </c>
      <c r="F501" s="43">
        <v>-77.045533000000006</v>
      </c>
      <c r="G501" s="43">
        <v>-12.056346</v>
      </c>
      <c r="H501" s="43">
        <v>-77.042028000000002</v>
      </c>
      <c r="I501" s="43">
        <v>-12.059912000000001</v>
      </c>
      <c r="J501" s="43">
        <v>-77.036882000000006</v>
      </c>
    </row>
    <row r="502" spans="1:10" x14ac:dyDescent="0.25">
      <c r="A502" s="15" t="s">
        <v>4305</v>
      </c>
      <c r="B502" s="15" t="s">
        <v>4298</v>
      </c>
      <c r="C502" s="40">
        <v>9.6669999999999998</v>
      </c>
      <c r="D502" s="29">
        <v>1.3194444444444444E-2</v>
      </c>
      <c r="E502" s="41">
        <v>-12.058813000000001</v>
      </c>
      <c r="F502" s="41">
        <v>-77.045810000000003</v>
      </c>
      <c r="G502" s="41">
        <v>-12.060181</v>
      </c>
      <c r="H502" s="41">
        <v>-77.036090000000002</v>
      </c>
      <c r="I502" s="41">
        <v>-12.100381</v>
      </c>
      <c r="J502" s="41">
        <v>-77.026857000000007</v>
      </c>
    </row>
    <row r="503" spans="1:10" x14ac:dyDescent="0.25">
      <c r="A503" s="15" t="s">
        <v>4305</v>
      </c>
      <c r="B503" s="15" t="s">
        <v>4299</v>
      </c>
      <c r="C503" s="42">
        <v>9.8219999999999992</v>
      </c>
      <c r="D503" s="25">
        <v>1.3888888888888888E-2</v>
      </c>
      <c r="E503" s="43">
        <v>-12.056559</v>
      </c>
      <c r="F503" s="43">
        <v>-77.046032999999994</v>
      </c>
      <c r="G503" s="43">
        <v>-12.06077</v>
      </c>
      <c r="H503" s="43">
        <v>-77.035853000000003</v>
      </c>
      <c r="I503" s="43">
        <v>-12.105594999999999</v>
      </c>
      <c r="J503" s="43">
        <v>-77.027480999999995</v>
      </c>
    </row>
    <row r="504" spans="1:10" x14ac:dyDescent="0.25">
      <c r="A504" s="15" t="s">
        <v>4305</v>
      </c>
      <c r="B504" s="15" t="s">
        <v>4300</v>
      </c>
      <c r="C504" s="40">
        <v>13.401999999999999</v>
      </c>
      <c r="D504" s="29">
        <v>1.5972222222222221E-2</v>
      </c>
      <c r="E504" s="41">
        <v>-12.056346</v>
      </c>
      <c r="F504" s="41">
        <v>-77.042028000000002</v>
      </c>
      <c r="G504" s="41">
        <v>-12.07643</v>
      </c>
      <c r="H504" s="41">
        <v>-77.029207999999997</v>
      </c>
      <c r="I504" s="41">
        <v>-12.086715</v>
      </c>
      <c r="J504" s="41">
        <v>-76.995919999999998</v>
      </c>
    </row>
    <row r="505" spans="1:10" x14ac:dyDescent="0.25">
      <c r="A505" s="15" t="s">
        <v>4305</v>
      </c>
      <c r="B505" s="15" t="s">
        <v>4301</v>
      </c>
      <c r="C505" s="42">
        <v>18.413</v>
      </c>
      <c r="D505" s="25">
        <v>2.013888888888889E-2</v>
      </c>
      <c r="E505" s="43">
        <v>-12.058925</v>
      </c>
      <c r="F505" s="43">
        <v>-77.045725000000004</v>
      </c>
      <c r="G505" s="43">
        <v>-12.035714</v>
      </c>
      <c r="H505" s="43">
        <v>-77.043052000000003</v>
      </c>
      <c r="I505" s="43">
        <v>-12.030262</v>
      </c>
      <c r="J505" s="43">
        <v>-77.056901999999994</v>
      </c>
    </row>
    <row r="506" spans="1:10" x14ac:dyDescent="0.25">
      <c r="A506" s="15" t="s">
        <v>4305</v>
      </c>
      <c r="B506" s="15" t="s">
        <v>4302</v>
      </c>
      <c r="C506" s="40">
        <v>9.4459999999999997</v>
      </c>
      <c r="D506" s="29">
        <v>1.3888888888888888E-2</v>
      </c>
      <c r="E506" s="41">
        <v>-12.058890999999999</v>
      </c>
      <c r="F506" s="41">
        <v>-77.045838000000003</v>
      </c>
      <c r="G506" s="41">
        <v>-12.059912000000001</v>
      </c>
      <c r="H506" s="41">
        <v>-77.036882000000006</v>
      </c>
      <c r="I506" s="41">
        <v>-12.091184999999999</v>
      </c>
      <c r="J506" s="41">
        <v>-77.022919000000002</v>
      </c>
    </row>
    <row r="507" spans="1:10" x14ac:dyDescent="0.25">
      <c r="A507" s="15" t="s">
        <v>4305</v>
      </c>
      <c r="B507" s="15" t="s">
        <v>4303</v>
      </c>
      <c r="C507" s="42">
        <v>5.6050000000000004</v>
      </c>
      <c r="D507" s="25">
        <v>1.1805555555555555E-2</v>
      </c>
      <c r="E507" s="43">
        <v>-12.059005000000001</v>
      </c>
      <c r="F507" s="43">
        <v>-77.045533000000006</v>
      </c>
      <c r="G507" s="43">
        <v>-12.059754</v>
      </c>
      <c r="H507" s="43">
        <v>-77.041809000000001</v>
      </c>
      <c r="I507" s="43">
        <v>-12.060233999999999</v>
      </c>
      <c r="J507" s="43">
        <v>-77.036002999999994</v>
      </c>
    </row>
    <row r="508" spans="1:10" x14ac:dyDescent="0.25">
      <c r="A508" s="15" t="s">
        <v>4305</v>
      </c>
      <c r="B508" s="15" t="s">
        <v>4304</v>
      </c>
      <c r="C508" s="40">
        <v>6.0570000000000004</v>
      </c>
      <c r="D508" s="29">
        <v>1.2500000000000001E-2</v>
      </c>
      <c r="E508" s="41">
        <v>-12.05903</v>
      </c>
      <c r="F508" s="41">
        <v>-77.045533000000006</v>
      </c>
      <c r="G508" s="41">
        <v>-12.056346</v>
      </c>
      <c r="H508" s="41">
        <v>-77.042028000000002</v>
      </c>
      <c r="I508" s="41">
        <v>-12.059912000000001</v>
      </c>
      <c r="J508" s="41">
        <v>-77.036882000000006</v>
      </c>
    </row>
    <row r="509" spans="1:10" x14ac:dyDescent="0.25">
      <c r="A509" s="15" t="s">
        <v>4305</v>
      </c>
      <c r="B509" s="15" t="s">
        <v>4269</v>
      </c>
      <c r="C509" s="42">
        <v>6.258</v>
      </c>
      <c r="D509" s="25">
        <v>1.3888888888888888E-2</v>
      </c>
      <c r="E509" s="43">
        <v>-12.066401000000001</v>
      </c>
      <c r="F509" s="43">
        <v>-77.053779000000006</v>
      </c>
      <c r="G509" s="43">
        <v>-12.067326</v>
      </c>
      <c r="H509" s="43">
        <v>-77.054573000000005</v>
      </c>
      <c r="I509" s="43">
        <v>-12.077669</v>
      </c>
      <c r="J509" s="43">
        <v>-77.056792000000002</v>
      </c>
    </row>
    <row r="510" spans="1:10" x14ac:dyDescent="0.25">
      <c r="A510" s="15" t="s">
        <v>4305</v>
      </c>
      <c r="B510" s="15" t="s">
        <v>4305</v>
      </c>
      <c r="C510" s="40">
        <v>0</v>
      </c>
      <c r="D510" s="29">
        <v>0</v>
      </c>
      <c r="E510" s="41">
        <f>'1 ubicaciones'!D15</f>
        <v>-12.1089684</v>
      </c>
      <c r="F510" s="41">
        <f>'1 ubicaciones'!E15</f>
        <v>-77.0303124</v>
      </c>
      <c r="G510" s="41">
        <f>'1 ubicaciones'!D15</f>
        <v>-12.1089684</v>
      </c>
      <c r="H510" s="41">
        <f>'1 ubicaciones'!E15</f>
        <v>-77.0303124</v>
      </c>
      <c r="I510" s="41">
        <f>'1 ubicaciones'!D15</f>
        <v>-12.1089684</v>
      </c>
      <c r="J510" s="41">
        <f>'1 ubicaciones'!E15</f>
        <v>-77.0303124</v>
      </c>
    </row>
    <row r="511" spans="1:10" x14ac:dyDescent="0.25">
      <c r="A511" s="15" t="s">
        <v>4305</v>
      </c>
      <c r="B511" s="15" t="s">
        <v>4306</v>
      </c>
      <c r="C511" s="42">
        <v>16.059999999999999</v>
      </c>
      <c r="D511" s="25">
        <v>1.6666666666666666E-2</v>
      </c>
      <c r="E511" s="43">
        <v>-12.056346</v>
      </c>
      <c r="F511" s="43">
        <v>-77.042028000000002</v>
      </c>
      <c r="G511" s="43">
        <v>-12.07643</v>
      </c>
      <c r="H511" s="43">
        <v>-77.029207999999997</v>
      </c>
      <c r="I511" s="43">
        <v>-12.086715</v>
      </c>
      <c r="J511" s="43">
        <v>-76.995919999999998</v>
      </c>
    </row>
    <row r="512" spans="1:10" x14ac:dyDescent="0.25">
      <c r="A512" s="15" t="s">
        <v>4305</v>
      </c>
      <c r="B512" s="15" t="s">
        <v>4277</v>
      </c>
      <c r="C512" s="40">
        <v>8.1370000000000005</v>
      </c>
      <c r="D512" s="29">
        <v>1.1805555555555555E-2</v>
      </c>
      <c r="E512" s="41">
        <v>-12.058942999999999</v>
      </c>
      <c r="F512" s="41">
        <v>-77.045666999999995</v>
      </c>
      <c r="G512" s="41">
        <v>-12.060695000000001</v>
      </c>
      <c r="H512" s="41">
        <v>-77.041847000000004</v>
      </c>
      <c r="I512" s="41">
        <v>-12.071838</v>
      </c>
      <c r="J512" s="41">
        <v>-77.031039000000007</v>
      </c>
    </row>
    <row r="513" spans="1:10" x14ac:dyDescent="0.25">
      <c r="A513" s="15" t="s">
        <v>4305</v>
      </c>
      <c r="B513" s="15" t="s">
        <v>4307</v>
      </c>
      <c r="C513" s="42">
        <v>12.595000000000001</v>
      </c>
      <c r="D513" s="25">
        <v>1.8055555555555554E-2</v>
      </c>
      <c r="E513" s="43">
        <v>-12.040622000000001</v>
      </c>
      <c r="F513" s="43">
        <v>-77.043195999999995</v>
      </c>
      <c r="G513" s="43">
        <v>-12.039147</v>
      </c>
      <c r="H513" s="43">
        <v>-77.013818000000001</v>
      </c>
      <c r="I513" s="43">
        <v>-12.040177</v>
      </c>
      <c r="J513" s="43">
        <v>-76.997750999999994</v>
      </c>
    </row>
    <row r="514" spans="1:10" x14ac:dyDescent="0.25">
      <c r="A514" s="15" t="s">
        <v>4305</v>
      </c>
      <c r="B514" s="15" t="s">
        <v>4308</v>
      </c>
      <c r="C514" s="40">
        <v>6.4240000000000004</v>
      </c>
      <c r="D514" s="29">
        <v>1.3194444444444444E-2</v>
      </c>
      <c r="E514" s="41">
        <v>-12.066504999999999</v>
      </c>
      <c r="F514" s="41">
        <v>-77.054004000000006</v>
      </c>
      <c r="G514" s="41">
        <v>-12.06742</v>
      </c>
      <c r="H514" s="41">
        <v>-77.061914000000002</v>
      </c>
      <c r="I514" s="41">
        <v>-12.073572</v>
      </c>
      <c r="J514" s="41">
        <v>-77.078742000000005</v>
      </c>
    </row>
    <row r="515" spans="1:10" x14ac:dyDescent="0.25">
      <c r="A515" s="15" t="s">
        <v>4305</v>
      </c>
      <c r="B515" s="15" t="s">
        <v>4309</v>
      </c>
      <c r="C515" s="42">
        <v>5.9390000000000001</v>
      </c>
      <c r="D515" s="25">
        <v>1.0416666666666666E-2</v>
      </c>
      <c r="E515" s="43">
        <v>-12.058942999999999</v>
      </c>
      <c r="F515" s="43">
        <v>-77.045666999999995</v>
      </c>
      <c r="G515" s="43">
        <v>-12.060695000000001</v>
      </c>
      <c r="H515" s="43">
        <v>-77.041847000000004</v>
      </c>
      <c r="I515" s="43">
        <v>-12.071838</v>
      </c>
      <c r="J515" s="43">
        <v>-77.031039000000007</v>
      </c>
    </row>
    <row r="516" spans="1:10" x14ac:dyDescent="0.25">
      <c r="A516" s="15" t="s">
        <v>4305</v>
      </c>
      <c r="B516" s="15" t="s">
        <v>4278</v>
      </c>
      <c r="C516" s="40">
        <v>9.9619999999999997</v>
      </c>
      <c r="D516" s="29">
        <v>1.3888888888888888E-2</v>
      </c>
      <c r="E516" s="41">
        <v>-12.058890999999999</v>
      </c>
      <c r="F516" s="41">
        <v>-77.045838000000003</v>
      </c>
      <c r="G516" s="41">
        <v>-12.036191000000001</v>
      </c>
      <c r="H516" s="41">
        <v>-77.042254999999997</v>
      </c>
      <c r="I516" s="41">
        <v>-12.027426</v>
      </c>
      <c r="J516" s="41">
        <v>-77.058207999999993</v>
      </c>
    </row>
    <row r="517" spans="1:10" x14ac:dyDescent="0.25">
      <c r="A517" s="15" t="s">
        <v>4305</v>
      </c>
      <c r="B517" s="15" t="s">
        <v>4310</v>
      </c>
      <c r="C517" s="42">
        <v>9.4380000000000006</v>
      </c>
      <c r="D517" s="25">
        <v>1.3194444444444444E-2</v>
      </c>
      <c r="E517" s="43">
        <v>-12.058813000000001</v>
      </c>
      <c r="F517" s="43">
        <v>-77.045810000000003</v>
      </c>
      <c r="G517" s="43">
        <v>-12.041223</v>
      </c>
      <c r="H517" s="43">
        <v>-77.034373000000002</v>
      </c>
      <c r="I517" s="43">
        <v>-12.036384999999999</v>
      </c>
      <c r="J517" s="43">
        <v>-77.011679999999998</v>
      </c>
    </row>
    <row r="518" spans="1:10" x14ac:dyDescent="0.25">
      <c r="A518" s="15" t="s">
        <v>4305</v>
      </c>
      <c r="B518" s="15" t="s">
        <v>4311</v>
      </c>
      <c r="C518" s="40">
        <v>3.0950000000000002</v>
      </c>
      <c r="D518" s="29">
        <v>6.9444444444444441E-3</v>
      </c>
      <c r="E518" s="41">
        <v>-12.059053</v>
      </c>
      <c r="F518" s="41">
        <v>-77.045544000000007</v>
      </c>
      <c r="G518" s="41">
        <v>-12.056545</v>
      </c>
      <c r="H518" s="41">
        <v>-77.045877000000004</v>
      </c>
      <c r="I518" s="41">
        <v>-12.060739</v>
      </c>
      <c r="J518" s="41">
        <v>-77.041341000000003</v>
      </c>
    </row>
    <row r="519" spans="1:10" x14ac:dyDescent="0.25">
      <c r="A519" s="15" t="s">
        <v>4305</v>
      </c>
      <c r="B519" s="15" t="s">
        <v>4312</v>
      </c>
      <c r="C519" s="42">
        <v>5.5640000000000001</v>
      </c>
      <c r="D519" s="25">
        <v>1.1805555555555555E-2</v>
      </c>
      <c r="E519" s="43">
        <v>-12.05903</v>
      </c>
      <c r="F519" s="43">
        <v>-77.045533000000006</v>
      </c>
      <c r="G519" s="43">
        <v>-12.056346</v>
      </c>
      <c r="H519" s="43">
        <v>-77.042028000000002</v>
      </c>
      <c r="I519" s="43">
        <v>-12.059912000000001</v>
      </c>
      <c r="J519" s="43">
        <v>-77.036882000000006</v>
      </c>
    </row>
    <row r="520" spans="1:10" x14ac:dyDescent="0.25">
      <c r="A520" s="15" t="s">
        <v>4305</v>
      </c>
      <c r="B520" s="15" t="s">
        <v>4313</v>
      </c>
      <c r="C520" s="40">
        <v>2.63</v>
      </c>
      <c r="D520" s="29">
        <v>7.6388888888888886E-3</v>
      </c>
      <c r="E520" s="41">
        <v>-12.058578000000001</v>
      </c>
      <c r="F520" s="41">
        <v>-77.047197999999995</v>
      </c>
      <c r="G520" s="41">
        <v>-12.067205</v>
      </c>
      <c r="H520" s="41">
        <v>-77.047341000000003</v>
      </c>
      <c r="I520" s="41">
        <v>-12.073798</v>
      </c>
      <c r="J520" s="41">
        <v>-77.047202999999996</v>
      </c>
    </row>
    <row r="521" spans="1:10" x14ac:dyDescent="0.25">
      <c r="A521" s="15" t="s">
        <v>4305</v>
      </c>
      <c r="B521" s="15" t="s">
        <v>4314</v>
      </c>
      <c r="C521" s="42">
        <v>5.2519999999999998</v>
      </c>
      <c r="D521" s="25">
        <v>1.1111111111111112E-2</v>
      </c>
      <c r="E521" s="43">
        <v>-12.066530999999999</v>
      </c>
      <c r="F521" s="43">
        <v>-77.054007999999996</v>
      </c>
      <c r="G521" s="43">
        <v>-12.066803999999999</v>
      </c>
      <c r="H521" s="43">
        <v>-77.061329999999998</v>
      </c>
      <c r="I521" s="43">
        <v>-12.070169999999999</v>
      </c>
      <c r="J521" s="43">
        <v>-77.078039000000004</v>
      </c>
    </row>
    <row r="522" spans="1:10" x14ac:dyDescent="0.25">
      <c r="A522" s="15" t="s">
        <v>4305</v>
      </c>
      <c r="B522" s="15" t="s">
        <v>4315</v>
      </c>
      <c r="C522" s="40">
        <v>14.609</v>
      </c>
      <c r="D522" s="29">
        <v>1.7361111111111112E-2</v>
      </c>
      <c r="E522" s="41">
        <v>-12.059487000000001</v>
      </c>
      <c r="F522" s="41">
        <v>-77.041765999999996</v>
      </c>
      <c r="G522" s="41">
        <v>-12.08808</v>
      </c>
      <c r="H522" s="41">
        <v>-77.024433000000002</v>
      </c>
      <c r="I522" s="41">
        <v>-12.085989</v>
      </c>
      <c r="J522" s="41">
        <v>-76.987696999999997</v>
      </c>
    </row>
    <row r="523" spans="1:10" x14ac:dyDescent="0.25">
      <c r="A523" s="15" t="s">
        <v>4305</v>
      </c>
      <c r="B523" s="15" t="s">
        <v>4316</v>
      </c>
      <c r="C523" s="42">
        <v>5.9409999999999998</v>
      </c>
      <c r="D523" s="25">
        <v>1.2500000000000001E-2</v>
      </c>
      <c r="E523" s="43">
        <v>-12.066530999999999</v>
      </c>
      <c r="F523" s="43">
        <v>-77.054007999999996</v>
      </c>
      <c r="G523" s="43">
        <v>-12.07419</v>
      </c>
      <c r="H523" s="43">
        <v>-77.055824999999999</v>
      </c>
      <c r="I523" s="43">
        <v>-12.089648</v>
      </c>
      <c r="J523" s="43">
        <v>-77.065957999999995</v>
      </c>
    </row>
    <row r="524" spans="1:10" x14ac:dyDescent="0.25">
      <c r="A524" s="15" t="s">
        <v>4305</v>
      </c>
      <c r="B524" s="15" t="s">
        <v>4317</v>
      </c>
      <c r="C524" s="40">
        <v>21.346</v>
      </c>
      <c r="D524" s="29">
        <v>2.2222222222222223E-2</v>
      </c>
      <c r="E524" s="41">
        <v>-12.060066000000001</v>
      </c>
      <c r="F524" s="41">
        <v>-77.042077000000006</v>
      </c>
      <c r="G524" s="41">
        <v>-12.092001</v>
      </c>
      <c r="H524" s="41">
        <v>-77.023199000000005</v>
      </c>
      <c r="I524" s="41">
        <v>-12.127027999999999</v>
      </c>
      <c r="J524" s="41">
        <v>-76.977030999999997</v>
      </c>
    </row>
    <row r="525" spans="1:10" x14ac:dyDescent="0.25">
      <c r="A525" s="15" t="s">
        <v>4305</v>
      </c>
      <c r="B525" s="15" t="s">
        <v>4318</v>
      </c>
      <c r="C525" s="42">
        <v>8.173</v>
      </c>
      <c r="D525" s="25">
        <v>1.1111111111111112E-2</v>
      </c>
      <c r="E525" s="43">
        <v>-12.058890999999999</v>
      </c>
      <c r="F525" s="43">
        <v>-77.045838000000003</v>
      </c>
      <c r="G525" s="43">
        <v>-12.059912000000001</v>
      </c>
      <c r="H525" s="43">
        <v>-77.036882000000006</v>
      </c>
      <c r="I525" s="43">
        <v>-12.091184999999999</v>
      </c>
      <c r="J525" s="43">
        <v>-77.022919000000002</v>
      </c>
    </row>
    <row r="526" spans="1:10" x14ac:dyDescent="0.25">
      <c r="A526" s="15" t="s">
        <v>4305</v>
      </c>
      <c r="B526" s="15" t="s">
        <v>4319</v>
      </c>
      <c r="C526" s="40">
        <v>10.891</v>
      </c>
      <c r="D526" s="29">
        <v>1.4583333333333334E-2</v>
      </c>
      <c r="E526" s="41">
        <v>-12.058813000000001</v>
      </c>
      <c r="F526" s="41">
        <v>-77.045810000000003</v>
      </c>
      <c r="G526" s="41">
        <v>-12.060181</v>
      </c>
      <c r="H526" s="41">
        <v>-77.036090000000002</v>
      </c>
      <c r="I526" s="41">
        <v>-12.092001</v>
      </c>
      <c r="J526" s="41">
        <v>-77.023199000000005</v>
      </c>
    </row>
    <row r="527" spans="1:10" x14ac:dyDescent="0.25">
      <c r="A527" s="15" t="s">
        <v>4305</v>
      </c>
      <c r="B527" s="15" t="s">
        <v>4279</v>
      </c>
      <c r="C527" s="42">
        <v>7.5339999999999998</v>
      </c>
      <c r="D527" s="25">
        <v>1.2500000000000001E-2</v>
      </c>
      <c r="E527" s="43">
        <v>-12.05903</v>
      </c>
      <c r="F527" s="43">
        <v>-77.045533000000006</v>
      </c>
      <c r="G527" s="43">
        <v>-12.05649</v>
      </c>
      <c r="H527" s="43">
        <v>-77.045270000000002</v>
      </c>
      <c r="I527" s="43">
        <v>-12.055408999999999</v>
      </c>
      <c r="J527" s="43">
        <v>-77.057609999999997</v>
      </c>
    </row>
    <row r="528" spans="1:10" x14ac:dyDescent="0.25">
      <c r="A528" s="15" t="s">
        <v>4305</v>
      </c>
      <c r="B528" s="15" t="s">
        <v>4320</v>
      </c>
      <c r="C528" s="40">
        <v>13.805</v>
      </c>
      <c r="D528" s="29">
        <v>1.5277777777777777E-2</v>
      </c>
      <c r="E528" s="41">
        <v>-12.056196</v>
      </c>
      <c r="F528" s="41">
        <v>-77.041777999999994</v>
      </c>
      <c r="G528" s="41">
        <v>-12.041306000000001</v>
      </c>
      <c r="H528" s="41">
        <v>-77.014646999999997</v>
      </c>
      <c r="I528" s="41">
        <v>-12.03538</v>
      </c>
      <c r="J528" s="41">
        <v>-76.989411000000004</v>
      </c>
    </row>
    <row r="529" spans="1:10" x14ac:dyDescent="0.25">
      <c r="A529" s="15" t="s">
        <v>4305</v>
      </c>
      <c r="B529" s="15" t="s">
        <v>4321</v>
      </c>
      <c r="C529" s="42">
        <v>24.305</v>
      </c>
      <c r="D529" s="25">
        <v>2.7777777777777776E-2</v>
      </c>
      <c r="E529" s="43">
        <v>-12.056219</v>
      </c>
      <c r="F529" s="43">
        <v>-77.042044000000004</v>
      </c>
      <c r="G529" s="43">
        <v>-12.035235</v>
      </c>
      <c r="H529" s="43">
        <v>-77.048686000000004</v>
      </c>
      <c r="I529" s="43">
        <v>-11.914160000000001</v>
      </c>
      <c r="J529" s="43">
        <v>-77.073823000000004</v>
      </c>
    </row>
    <row r="530" spans="1:10" x14ac:dyDescent="0.25">
      <c r="A530" s="15" t="s">
        <v>4305</v>
      </c>
      <c r="B530" s="15" t="s">
        <v>4322</v>
      </c>
      <c r="C530" s="40">
        <v>18.489999999999998</v>
      </c>
      <c r="D530" s="29">
        <v>2.0833333333333332E-2</v>
      </c>
      <c r="E530" s="41">
        <v>-12.060778000000001</v>
      </c>
      <c r="F530" s="41">
        <v>-77.041595000000001</v>
      </c>
      <c r="G530" s="41">
        <v>-12.113472</v>
      </c>
      <c r="H530" s="41">
        <v>-77.0261</v>
      </c>
      <c r="I530" s="41">
        <v>-12.149248</v>
      </c>
      <c r="J530" s="41">
        <v>-77.024454000000006</v>
      </c>
    </row>
    <row r="531" spans="1:10" x14ac:dyDescent="0.25">
      <c r="A531" s="15" t="s">
        <v>4305</v>
      </c>
      <c r="B531" s="15" t="s">
        <v>4323</v>
      </c>
      <c r="C531" s="42">
        <v>19</v>
      </c>
      <c r="D531" s="25">
        <v>2.2222222222222223E-2</v>
      </c>
      <c r="E531" s="43">
        <v>-12.060675</v>
      </c>
      <c r="F531" s="43">
        <v>-77.041227000000006</v>
      </c>
      <c r="G531" s="43">
        <v>-12.119611000000001</v>
      </c>
      <c r="H531" s="43">
        <v>-77.025917000000007</v>
      </c>
      <c r="I531" s="43">
        <v>-12.152922</v>
      </c>
      <c r="J531" s="43">
        <v>-77.024518999999998</v>
      </c>
    </row>
    <row r="532" spans="1:10" x14ac:dyDescent="0.25">
      <c r="A532" s="15" t="s">
        <v>4305</v>
      </c>
      <c r="B532" s="15" t="s">
        <v>4324</v>
      </c>
      <c r="C532" s="40">
        <v>3.3820000000000001</v>
      </c>
      <c r="D532" s="29">
        <v>7.6388888888888886E-3</v>
      </c>
      <c r="E532" s="41">
        <v>-12.065726</v>
      </c>
      <c r="F532" s="41">
        <v>-77.053190999999998</v>
      </c>
      <c r="G532" s="41">
        <v>-12.066509999999999</v>
      </c>
      <c r="H532" s="41">
        <v>-77.054659999999998</v>
      </c>
      <c r="I532" s="41">
        <v>-12.06742</v>
      </c>
      <c r="J532" s="41">
        <v>-77.061914000000002</v>
      </c>
    </row>
    <row r="533" spans="1:10" x14ac:dyDescent="0.25">
      <c r="A533" s="15" t="s">
        <v>4305</v>
      </c>
      <c r="B533" s="15" t="s">
        <v>4325</v>
      </c>
      <c r="C533" s="42">
        <v>21.585999999999999</v>
      </c>
      <c r="D533" s="25">
        <v>2.6388888888888889E-2</v>
      </c>
      <c r="E533" s="43">
        <v>-12.059912000000001</v>
      </c>
      <c r="F533" s="43">
        <v>-77.036882000000006</v>
      </c>
      <c r="G533" s="43">
        <v>-12.086715</v>
      </c>
      <c r="H533" s="43">
        <v>-76.995919999999998</v>
      </c>
      <c r="I533" s="43">
        <v>-12.144939000000001</v>
      </c>
      <c r="J533" s="43">
        <v>-76.965765000000005</v>
      </c>
    </row>
    <row r="534" spans="1:10" x14ac:dyDescent="0.25">
      <c r="A534" s="15" t="s">
        <v>4305</v>
      </c>
      <c r="B534" s="15" t="s">
        <v>4268</v>
      </c>
      <c r="C534" s="40">
        <v>8.8989999999999991</v>
      </c>
      <c r="D534" s="29">
        <v>1.2500000000000001E-2</v>
      </c>
      <c r="E534" s="41">
        <v>-12.058813000000001</v>
      </c>
      <c r="F534" s="41">
        <v>-77.045810000000003</v>
      </c>
      <c r="G534" s="41">
        <v>-12.041223</v>
      </c>
      <c r="H534" s="41">
        <v>-77.034373000000002</v>
      </c>
      <c r="I534" s="41">
        <v>-12.036384999999999</v>
      </c>
      <c r="J534" s="41">
        <v>-77.011679999999998</v>
      </c>
    </row>
    <row r="535" spans="1:10" x14ac:dyDescent="0.25">
      <c r="A535" s="15" t="s">
        <v>4306</v>
      </c>
      <c r="B535" s="15" t="s">
        <v>4267</v>
      </c>
      <c r="C535" s="42">
        <v>16.783999999999999</v>
      </c>
      <c r="D535" s="25">
        <v>1.8055555555555554E-2</v>
      </c>
      <c r="E535" s="43">
        <v>-12.125992</v>
      </c>
      <c r="F535" s="43">
        <v>-76.976895999999996</v>
      </c>
      <c r="G535" s="43">
        <v>-12.08501</v>
      </c>
      <c r="H535" s="43">
        <v>-76.985107999999997</v>
      </c>
      <c r="I535" s="43">
        <v>-12.079159000000001</v>
      </c>
      <c r="J535" s="43">
        <v>-77.027724000000006</v>
      </c>
    </row>
    <row r="536" spans="1:10" x14ac:dyDescent="0.25">
      <c r="A536" s="15" t="s">
        <v>4306</v>
      </c>
      <c r="B536" s="15" t="s">
        <v>4280</v>
      </c>
      <c r="C536" s="40">
        <v>10.496</v>
      </c>
      <c r="D536" s="29">
        <v>1.5277777777777777E-2</v>
      </c>
      <c r="E536" s="41">
        <v>-12.146424</v>
      </c>
      <c r="F536" s="41">
        <v>-76.982213999999999</v>
      </c>
      <c r="G536" s="41">
        <v>-12.172369</v>
      </c>
      <c r="H536" s="41">
        <v>-76.982063999999994</v>
      </c>
      <c r="I536" s="41">
        <v>-12.183571000000001</v>
      </c>
      <c r="J536" s="41">
        <v>-77.000992999999994</v>
      </c>
    </row>
    <row r="537" spans="1:10" x14ac:dyDescent="0.25">
      <c r="A537" s="15" t="s">
        <v>4306</v>
      </c>
      <c r="B537" s="15" t="s">
        <v>4281</v>
      </c>
      <c r="C537" s="42">
        <v>11.571999999999999</v>
      </c>
      <c r="D537" s="25">
        <v>1.3194444444444444E-2</v>
      </c>
      <c r="E537" s="43">
        <v>-12.129982999999999</v>
      </c>
      <c r="F537" s="43">
        <v>-76.976703999999998</v>
      </c>
      <c r="G537" s="43">
        <v>-12.084917000000001</v>
      </c>
      <c r="H537" s="43">
        <v>-76.979853000000006</v>
      </c>
      <c r="I537" s="43">
        <v>-12.073943</v>
      </c>
      <c r="J537" s="43">
        <v>-76.961647999999997</v>
      </c>
    </row>
    <row r="538" spans="1:10" x14ac:dyDescent="0.25">
      <c r="A538" s="15" t="s">
        <v>4306</v>
      </c>
      <c r="B538" s="15" t="s">
        <v>4296</v>
      </c>
      <c r="C538" s="40">
        <v>17.506</v>
      </c>
      <c r="D538" s="29">
        <v>1.8055555555555554E-2</v>
      </c>
      <c r="E538" s="41">
        <v>-12.118202</v>
      </c>
      <c r="F538" s="41">
        <v>-76.977143999999996</v>
      </c>
      <c r="G538" s="41">
        <v>-12.086687</v>
      </c>
      <c r="H538" s="41">
        <v>-76.997055000000003</v>
      </c>
      <c r="I538" s="41">
        <v>-12.059535</v>
      </c>
      <c r="J538" s="41">
        <v>-77.035432</v>
      </c>
    </row>
    <row r="539" spans="1:10" x14ac:dyDescent="0.25">
      <c r="A539" s="15" t="s">
        <v>4306</v>
      </c>
      <c r="B539" s="15" t="s">
        <v>4297</v>
      </c>
      <c r="C539" s="42">
        <v>11.8</v>
      </c>
      <c r="D539" s="25">
        <v>1.3194444444444444E-2</v>
      </c>
      <c r="E539" s="43">
        <v>-12.126535000000001</v>
      </c>
      <c r="F539" s="43">
        <v>-76.976707000000005</v>
      </c>
      <c r="G539" s="43">
        <v>-12.084835</v>
      </c>
      <c r="H539" s="43">
        <v>-76.981396000000004</v>
      </c>
      <c r="I539" s="43">
        <v>-12.081877</v>
      </c>
      <c r="J539" s="43">
        <v>-77.004642000000004</v>
      </c>
    </row>
    <row r="540" spans="1:10" x14ac:dyDescent="0.25">
      <c r="A540" s="15" t="s">
        <v>4306</v>
      </c>
      <c r="B540" s="15" t="s">
        <v>4298</v>
      </c>
      <c r="C540" s="40">
        <v>5.4260000000000002</v>
      </c>
      <c r="D540" s="29">
        <v>9.0277777777777769E-3</v>
      </c>
      <c r="E540" s="41">
        <v>-12.130269999999999</v>
      </c>
      <c r="F540" s="41">
        <v>-76.981819000000002</v>
      </c>
      <c r="G540" s="41">
        <v>-12.12777</v>
      </c>
      <c r="H540" s="41">
        <v>-76.987347999999997</v>
      </c>
      <c r="I540" s="41">
        <v>-12.128330999999999</v>
      </c>
      <c r="J540" s="41">
        <v>-77.001260000000002</v>
      </c>
    </row>
    <row r="541" spans="1:10" x14ac:dyDescent="0.25">
      <c r="A541" s="15" t="s">
        <v>4306</v>
      </c>
      <c r="B541" s="15" t="s">
        <v>4299</v>
      </c>
      <c r="C541" s="42">
        <v>7.5910000000000002</v>
      </c>
      <c r="D541" s="25">
        <v>1.3888888888888888E-2</v>
      </c>
      <c r="E541" s="43">
        <v>-12.12998</v>
      </c>
      <c r="F541" s="43">
        <v>-76.981863000000004</v>
      </c>
      <c r="G541" s="43">
        <v>-12.125266</v>
      </c>
      <c r="H541" s="43">
        <v>-77.023939999999996</v>
      </c>
      <c r="I541" s="43">
        <v>-12.114523999999999</v>
      </c>
      <c r="J541" s="43">
        <v>-77.025709000000006</v>
      </c>
    </row>
    <row r="542" spans="1:10" x14ac:dyDescent="0.25">
      <c r="A542" s="15" t="s">
        <v>4306</v>
      </c>
      <c r="B542" s="15" t="s">
        <v>4300</v>
      </c>
      <c r="C542" s="40">
        <v>5.6449999999999996</v>
      </c>
      <c r="D542" s="29">
        <v>7.6388888888888886E-3</v>
      </c>
      <c r="E542" s="41">
        <v>-12.131394999999999</v>
      </c>
      <c r="F542" s="41">
        <v>-76.977688999999998</v>
      </c>
      <c r="G542" s="41">
        <v>-12.126677000000001</v>
      </c>
      <c r="H542" s="41">
        <v>-76.976685000000003</v>
      </c>
      <c r="I542" s="41">
        <v>-12.106166999999999</v>
      </c>
      <c r="J542" s="41">
        <v>-76.978542000000004</v>
      </c>
    </row>
    <row r="543" spans="1:10" x14ac:dyDescent="0.25">
      <c r="A543" s="15" t="s">
        <v>4306</v>
      </c>
      <c r="B543" s="15" t="s">
        <v>4301</v>
      </c>
      <c r="C543" s="42">
        <v>34.090000000000003</v>
      </c>
      <c r="D543" s="25">
        <v>2.7083333333333334E-2</v>
      </c>
      <c r="E543" s="43">
        <v>-12.090525</v>
      </c>
      <c r="F543" s="43">
        <v>-76.980827000000005</v>
      </c>
      <c r="G543" s="43">
        <v>-12.035318999999999</v>
      </c>
      <c r="H543" s="43">
        <v>-76.989223999999993</v>
      </c>
      <c r="I543" s="43">
        <v>-12.039648</v>
      </c>
      <c r="J543" s="43">
        <v>-77.036204999999995</v>
      </c>
    </row>
    <row r="544" spans="1:10" x14ac:dyDescent="0.25">
      <c r="A544" s="15" t="s">
        <v>4306</v>
      </c>
      <c r="B544" s="15" t="s">
        <v>4302</v>
      </c>
      <c r="C544" s="40">
        <v>4.9219999999999997</v>
      </c>
      <c r="D544" s="29">
        <v>9.0277777777777769E-3</v>
      </c>
      <c r="E544" s="41">
        <v>-12.130269999999999</v>
      </c>
      <c r="F544" s="41">
        <v>-76.981819000000002</v>
      </c>
      <c r="G544" s="41">
        <v>-12.127402</v>
      </c>
      <c r="H544" s="41">
        <v>-76.981408999999999</v>
      </c>
      <c r="I544" s="41">
        <v>-12.111765999999999</v>
      </c>
      <c r="J544" s="41">
        <v>-76.993347999999997</v>
      </c>
    </row>
    <row r="545" spans="1:10" x14ac:dyDescent="0.25">
      <c r="A545" s="15" t="s">
        <v>4306</v>
      </c>
      <c r="B545" s="15" t="s">
        <v>4303</v>
      </c>
      <c r="C545" s="42">
        <v>11.701000000000001</v>
      </c>
      <c r="D545" s="25">
        <v>1.3194444444444444E-2</v>
      </c>
      <c r="E545" s="43">
        <v>-12.126535000000001</v>
      </c>
      <c r="F545" s="43">
        <v>-76.976707000000005</v>
      </c>
      <c r="G545" s="43">
        <v>-12.084835</v>
      </c>
      <c r="H545" s="43">
        <v>-76.981396000000004</v>
      </c>
      <c r="I545" s="43">
        <v>-12.081877</v>
      </c>
      <c r="J545" s="43">
        <v>-77.004642000000004</v>
      </c>
    </row>
    <row r="546" spans="1:10" x14ac:dyDescent="0.25">
      <c r="A546" s="15" t="s">
        <v>4306</v>
      </c>
      <c r="B546" s="15" t="s">
        <v>4304</v>
      </c>
      <c r="C546" s="40">
        <v>11.284000000000001</v>
      </c>
      <c r="D546" s="29">
        <v>1.2500000000000001E-2</v>
      </c>
      <c r="E546" s="41">
        <v>-12.126535000000001</v>
      </c>
      <c r="F546" s="41">
        <v>-76.976707000000005</v>
      </c>
      <c r="G546" s="41">
        <v>-12.084835</v>
      </c>
      <c r="H546" s="41">
        <v>-76.981396000000004</v>
      </c>
      <c r="I546" s="41">
        <v>-12.081877</v>
      </c>
      <c r="J546" s="41">
        <v>-77.004642000000004</v>
      </c>
    </row>
    <row r="547" spans="1:10" x14ac:dyDescent="0.25">
      <c r="A547" s="15" t="s">
        <v>4306</v>
      </c>
      <c r="B547" s="15" t="s">
        <v>4269</v>
      </c>
      <c r="C547" s="42">
        <v>16.86</v>
      </c>
      <c r="D547" s="25">
        <v>1.8749999999999999E-2</v>
      </c>
      <c r="E547" s="43">
        <v>-12.133219</v>
      </c>
      <c r="F547" s="43">
        <v>-77.021417999999997</v>
      </c>
      <c r="G547" s="43">
        <v>-12.124416</v>
      </c>
      <c r="H547" s="43">
        <v>-77.040025</v>
      </c>
      <c r="I547" s="43">
        <v>-12.100944999999999</v>
      </c>
      <c r="J547" s="43">
        <v>-77.068091999999993</v>
      </c>
    </row>
    <row r="548" spans="1:10" x14ac:dyDescent="0.25">
      <c r="A548" s="15" t="s">
        <v>4306</v>
      </c>
      <c r="B548" s="15" t="s">
        <v>4305</v>
      </c>
      <c r="C548" s="40">
        <v>16.497</v>
      </c>
      <c r="D548" s="29">
        <v>1.6666666666666666E-2</v>
      </c>
      <c r="E548" s="41">
        <v>-12.091003000000001</v>
      </c>
      <c r="F548" s="41">
        <v>-76.980828000000002</v>
      </c>
      <c r="G548" s="41">
        <v>-12.087743</v>
      </c>
      <c r="H548" s="41">
        <v>-77.001643999999999</v>
      </c>
      <c r="I548" s="41">
        <v>-12.059748000000001</v>
      </c>
      <c r="J548" s="41">
        <v>-77.037045000000006</v>
      </c>
    </row>
    <row r="549" spans="1:10" x14ac:dyDescent="0.25">
      <c r="A549" s="15" t="s">
        <v>4306</v>
      </c>
      <c r="B549" s="15" t="s">
        <v>4306</v>
      </c>
      <c r="C549" s="42">
        <v>0</v>
      </c>
      <c r="D549" s="25">
        <v>0</v>
      </c>
      <c r="E549" s="43">
        <f>'1 ubicaciones'!D16</f>
        <v>-12.077358500000001</v>
      </c>
      <c r="F549" s="43">
        <f>'1 ubicaciones'!E16</f>
        <v>-76.9178268</v>
      </c>
      <c r="G549" s="43">
        <f>'1 ubicaciones'!D16</f>
        <v>-12.077358500000001</v>
      </c>
      <c r="H549" s="43">
        <f>'1 ubicaciones'!E16</f>
        <v>-76.9178268</v>
      </c>
      <c r="I549" s="43">
        <f>'1 ubicaciones'!D16</f>
        <v>-12.077358500000001</v>
      </c>
      <c r="J549" s="43">
        <f>'1 ubicaciones'!E16</f>
        <v>-76.9178268</v>
      </c>
    </row>
    <row r="550" spans="1:10" x14ac:dyDescent="0.25">
      <c r="A550" s="15" t="s">
        <v>4306</v>
      </c>
      <c r="B550" s="15" t="s">
        <v>4277</v>
      </c>
      <c r="C550" s="40">
        <v>13.189</v>
      </c>
      <c r="D550" s="29">
        <v>1.2500000000000001E-2</v>
      </c>
      <c r="E550" s="41">
        <v>-12.13092</v>
      </c>
      <c r="F550" s="41">
        <v>-76.976712000000006</v>
      </c>
      <c r="G550" s="41">
        <v>-12.088260999999999</v>
      </c>
      <c r="H550" s="41">
        <v>-76.981106999999994</v>
      </c>
      <c r="I550" s="41">
        <v>-12.084856</v>
      </c>
      <c r="J550" s="41">
        <v>-76.981634999999997</v>
      </c>
    </row>
    <row r="551" spans="1:10" x14ac:dyDescent="0.25">
      <c r="A551" s="15" t="s">
        <v>4306</v>
      </c>
      <c r="B551" s="15" t="s">
        <v>4307</v>
      </c>
      <c r="C551" s="42">
        <v>13.952999999999999</v>
      </c>
      <c r="D551" s="25">
        <v>1.3888888888888888E-2</v>
      </c>
      <c r="E551" s="43">
        <v>-12.129982999999999</v>
      </c>
      <c r="F551" s="43">
        <v>-76.976703999999998</v>
      </c>
      <c r="G551" s="43">
        <v>-12.084977</v>
      </c>
      <c r="H551" s="43">
        <v>-76.982032000000004</v>
      </c>
      <c r="I551" s="43">
        <v>-12.050679000000001</v>
      </c>
      <c r="J551" s="43">
        <v>-76.977222999999995</v>
      </c>
    </row>
    <row r="552" spans="1:10" x14ac:dyDescent="0.25">
      <c r="A552" s="15" t="s">
        <v>4306</v>
      </c>
      <c r="B552" s="15" t="s">
        <v>4308</v>
      </c>
      <c r="C552" s="40">
        <v>17.863</v>
      </c>
      <c r="D552" s="29">
        <v>2.1527777777777778E-2</v>
      </c>
      <c r="E552" s="41">
        <v>-12.133087</v>
      </c>
      <c r="F552" s="41">
        <v>-77.021458999999993</v>
      </c>
      <c r="G552" s="41">
        <v>-12.126901</v>
      </c>
      <c r="H552" s="41">
        <v>-77.037283000000002</v>
      </c>
      <c r="I552" s="41">
        <v>-12.104105000000001</v>
      </c>
      <c r="J552" s="41">
        <v>-77.063557000000003</v>
      </c>
    </row>
    <row r="553" spans="1:10" x14ac:dyDescent="0.25">
      <c r="A553" s="15" t="s">
        <v>4306</v>
      </c>
      <c r="B553" s="15" t="s">
        <v>4309</v>
      </c>
      <c r="C553" s="42">
        <v>13.38</v>
      </c>
      <c r="D553" s="25">
        <v>1.1805555555555555E-2</v>
      </c>
      <c r="E553" s="43">
        <v>-12.129733999999999</v>
      </c>
      <c r="F553" s="43">
        <v>-76.976665999999994</v>
      </c>
      <c r="G553" s="43">
        <v>-12.084303</v>
      </c>
      <c r="H553" s="43">
        <v>-76.981491000000005</v>
      </c>
      <c r="I553" s="43">
        <v>-12.087743</v>
      </c>
      <c r="J553" s="43">
        <v>-77.001643999999999</v>
      </c>
    </row>
    <row r="554" spans="1:10" x14ac:dyDescent="0.25">
      <c r="A554" s="15" t="s">
        <v>4306</v>
      </c>
      <c r="B554" s="15" t="s">
        <v>4278</v>
      </c>
      <c r="C554" s="40">
        <v>25.638999999999999</v>
      </c>
      <c r="D554" s="29">
        <v>2.0833333333333332E-2</v>
      </c>
      <c r="E554" s="41">
        <v>-12.090525</v>
      </c>
      <c r="F554" s="41">
        <v>-76.980827000000005</v>
      </c>
      <c r="G554" s="41">
        <v>-12.035318999999999</v>
      </c>
      <c r="H554" s="41">
        <v>-76.989223999999993</v>
      </c>
      <c r="I554" s="41">
        <v>-12.038727</v>
      </c>
      <c r="J554" s="41">
        <v>-77.037231000000006</v>
      </c>
    </row>
    <row r="555" spans="1:10" x14ac:dyDescent="0.25">
      <c r="A555" s="15" t="s">
        <v>4306</v>
      </c>
      <c r="B555" s="15" t="s">
        <v>4310</v>
      </c>
      <c r="C555" s="42">
        <v>14.917999999999999</v>
      </c>
      <c r="D555" s="25">
        <v>1.4583333333333334E-2</v>
      </c>
      <c r="E555" s="43">
        <v>-12.126677000000001</v>
      </c>
      <c r="F555" s="43">
        <v>-76.976685000000003</v>
      </c>
      <c r="G555" s="43">
        <v>-12.067546999999999</v>
      </c>
      <c r="H555" s="43">
        <v>-76.971515999999994</v>
      </c>
      <c r="I555" s="43">
        <v>-12.030612</v>
      </c>
      <c r="J555" s="43">
        <v>-76.993185999999994</v>
      </c>
    </row>
    <row r="556" spans="1:10" x14ac:dyDescent="0.25">
      <c r="A556" s="15" t="s">
        <v>4306</v>
      </c>
      <c r="B556" s="15" t="s">
        <v>4311</v>
      </c>
      <c r="C556" s="40">
        <v>15.275</v>
      </c>
      <c r="D556" s="29">
        <v>1.5277777777777777E-2</v>
      </c>
      <c r="E556" s="41">
        <v>-12.118202</v>
      </c>
      <c r="F556" s="41">
        <v>-76.977143999999996</v>
      </c>
      <c r="G556" s="41">
        <v>-12.086687</v>
      </c>
      <c r="H556" s="41">
        <v>-76.997055000000003</v>
      </c>
      <c r="I556" s="41">
        <v>-12.065011999999999</v>
      </c>
      <c r="J556" s="41">
        <v>-77.033253000000002</v>
      </c>
    </row>
    <row r="557" spans="1:10" x14ac:dyDescent="0.25">
      <c r="A557" s="15" t="s">
        <v>4306</v>
      </c>
      <c r="B557" s="15" t="s">
        <v>4312</v>
      </c>
      <c r="C557" s="42">
        <v>12.009</v>
      </c>
      <c r="D557" s="25">
        <v>1.3888888888888888E-2</v>
      </c>
      <c r="E557" s="43">
        <v>-12.126677000000001</v>
      </c>
      <c r="F557" s="43">
        <v>-76.976685000000003</v>
      </c>
      <c r="G557" s="43">
        <v>-12.084455999999999</v>
      </c>
      <c r="H557" s="43">
        <v>-76.980693000000002</v>
      </c>
      <c r="I557" s="43">
        <v>-12.087327999999999</v>
      </c>
      <c r="J557" s="43">
        <v>-77.003577000000007</v>
      </c>
    </row>
    <row r="558" spans="1:10" x14ac:dyDescent="0.25">
      <c r="A558" s="15" t="s">
        <v>4306</v>
      </c>
      <c r="B558" s="15" t="s">
        <v>4313</v>
      </c>
      <c r="C558" s="40">
        <v>17.617999999999999</v>
      </c>
      <c r="D558" s="29">
        <v>1.8055555555555554E-2</v>
      </c>
      <c r="E558" s="41">
        <v>-12.091003000000001</v>
      </c>
      <c r="F558" s="41">
        <v>-76.980828000000002</v>
      </c>
      <c r="G558" s="41">
        <v>-12.087743</v>
      </c>
      <c r="H558" s="41">
        <v>-77.001643999999999</v>
      </c>
      <c r="I558" s="41">
        <v>-12.060452</v>
      </c>
      <c r="J558" s="41">
        <v>-77.036019999999994</v>
      </c>
    </row>
    <row r="559" spans="1:10" x14ac:dyDescent="0.25">
      <c r="A559" s="15" t="s">
        <v>4306</v>
      </c>
      <c r="B559" s="15" t="s">
        <v>4314</v>
      </c>
      <c r="C559" s="42">
        <v>18.012</v>
      </c>
      <c r="D559" s="25">
        <v>2.1527777777777778E-2</v>
      </c>
      <c r="E559" s="43">
        <v>-12.129733999999999</v>
      </c>
      <c r="F559" s="43">
        <v>-76.976665999999994</v>
      </c>
      <c r="G559" s="43">
        <v>-12.084303</v>
      </c>
      <c r="H559" s="43">
        <v>-76.981491000000005</v>
      </c>
      <c r="I559" s="43">
        <v>-12.087743</v>
      </c>
      <c r="J559" s="43">
        <v>-77.001643999999999</v>
      </c>
    </row>
    <row r="560" spans="1:10" x14ac:dyDescent="0.25">
      <c r="A560" s="15" t="s">
        <v>4306</v>
      </c>
      <c r="B560" s="15" t="s">
        <v>4315</v>
      </c>
      <c r="C560" s="40">
        <v>3.9169999999999998</v>
      </c>
      <c r="D560" s="29">
        <v>5.5555555555555558E-3</v>
      </c>
      <c r="E560" s="41">
        <v>-12.129968999999999</v>
      </c>
      <c r="F560" s="41">
        <v>-76.981477999999996</v>
      </c>
      <c r="G560" s="41">
        <v>-12.129733999999999</v>
      </c>
      <c r="H560" s="41">
        <v>-76.976665999999994</v>
      </c>
      <c r="I560" s="41">
        <v>-12.113315</v>
      </c>
      <c r="J560" s="41">
        <v>-76.977732000000003</v>
      </c>
    </row>
    <row r="561" spans="1:10" x14ac:dyDescent="0.25">
      <c r="A561" s="15" t="s">
        <v>4306</v>
      </c>
      <c r="B561" s="15" t="s">
        <v>4316</v>
      </c>
      <c r="C561" s="42">
        <v>14.936999999999999</v>
      </c>
      <c r="D561" s="25">
        <v>1.5972222222222221E-2</v>
      </c>
      <c r="E561" s="43">
        <v>-12.130022</v>
      </c>
      <c r="F561" s="43">
        <v>-76.976737</v>
      </c>
      <c r="G561" s="43">
        <v>-12.086551999999999</v>
      </c>
      <c r="H561" s="43">
        <v>-76.981955999999997</v>
      </c>
      <c r="I561" s="43">
        <v>-12.086781</v>
      </c>
      <c r="J561" s="43">
        <v>-76.994743999999997</v>
      </c>
    </row>
    <row r="562" spans="1:10" x14ac:dyDescent="0.25">
      <c r="A562" s="15" t="s">
        <v>4306</v>
      </c>
      <c r="B562" s="15" t="s">
        <v>4317</v>
      </c>
      <c r="C562" s="40">
        <v>6.1289999999999996</v>
      </c>
      <c r="D562" s="29">
        <v>8.3333333333333332E-3</v>
      </c>
      <c r="E562" s="41">
        <v>-12.130889</v>
      </c>
      <c r="F562" s="41">
        <v>-76.979062999999996</v>
      </c>
      <c r="G562" s="41">
        <v>-12.146687</v>
      </c>
      <c r="H562" s="41">
        <v>-76.982330000000005</v>
      </c>
      <c r="I562" s="41">
        <v>-12.149481</v>
      </c>
      <c r="J562" s="41">
        <v>-76.984437999999997</v>
      </c>
    </row>
    <row r="563" spans="1:10" x14ac:dyDescent="0.25">
      <c r="A563" s="15" t="s">
        <v>4306</v>
      </c>
      <c r="B563" s="15" t="s">
        <v>4318</v>
      </c>
      <c r="C563" s="42">
        <v>9.4600000000000009</v>
      </c>
      <c r="D563" s="25">
        <v>9.7222222222222224E-3</v>
      </c>
      <c r="E563" s="43">
        <v>-12.13092</v>
      </c>
      <c r="F563" s="43">
        <v>-76.976712000000006</v>
      </c>
      <c r="G563" s="43">
        <v>-12.088260999999999</v>
      </c>
      <c r="H563" s="43">
        <v>-76.981106999999994</v>
      </c>
      <c r="I563" s="43">
        <v>-12.084856</v>
      </c>
      <c r="J563" s="43">
        <v>-76.981634999999997</v>
      </c>
    </row>
    <row r="564" spans="1:10" x14ac:dyDescent="0.25">
      <c r="A564" s="15" t="s">
        <v>4306</v>
      </c>
      <c r="B564" s="15" t="s">
        <v>4319</v>
      </c>
      <c r="C564" s="40">
        <v>3.8650000000000002</v>
      </c>
      <c r="D564" s="29">
        <v>6.2500000000000003E-3</v>
      </c>
      <c r="E564" s="41">
        <v>-12.130269999999999</v>
      </c>
      <c r="F564" s="41">
        <v>-76.981819000000002</v>
      </c>
      <c r="G564" s="41">
        <v>-12.127402</v>
      </c>
      <c r="H564" s="41">
        <v>-76.981408999999999</v>
      </c>
      <c r="I564" s="41">
        <v>-12.111765999999999</v>
      </c>
      <c r="J564" s="41">
        <v>-76.993347999999997</v>
      </c>
    </row>
    <row r="565" spans="1:10" x14ac:dyDescent="0.25">
      <c r="A565" s="15" t="s">
        <v>4306</v>
      </c>
      <c r="B565" s="15" t="s">
        <v>4279</v>
      </c>
      <c r="C565" s="42">
        <v>27.62</v>
      </c>
      <c r="D565" s="25">
        <v>2.361111111111111E-2</v>
      </c>
      <c r="E565" s="43">
        <v>-12.084977</v>
      </c>
      <c r="F565" s="43">
        <v>-76.982032000000004</v>
      </c>
      <c r="G565" s="43">
        <v>-12.031862</v>
      </c>
      <c r="H565" s="43">
        <v>-77.005296999999999</v>
      </c>
      <c r="I565" s="43">
        <v>-12.036118</v>
      </c>
      <c r="J565" s="43">
        <v>-77.050306000000006</v>
      </c>
    </row>
    <row r="566" spans="1:10" x14ac:dyDescent="0.25">
      <c r="A566" s="15" t="s">
        <v>4306</v>
      </c>
      <c r="B566" s="15" t="s">
        <v>4320</v>
      </c>
      <c r="C566" s="40">
        <v>9.8930000000000007</v>
      </c>
      <c r="D566" s="29">
        <v>1.0416666666666666E-2</v>
      </c>
      <c r="E566" s="41">
        <v>-12.13092</v>
      </c>
      <c r="F566" s="41">
        <v>-76.976712000000006</v>
      </c>
      <c r="G566" s="41">
        <v>-12.088260999999999</v>
      </c>
      <c r="H566" s="41">
        <v>-76.981106999999994</v>
      </c>
      <c r="I566" s="41">
        <v>-12.065941</v>
      </c>
      <c r="J566" s="41">
        <v>-76.971232999999998</v>
      </c>
    </row>
    <row r="567" spans="1:10" x14ac:dyDescent="0.25">
      <c r="A567" s="15" t="s">
        <v>4306</v>
      </c>
      <c r="B567" s="15" t="s">
        <v>4321</v>
      </c>
      <c r="C567" s="42">
        <v>39.981999999999999</v>
      </c>
      <c r="D567" s="25">
        <v>3.5416666666666666E-2</v>
      </c>
      <c r="E567" s="43">
        <v>-12.084977</v>
      </c>
      <c r="F567" s="43">
        <v>-76.982032000000004</v>
      </c>
      <c r="G567" s="43">
        <v>-12.031862</v>
      </c>
      <c r="H567" s="43">
        <v>-77.005296999999999</v>
      </c>
      <c r="I567" s="43">
        <v>-12.009463999999999</v>
      </c>
      <c r="J567" s="43">
        <v>-77.060941999999997</v>
      </c>
    </row>
    <row r="568" spans="1:10" x14ac:dyDescent="0.25">
      <c r="A568" s="15" t="s">
        <v>4306</v>
      </c>
      <c r="B568" s="15" t="s">
        <v>4322</v>
      </c>
      <c r="C568" s="40">
        <v>15.451000000000001</v>
      </c>
      <c r="D568" s="29">
        <v>1.3888888888888888E-2</v>
      </c>
      <c r="E568" s="41">
        <v>-12.131292</v>
      </c>
      <c r="F568" s="41">
        <v>-76.978775999999996</v>
      </c>
      <c r="G568" s="41">
        <v>-12.156287000000001</v>
      </c>
      <c r="H568" s="41">
        <v>-76.983540000000005</v>
      </c>
      <c r="I568" s="41">
        <v>-12.217385999999999</v>
      </c>
      <c r="J568" s="41">
        <v>-76.979371</v>
      </c>
    </row>
    <row r="569" spans="1:10" x14ac:dyDescent="0.25">
      <c r="A569" s="15" t="s">
        <v>4306</v>
      </c>
      <c r="B569" s="15" t="s">
        <v>4323</v>
      </c>
      <c r="C569" s="42">
        <v>8.3249999999999993</v>
      </c>
      <c r="D569" s="25">
        <v>1.1111111111111112E-2</v>
      </c>
      <c r="E569" s="43">
        <v>-12.133177999999999</v>
      </c>
      <c r="F569" s="43">
        <v>-76.979270999999997</v>
      </c>
      <c r="G569" s="43">
        <v>-12.162846</v>
      </c>
      <c r="H569" s="43">
        <v>-76.981885000000005</v>
      </c>
      <c r="I569" s="43">
        <v>-12.173778</v>
      </c>
      <c r="J569" s="43">
        <v>-76.988288999999995</v>
      </c>
    </row>
    <row r="570" spans="1:10" x14ac:dyDescent="0.25">
      <c r="A570" s="15" t="s">
        <v>4306</v>
      </c>
      <c r="B570" s="15" t="s">
        <v>4324</v>
      </c>
      <c r="C570" s="40">
        <v>16.943000000000001</v>
      </c>
      <c r="D570" s="29">
        <v>2.013888888888889E-2</v>
      </c>
      <c r="E570" s="41">
        <v>-12.129232</v>
      </c>
      <c r="F570" s="41">
        <v>-76.976668000000004</v>
      </c>
      <c r="G570" s="41">
        <v>-12.084135</v>
      </c>
      <c r="H570" s="41">
        <v>-76.980840999999998</v>
      </c>
      <c r="I570" s="41">
        <v>-12.094606000000001</v>
      </c>
      <c r="J570" s="41">
        <v>-77.050668000000002</v>
      </c>
    </row>
    <row r="571" spans="1:10" x14ac:dyDescent="0.25">
      <c r="A571" s="15" t="s">
        <v>4306</v>
      </c>
      <c r="B571" s="15" t="s">
        <v>4325</v>
      </c>
      <c r="C571" s="42">
        <v>6.5830000000000002</v>
      </c>
      <c r="D571" s="25">
        <v>1.3194444444444444E-2</v>
      </c>
      <c r="E571" s="43">
        <v>-12.134471</v>
      </c>
      <c r="F571" s="43">
        <v>-76.976588000000007</v>
      </c>
      <c r="G571" s="43">
        <v>-12.143452999999999</v>
      </c>
      <c r="H571" s="43">
        <v>-76.964398000000003</v>
      </c>
      <c r="I571" s="43">
        <v>-12.140689</v>
      </c>
      <c r="J571" s="43">
        <v>-76.955252999999999</v>
      </c>
    </row>
    <row r="572" spans="1:10" x14ac:dyDescent="0.25">
      <c r="A572" s="15" t="s">
        <v>4306</v>
      </c>
      <c r="B572" s="15" t="s">
        <v>4268</v>
      </c>
      <c r="C572" s="40">
        <v>14.379</v>
      </c>
      <c r="D572" s="29">
        <v>1.3194444444444444E-2</v>
      </c>
      <c r="E572" s="41">
        <v>-12.126677000000001</v>
      </c>
      <c r="F572" s="41">
        <v>-76.976685000000003</v>
      </c>
      <c r="G572" s="41">
        <v>-12.067546999999999</v>
      </c>
      <c r="H572" s="41">
        <v>-76.971515999999994</v>
      </c>
      <c r="I572" s="41">
        <v>-12.030612</v>
      </c>
      <c r="J572" s="41">
        <v>-76.993185999999994</v>
      </c>
    </row>
    <row r="573" spans="1:10" x14ac:dyDescent="0.25">
      <c r="A573" s="15" t="s">
        <v>4277</v>
      </c>
      <c r="B573" s="15" t="s">
        <v>4267</v>
      </c>
      <c r="C573" s="42">
        <v>9.0830000000000002</v>
      </c>
      <c r="D573" s="25">
        <v>1.4583333333333334E-2</v>
      </c>
      <c r="E573" s="43">
        <v>-12.093082000000001</v>
      </c>
      <c r="F573" s="43">
        <v>-77.038628000000003</v>
      </c>
      <c r="G573" s="43">
        <v>-12.091628</v>
      </c>
      <c r="H573" s="43">
        <v>-77.022411000000005</v>
      </c>
      <c r="I573" s="43">
        <v>-12.059535</v>
      </c>
      <c r="J573" s="43">
        <v>-77.035432</v>
      </c>
    </row>
    <row r="574" spans="1:10" x14ac:dyDescent="0.25">
      <c r="A574" s="15" t="s">
        <v>4277</v>
      </c>
      <c r="B574" s="15" t="s">
        <v>4280</v>
      </c>
      <c r="C574" s="40">
        <v>14.289</v>
      </c>
      <c r="D574" s="29">
        <v>1.7361111111111112E-2</v>
      </c>
      <c r="E574" s="41">
        <v>-12.094223</v>
      </c>
      <c r="F574" s="41">
        <v>-77.024037000000007</v>
      </c>
      <c r="G574" s="41">
        <v>-12.134446000000001</v>
      </c>
      <c r="H574" s="41">
        <v>-77.021733999999995</v>
      </c>
      <c r="I574" s="41">
        <v>-12.162065</v>
      </c>
      <c r="J574" s="41">
        <v>-77.025720000000007</v>
      </c>
    </row>
    <row r="575" spans="1:10" x14ac:dyDescent="0.25">
      <c r="A575" s="15" t="s">
        <v>4277</v>
      </c>
      <c r="B575" s="15" t="s">
        <v>4281</v>
      </c>
      <c r="C575" s="42">
        <v>13.082000000000001</v>
      </c>
      <c r="D575" s="25">
        <v>1.6666666666666666E-2</v>
      </c>
      <c r="E575" s="43">
        <v>-12.092366999999999</v>
      </c>
      <c r="F575" s="43">
        <v>-77.033585000000002</v>
      </c>
      <c r="G575" s="43">
        <v>-12.083558</v>
      </c>
      <c r="H575" s="43">
        <v>-76.970836000000006</v>
      </c>
      <c r="I575" s="43">
        <v>-12.068479999999999</v>
      </c>
      <c r="J575" s="43">
        <v>-76.946973999999997</v>
      </c>
    </row>
    <row r="576" spans="1:10" x14ac:dyDescent="0.25">
      <c r="A576" s="15" t="s">
        <v>4277</v>
      </c>
      <c r="B576" s="15" t="s">
        <v>4296</v>
      </c>
      <c r="C576" s="40">
        <v>3.113</v>
      </c>
      <c r="D576" s="29">
        <v>8.3333333333333332E-3</v>
      </c>
      <c r="E576" s="41">
        <v>-12.090883</v>
      </c>
      <c r="F576" s="41">
        <v>-77.046633999999997</v>
      </c>
      <c r="G576" s="41">
        <v>-12.085307</v>
      </c>
      <c r="H576" s="41">
        <v>-77.048638999999994</v>
      </c>
      <c r="I576" s="41">
        <v>-12.080117</v>
      </c>
      <c r="J576" s="41">
        <v>-77.048687000000001</v>
      </c>
    </row>
    <row r="577" spans="1:10" x14ac:dyDescent="0.25">
      <c r="A577" s="15" t="s">
        <v>4277</v>
      </c>
      <c r="B577" s="15" t="s">
        <v>4297</v>
      </c>
      <c r="C577" s="42">
        <v>7.6539999999999999</v>
      </c>
      <c r="D577" s="25">
        <v>1.2500000000000001E-2</v>
      </c>
      <c r="E577" s="43">
        <v>-12.093082000000001</v>
      </c>
      <c r="F577" s="43">
        <v>-77.038628000000003</v>
      </c>
      <c r="G577" s="43">
        <v>-12.091602999999999</v>
      </c>
      <c r="H577" s="43">
        <v>-77.022482999999994</v>
      </c>
      <c r="I577" s="43">
        <v>-12.076604</v>
      </c>
      <c r="J577" s="43">
        <v>-77.027676999999997</v>
      </c>
    </row>
    <row r="578" spans="1:10" x14ac:dyDescent="0.25">
      <c r="A578" s="15" t="s">
        <v>4277</v>
      </c>
      <c r="B578" s="15" t="s">
        <v>4298</v>
      </c>
      <c r="C578" s="40">
        <v>5.1890000000000001</v>
      </c>
      <c r="D578" s="29">
        <v>1.0416666666666666E-2</v>
      </c>
      <c r="E578" s="41">
        <v>-12.091364</v>
      </c>
      <c r="F578" s="41">
        <v>-77.038876999999999</v>
      </c>
      <c r="G578" s="41">
        <v>-12.091576999999999</v>
      </c>
      <c r="H578" s="41">
        <v>-77.027016000000003</v>
      </c>
      <c r="I578" s="41">
        <v>-12.094746000000001</v>
      </c>
      <c r="J578" s="41">
        <v>-77.023841000000004</v>
      </c>
    </row>
    <row r="579" spans="1:10" x14ac:dyDescent="0.25">
      <c r="A579" s="15" t="s">
        <v>4277</v>
      </c>
      <c r="B579" s="15" t="s">
        <v>4299</v>
      </c>
      <c r="C579" s="42">
        <v>4.3780000000000001</v>
      </c>
      <c r="D579" s="25">
        <v>9.0277777777777769E-3</v>
      </c>
      <c r="E579" s="43">
        <v>-12.093677</v>
      </c>
      <c r="F579" s="43">
        <v>-77.043912000000006</v>
      </c>
      <c r="G579" s="43">
        <v>-12.100557999999999</v>
      </c>
      <c r="H579" s="43">
        <v>-77.038267000000005</v>
      </c>
      <c r="I579" s="43">
        <v>-12.107473000000001</v>
      </c>
      <c r="J579" s="43">
        <v>-77.039525999999995</v>
      </c>
    </row>
    <row r="580" spans="1:10" x14ac:dyDescent="0.25">
      <c r="A580" s="15" t="s">
        <v>4277</v>
      </c>
      <c r="B580" s="15" t="s">
        <v>4300</v>
      </c>
      <c r="C580" s="40">
        <v>9.9499999999999993</v>
      </c>
      <c r="D580" s="29">
        <v>1.2500000000000001E-2</v>
      </c>
      <c r="E580" s="41">
        <v>-12.092936999999999</v>
      </c>
      <c r="F580" s="41">
        <v>-77.038650000000004</v>
      </c>
      <c r="G580" s="41">
        <v>-12.086</v>
      </c>
      <c r="H580" s="41">
        <v>-76.987904999999998</v>
      </c>
      <c r="I580" s="41">
        <v>-12.094654999999999</v>
      </c>
      <c r="J580" s="41">
        <v>-76.980564999999999</v>
      </c>
    </row>
    <row r="581" spans="1:10" x14ac:dyDescent="0.25">
      <c r="A581" s="15" t="s">
        <v>4277</v>
      </c>
      <c r="B581" s="15" t="s">
        <v>4301</v>
      </c>
      <c r="C581" s="42">
        <v>22.277000000000001</v>
      </c>
      <c r="D581" s="25">
        <v>2.7777777777777776E-2</v>
      </c>
      <c r="E581" s="43">
        <v>-12.079477000000001</v>
      </c>
      <c r="F581" s="43">
        <v>-77.042158000000001</v>
      </c>
      <c r="G581" s="43">
        <v>-12.059704999999999</v>
      </c>
      <c r="H581" s="43">
        <v>-77.041415999999998</v>
      </c>
      <c r="I581" s="43">
        <v>-12.035235</v>
      </c>
      <c r="J581" s="43">
        <v>-77.048686000000004</v>
      </c>
    </row>
    <row r="582" spans="1:10" x14ac:dyDescent="0.25">
      <c r="A582" s="15" t="s">
        <v>4277</v>
      </c>
      <c r="B582" s="15" t="s">
        <v>4302</v>
      </c>
      <c r="C582" s="40">
        <v>5.9939999999999998</v>
      </c>
      <c r="D582" s="29">
        <v>1.1111111111111112E-2</v>
      </c>
      <c r="E582" s="41">
        <v>-12.091429</v>
      </c>
      <c r="F582" s="41">
        <v>-77.044241</v>
      </c>
      <c r="G582" s="41">
        <v>-12.092936999999999</v>
      </c>
      <c r="H582" s="41">
        <v>-77.038650000000004</v>
      </c>
      <c r="I582" s="41">
        <v>-12.089136999999999</v>
      </c>
      <c r="J582" s="41">
        <v>-77.010574000000005</v>
      </c>
    </row>
    <row r="583" spans="1:10" x14ac:dyDescent="0.25">
      <c r="A583" s="15" t="s">
        <v>4277</v>
      </c>
      <c r="B583" s="15" t="s">
        <v>4303</v>
      </c>
      <c r="C583" s="42">
        <v>7.3929999999999998</v>
      </c>
      <c r="D583" s="25">
        <v>1.1805555555555555E-2</v>
      </c>
      <c r="E583" s="43">
        <v>-12.093082000000001</v>
      </c>
      <c r="F583" s="43">
        <v>-77.038628000000003</v>
      </c>
      <c r="G583" s="43">
        <v>-12.091602999999999</v>
      </c>
      <c r="H583" s="43">
        <v>-77.022482999999994</v>
      </c>
      <c r="I583" s="43">
        <v>-12.076604</v>
      </c>
      <c r="J583" s="43">
        <v>-77.027676999999997</v>
      </c>
    </row>
    <row r="584" spans="1:10" x14ac:dyDescent="0.25">
      <c r="A584" s="15" t="s">
        <v>4277</v>
      </c>
      <c r="B584" s="15" t="s">
        <v>4304</v>
      </c>
      <c r="C584" s="40">
        <v>7.1260000000000003</v>
      </c>
      <c r="D584" s="29">
        <v>1.1111111111111112E-2</v>
      </c>
      <c r="E584" s="41">
        <v>-12.092936999999999</v>
      </c>
      <c r="F584" s="41">
        <v>-77.038650000000004</v>
      </c>
      <c r="G584" s="41">
        <v>-12.091449000000001</v>
      </c>
      <c r="H584" s="41">
        <v>-77.022079000000005</v>
      </c>
      <c r="I584" s="41">
        <v>-12.077412000000001</v>
      </c>
      <c r="J584" s="41">
        <v>-77.028380999999996</v>
      </c>
    </row>
    <row r="585" spans="1:10" x14ac:dyDescent="0.25">
      <c r="A585" s="15" t="s">
        <v>4277</v>
      </c>
      <c r="B585" s="15" t="s">
        <v>4269</v>
      </c>
      <c r="C585" s="42">
        <v>4.9859999999999998</v>
      </c>
      <c r="D585" s="25">
        <v>1.0416666666666666E-2</v>
      </c>
      <c r="E585" s="43">
        <v>-12.092090000000001</v>
      </c>
      <c r="F585" s="43">
        <v>-77.044146999999995</v>
      </c>
      <c r="G585" s="43">
        <v>-12.093752</v>
      </c>
      <c r="H585" s="43">
        <v>-77.057192000000001</v>
      </c>
      <c r="I585" s="43">
        <v>-12.089727</v>
      </c>
      <c r="J585" s="43">
        <v>-77.066023000000001</v>
      </c>
    </row>
    <row r="586" spans="1:10" x14ac:dyDescent="0.25">
      <c r="A586" s="15" t="s">
        <v>4277</v>
      </c>
      <c r="B586" s="15" t="s">
        <v>4305</v>
      </c>
      <c r="C586" s="40">
        <v>5.7549999999999999</v>
      </c>
      <c r="D586" s="29">
        <v>1.1111111111111112E-2</v>
      </c>
      <c r="E586" s="41">
        <v>-12.080669</v>
      </c>
      <c r="F586" s="41">
        <v>-77.042435999999995</v>
      </c>
      <c r="G586" s="41">
        <v>-12.064363999999999</v>
      </c>
      <c r="H586" s="41">
        <v>-77.039272999999994</v>
      </c>
      <c r="I586" s="41">
        <v>-12.061985</v>
      </c>
      <c r="J586" s="41">
        <v>-77.043244000000001</v>
      </c>
    </row>
    <row r="587" spans="1:10" x14ac:dyDescent="0.25">
      <c r="A587" s="15" t="s">
        <v>4277</v>
      </c>
      <c r="B587" s="15" t="s">
        <v>4306</v>
      </c>
      <c r="C587" s="42">
        <v>12.608000000000001</v>
      </c>
      <c r="D587" s="25">
        <v>1.3194444444444444E-2</v>
      </c>
      <c r="E587" s="43">
        <v>-12.091435000000001</v>
      </c>
      <c r="F587" s="43">
        <v>-77.038866999999996</v>
      </c>
      <c r="G587" s="43">
        <v>-12.086715</v>
      </c>
      <c r="H587" s="43">
        <v>-76.995919999999998</v>
      </c>
      <c r="I587" s="43">
        <v>-12.08907</v>
      </c>
      <c r="J587" s="43">
        <v>-76.981326999999993</v>
      </c>
    </row>
    <row r="588" spans="1:10" x14ac:dyDescent="0.25">
      <c r="A588" s="15" t="s">
        <v>4277</v>
      </c>
      <c r="B588" s="15" t="s">
        <v>4277</v>
      </c>
      <c r="C588" s="40">
        <v>0</v>
      </c>
      <c r="D588" s="29">
        <v>0</v>
      </c>
      <c r="E588" s="41" t="str">
        <f>'1 ubicaciones'!D17</f>
        <v>-122.752.652</v>
      </c>
      <c r="F588" s="41" t="str">
        <f>'1 ubicaciones'!E17</f>
        <v>-7.687.161.549.999.990</v>
      </c>
      <c r="G588" s="41" t="str">
        <f>'1 ubicaciones'!D17</f>
        <v>-122.752.652</v>
      </c>
      <c r="H588" s="41" t="str">
        <f>'1 ubicaciones'!E17</f>
        <v>-7.687.161.549.999.990</v>
      </c>
      <c r="I588" s="41" t="str">
        <f>'1 ubicaciones'!D17</f>
        <v>-122.752.652</v>
      </c>
      <c r="J588" s="41" t="str">
        <f>'1 ubicaciones'!E17</f>
        <v>-7.687.161.549.999.990</v>
      </c>
    </row>
    <row r="589" spans="1:10" x14ac:dyDescent="0.25">
      <c r="A589" s="15" t="s">
        <v>4277</v>
      </c>
      <c r="B589" s="15" t="s">
        <v>4307</v>
      </c>
      <c r="C589" s="42">
        <v>15.611000000000001</v>
      </c>
      <c r="D589" s="25">
        <v>1.7361111111111112E-2</v>
      </c>
      <c r="E589" s="43">
        <v>-12.087278</v>
      </c>
      <c r="F589" s="43">
        <v>-76.998057000000003</v>
      </c>
      <c r="G589" s="43">
        <v>-12.085457999999999</v>
      </c>
      <c r="H589" s="43">
        <v>-76.982181999999995</v>
      </c>
      <c r="I589" s="43">
        <v>-12.052244</v>
      </c>
      <c r="J589" s="43">
        <v>-76.976022999999998</v>
      </c>
    </row>
    <row r="590" spans="1:10" x14ac:dyDescent="0.25">
      <c r="A590" s="15" t="s">
        <v>4277</v>
      </c>
      <c r="B590" s="15" t="s">
        <v>4308</v>
      </c>
      <c r="C590" s="40">
        <v>6.4880000000000004</v>
      </c>
      <c r="D590" s="29">
        <v>1.2500000000000001E-2</v>
      </c>
      <c r="E590" s="41">
        <v>-12.09216</v>
      </c>
      <c r="F590" s="41">
        <v>-77.044135999999995</v>
      </c>
      <c r="G590" s="41">
        <v>-12.085578</v>
      </c>
      <c r="H590" s="41">
        <v>-77.064173999999994</v>
      </c>
      <c r="I590" s="41">
        <v>-12.078177</v>
      </c>
      <c r="J590" s="41">
        <v>-77.081005000000005</v>
      </c>
    </row>
    <row r="591" spans="1:10" x14ac:dyDescent="0.25">
      <c r="A591" s="15" t="s">
        <v>4277</v>
      </c>
      <c r="B591" s="15" t="s">
        <v>4309</v>
      </c>
      <c r="C591" s="42">
        <v>5.6790000000000003</v>
      </c>
      <c r="D591" s="25">
        <v>9.0277777777777769E-3</v>
      </c>
      <c r="E591" s="43">
        <v>-12.091435000000001</v>
      </c>
      <c r="F591" s="43">
        <v>-77.038866999999996</v>
      </c>
      <c r="G591" s="43">
        <v>-12.090885</v>
      </c>
      <c r="H591" s="43">
        <v>-77.022401000000002</v>
      </c>
      <c r="I591" s="43">
        <v>-12.087759999999999</v>
      </c>
      <c r="J591" s="43">
        <v>-77.024265999999997</v>
      </c>
    </row>
    <row r="592" spans="1:10" x14ac:dyDescent="0.25">
      <c r="A592" s="15" t="s">
        <v>4277</v>
      </c>
      <c r="B592" s="15" t="s">
        <v>4278</v>
      </c>
      <c r="C592" s="40">
        <v>13.826000000000001</v>
      </c>
      <c r="D592" s="29">
        <v>2.1527777777777778E-2</v>
      </c>
      <c r="E592" s="41">
        <v>-12.075194</v>
      </c>
      <c r="F592" s="41">
        <v>-77.041995</v>
      </c>
      <c r="G592" s="41">
        <v>-12.038462000000001</v>
      </c>
      <c r="H592" s="41">
        <v>-77.043407999999999</v>
      </c>
      <c r="I592" s="41">
        <v>-12.032260000000001</v>
      </c>
      <c r="J592" s="41">
        <v>-77.055102000000005</v>
      </c>
    </row>
    <row r="593" spans="1:10" x14ac:dyDescent="0.25">
      <c r="A593" s="15" t="s">
        <v>4277</v>
      </c>
      <c r="B593" s="15" t="s">
        <v>4310</v>
      </c>
      <c r="C593" s="42">
        <v>16.576000000000001</v>
      </c>
      <c r="D593" s="25">
        <v>1.8055555555555554E-2</v>
      </c>
      <c r="E593" s="43">
        <v>-12.086880000000001</v>
      </c>
      <c r="F593" s="43">
        <v>-76.994710999999995</v>
      </c>
      <c r="G593" s="43">
        <v>-12.077921</v>
      </c>
      <c r="H593" s="43">
        <v>-76.975845000000007</v>
      </c>
      <c r="I593" s="43">
        <v>-12.031423999999999</v>
      </c>
      <c r="J593" s="43">
        <v>-76.992137</v>
      </c>
    </row>
    <row r="594" spans="1:10" x14ac:dyDescent="0.25">
      <c r="A594" s="15" t="s">
        <v>4277</v>
      </c>
      <c r="B594" s="15" t="s">
        <v>4311</v>
      </c>
      <c r="C594" s="40">
        <v>3.5219999999999998</v>
      </c>
      <c r="D594" s="29">
        <v>6.9444444444444441E-3</v>
      </c>
      <c r="E594" s="41">
        <v>-12.084218</v>
      </c>
      <c r="F594" s="41">
        <v>-77.047566000000003</v>
      </c>
      <c r="G594" s="41">
        <v>-12.079689</v>
      </c>
      <c r="H594" s="41">
        <v>-77.042180999999999</v>
      </c>
      <c r="I594" s="41">
        <v>-12.073824</v>
      </c>
      <c r="J594" s="41">
        <v>-77.040749000000005</v>
      </c>
    </row>
    <row r="595" spans="1:10" x14ac:dyDescent="0.25">
      <c r="A595" s="15" t="s">
        <v>4277</v>
      </c>
      <c r="B595" s="15" t="s">
        <v>4312</v>
      </c>
      <c r="C595" s="42">
        <v>7.3860000000000001</v>
      </c>
      <c r="D595" s="25">
        <v>1.1111111111111112E-2</v>
      </c>
      <c r="E595" s="43">
        <v>-12.092936999999999</v>
      </c>
      <c r="F595" s="43">
        <v>-77.038650000000004</v>
      </c>
      <c r="G595" s="43">
        <v>-12.091449000000001</v>
      </c>
      <c r="H595" s="43">
        <v>-77.022079000000005</v>
      </c>
      <c r="I595" s="43">
        <v>-12.077412000000001</v>
      </c>
      <c r="J595" s="43">
        <v>-77.028380999999996</v>
      </c>
    </row>
    <row r="596" spans="1:10" x14ac:dyDescent="0.25">
      <c r="A596" s="15" t="s">
        <v>4277</v>
      </c>
      <c r="B596" s="15" t="s">
        <v>4313</v>
      </c>
      <c r="C596" s="40">
        <v>3.464</v>
      </c>
      <c r="D596" s="29">
        <v>7.6388888888888886E-3</v>
      </c>
      <c r="E596" s="41">
        <v>-12.084218</v>
      </c>
      <c r="F596" s="41">
        <v>-77.047566000000003</v>
      </c>
      <c r="G596" s="41">
        <v>-12.079689</v>
      </c>
      <c r="H596" s="41">
        <v>-77.042180999999999</v>
      </c>
      <c r="I596" s="41">
        <v>-12.074831</v>
      </c>
      <c r="J596" s="41">
        <v>-77.042978000000005</v>
      </c>
    </row>
    <row r="597" spans="1:10" x14ac:dyDescent="0.25">
      <c r="A597" s="15" t="s">
        <v>4277</v>
      </c>
      <c r="B597" s="15" t="s">
        <v>4314</v>
      </c>
      <c r="C597" s="42">
        <v>5.3479999999999999</v>
      </c>
      <c r="D597" s="25">
        <v>1.0416666666666666E-2</v>
      </c>
      <c r="E597" s="43">
        <v>-12.092090000000001</v>
      </c>
      <c r="F597" s="43">
        <v>-77.044146999999995</v>
      </c>
      <c r="G597" s="43">
        <v>-12.086482999999999</v>
      </c>
      <c r="H597" s="43">
        <v>-77.063063</v>
      </c>
      <c r="I597" s="43">
        <v>-12.083834</v>
      </c>
      <c r="J597" s="43">
        <v>-77.065061999999998</v>
      </c>
    </row>
    <row r="598" spans="1:10" x14ac:dyDescent="0.25">
      <c r="A598" s="15" t="s">
        <v>4277</v>
      </c>
      <c r="B598" s="15" t="s">
        <v>4315</v>
      </c>
      <c r="C598" s="40">
        <v>11.157</v>
      </c>
      <c r="D598" s="29">
        <v>1.3888888888888888E-2</v>
      </c>
      <c r="E598" s="41">
        <v>-12.093082000000001</v>
      </c>
      <c r="F598" s="41">
        <v>-77.038628000000003</v>
      </c>
      <c r="G598" s="41">
        <v>-12.085888000000001</v>
      </c>
      <c r="H598" s="41">
        <v>-76.985515000000007</v>
      </c>
      <c r="I598" s="41">
        <v>-12.103045</v>
      </c>
      <c r="J598" s="41">
        <v>-76.980189999999993</v>
      </c>
    </row>
    <row r="599" spans="1:10" x14ac:dyDescent="0.25">
      <c r="A599" s="15" t="s">
        <v>4277</v>
      </c>
      <c r="B599" s="15" t="s">
        <v>4316</v>
      </c>
      <c r="C599" s="42">
        <v>2.2730000000000001</v>
      </c>
      <c r="D599" s="25">
        <v>5.5555555555555558E-3</v>
      </c>
      <c r="E599" s="43">
        <v>-12.091176000000001</v>
      </c>
      <c r="F599" s="43">
        <v>-77.043132</v>
      </c>
      <c r="G599" s="43">
        <v>-12.092090000000001</v>
      </c>
      <c r="H599" s="43">
        <v>-77.044146999999995</v>
      </c>
      <c r="I599" s="43">
        <v>-12.09369</v>
      </c>
      <c r="J599" s="43">
        <v>-77.044000999999994</v>
      </c>
    </row>
    <row r="600" spans="1:10" x14ac:dyDescent="0.25">
      <c r="A600" s="15" t="s">
        <v>4277</v>
      </c>
      <c r="B600" s="15" t="s">
        <v>4317</v>
      </c>
      <c r="C600" s="40">
        <v>17.893999999999998</v>
      </c>
      <c r="D600" s="29">
        <v>1.8749999999999999E-2</v>
      </c>
      <c r="E600" s="41">
        <v>-12.092343</v>
      </c>
      <c r="F600" s="41">
        <v>-77.033406999999997</v>
      </c>
      <c r="G600" s="41">
        <v>-12.090748</v>
      </c>
      <c r="H600" s="41">
        <v>-76.981072999999995</v>
      </c>
      <c r="I600" s="41">
        <v>-12.150254</v>
      </c>
      <c r="J600" s="41">
        <v>-76.984515000000002</v>
      </c>
    </row>
    <row r="601" spans="1:10" x14ac:dyDescent="0.25">
      <c r="A601" s="15" t="s">
        <v>4277</v>
      </c>
      <c r="B601" s="15" t="s">
        <v>4318</v>
      </c>
      <c r="C601" s="42">
        <v>4.7210000000000001</v>
      </c>
      <c r="D601" s="25">
        <v>7.6388888888888886E-3</v>
      </c>
      <c r="E601" s="43">
        <v>-12.091338</v>
      </c>
      <c r="F601" s="43">
        <v>-77.044253999999995</v>
      </c>
      <c r="G601" s="43">
        <v>-12.091364</v>
      </c>
      <c r="H601" s="43">
        <v>-77.038876999999999</v>
      </c>
      <c r="I601" s="43">
        <v>-12.093071</v>
      </c>
      <c r="J601" s="43">
        <v>-77.038550000000001</v>
      </c>
    </row>
    <row r="602" spans="1:10" x14ac:dyDescent="0.25">
      <c r="A602" s="15" t="s">
        <v>4277</v>
      </c>
      <c r="B602" s="15" t="s">
        <v>4319</v>
      </c>
      <c r="C602" s="40">
        <v>7.4390000000000001</v>
      </c>
      <c r="D602" s="29">
        <v>1.1111111111111112E-2</v>
      </c>
      <c r="E602" s="41">
        <v>-12.092090000000001</v>
      </c>
      <c r="F602" s="41">
        <v>-77.044146999999995</v>
      </c>
      <c r="G602" s="41">
        <v>-12.093071</v>
      </c>
      <c r="H602" s="41">
        <v>-77.038550000000001</v>
      </c>
      <c r="I602" s="41">
        <v>-12.087664</v>
      </c>
      <c r="J602" s="41">
        <v>-76.999350000000007</v>
      </c>
    </row>
    <row r="603" spans="1:10" x14ac:dyDescent="0.25">
      <c r="A603" s="15" t="s">
        <v>4277</v>
      </c>
      <c r="B603" s="15" t="s">
        <v>4279</v>
      </c>
      <c r="C603" s="42">
        <v>10.387</v>
      </c>
      <c r="D603" s="25">
        <v>1.8749999999999999E-2</v>
      </c>
      <c r="E603" s="43">
        <v>-12.086482999999999</v>
      </c>
      <c r="F603" s="43">
        <v>-77.063063</v>
      </c>
      <c r="G603" s="43">
        <v>-12.077785</v>
      </c>
      <c r="H603" s="43">
        <v>-77.091746000000001</v>
      </c>
      <c r="I603" s="43">
        <v>-12.054864</v>
      </c>
      <c r="J603" s="43">
        <v>-77.097800000000007</v>
      </c>
    </row>
    <row r="604" spans="1:10" x14ac:dyDescent="0.25">
      <c r="A604" s="15" t="s">
        <v>4277</v>
      </c>
      <c r="B604" s="15" t="s">
        <v>4320</v>
      </c>
      <c r="C604" s="40">
        <v>11.551</v>
      </c>
      <c r="D604" s="29">
        <v>1.3888888888888888E-2</v>
      </c>
      <c r="E604" s="41">
        <v>-12.092343</v>
      </c>
      <c r="F604" s="41">
        <v>-77.033406999999997</v>
      </c>
      <c r="G604" s="41">
        <v>-12.085798</v>
      </c>
      <c r="H604" s="41">
        <v>-76.981514000000004</v>
      </c>
      <c r="I604" s="41">
        <v>-12.066178000000001</v>
      </c>
      <c r="J604" s="41">
        <v>-76.971248000000003</v>
      </c>
    </row>
    <row r="605" spans="1:10" x14ac:dyDescent="0.25">
      <c r="A605" s="15" t="s">
        <v>4277</v>
      </c>
      <c r="B605" s="15" t="s">
        <v>4321</v>
      </c>
      <c r="C605" s="42">
        <v>28.169</v>
      </c>
      <c r="D605" s="25">
        <v>3.5416666666666666E-2</v>
      </c>
      <c r="E605" s="43">
        <v>-12.068546</v>
      </c>
      <c r="F605" s="43">
        <v>-77.039484000000002</v>
      </c>
      <c r="G605" s="43">
        <v>-12.036191000000001</v>
      </c>
      <c r="H605" s="43">
        <v>-77.042254999999997</v>
      </c>
      <c r="I605" s="43">
        <v>-11.987461</v>
      </c>
      <c r="J605" s="43">
        <v>-77.064434000000006</v>
      </c>
    </row>
    <row r="606" spans="1:10" x14ac:dyDescent="0.25">
      <c r="A606" s="15" t="s">
        <v>4277</v>
      </c>
      <c r="B606" s="15" t="s">
        <v>4322</v>
      </c>
      <c r="C606" s="40">
        <v>15.249000000000001</v>
      </c>
      <c r="D606" s="29">
        <v>1.8749999999999999E-2</v>
      </c>
      <c r="E606" s="41">
        <v>-12.092796999999999</v>
      </c>
      <c r="F606" s="41">
        <v>-77.023469000000006</v>
      </c>
      <c r="G606" s="41">
        <v>-12.134126999999999</v>
      </c>
      <c r="H606" s="41">
        <v>-77.021338999999998</v>
      </c>
      <c r="I606" s="41">
        <v>-12.157667</v>
      </c>
      <c r="J606" s="41">
        <v>-77.025107000000006</v>
      </c>
    </row>
    <row r="607" spans="1:10" x14ac:dyDescent="0.25">
      <c r="A607" s="15" t="s">
        <v>4277</v>
      </c>
      <c r="B607" s="15" t="s">
        <v>4323</v>
      </c>
      <c r="C607" s="42">
        <v>15.759</v>
      </c>
      <c r="D607" s="25">
        <v>2.013888888888889E-2</v>
      </c>
      <c r="E607" s="43">
        <v>-12.094223</v>
      </c>
      <c r="F607" s="43">
        <v>-77.024037000000007</v>
      </c>
      <c r="G607" s="43">
        <v>-12.134446000000001</v>
      </c>
      <c r="H607" s="43">
        <v>-77.021733999999995</v>
      </c>
      <c r="I607" s="43">
        <v>-12.162065</v>
      </c>
      <c r="J607" s="43">
        <v>-77.025720000000007</v>
      </c>
    </row>
    <row r="608" spans="1:10" x14ac:dyDescent="0.25">
      <c r="A608" s="15" t="s">
        <v>4277</v>
      </c>
      <c r="B608" s="15" t="s">
        <v>4324</v>
      </c>
      <c r="C608" s="40">
        <v>4.2789999999999999</v>
      </c>
      <c r="D608" s="29">
        <v>9.7222222222222224E-3</v>
      </c>
      <c r="E608" s="41">
        <v>-12.09216</v>
      </c>
      <c r="F608" s="41">
        <v>-77.044135999999995</v>
      </c>
      <c r="G608" s="41">
        <v>-12.085578</v>
      </c>
      <c r="H608" s="41">
        <v>-77.064173999999994</v>
      </c>
      <c r="I608" s="41">
        <v>-12.081996999999999</v>
      </c>
      <c r="J608" s="41">
        <v>-77.064588000000001</v>
      </c>
    </row>
    <row r="609" spans="1:10" x14ac:dyDescent="0.25">
      <c r="A609" s="15" t="s">
        <v>4277</v>
      </c>
      <c r="B609" s="15" t="s">
        <v>4325</v>
      </c>
      <c r="C609" s="42">
        <v>18.134</v>
      </c>
      <c r="D609" s="25">
        <v>2.361111111111111E-2</v>
      </c>
      <c r="E609" s="43">
        <v>-12.086880000000001</v>
      </c>
      <c r="F609" s="43">
        <v>-76.994710999999995</v>
      </c>
      <c r="G609" s="43">
        <v>-12.134181</v>
      </c>
      <c r="H609" s="43">
        <v>-76.976635999999999</v>
      </c>
      <c r="I609" s="43">
        <v>-12.142108</v>
      </c>
      <c r="J609" s="43">
        <v>-76.958974999999995</v>
      </c>
    </row>
    <row r="610" spans="1:10" x14ac:dyDescent="0.25">
      <c r="A610" s="15" t="s">
        <v>4277</v>
      </c>
      <c r="B610" s="15" t="s">
        <v>4268</v>
      </c>
      <c r="C610" s="40">
        <v>16.036999999999999</v>
      </c>
      <c r="D610" s="29">
        <v>1.6666666666666666E-2</v>
      </c>
      <c r="E610" s="41">
        <v>-12.086880000000001</v>
      </c>
      <c r="F610" s="41">
        <v>-76.994710999999995</v>
      </c>
      <c r="G610" s="41">
        <v>-12.077921</v>
      </c>
      <c r="H610" s="41">
        <v>-76.975845000000007</v>
      </c>
      <c r="I610" s="41">
        <v>-12.031423999999999</v>
      </c>
      <c r="J610" s="41">
        <v>-76.992137</v>
      </c>
    </row>
    <row r="611" spans="1:10" x14ac:dyDescent="0.25">
      <c r="A611" s="15" t="s">
        <v>4307</v>
      </c>
      <c r="B611" s="15" t="s">
        <v>4267</v>
      </c>
      <c r="C611" s="42">
        <v>13.03</v>
      </c>
      <c r="D611" s="25">
        <v>1.5277777777777777E-2</v>
      </c>
      <c r="E611" s="43">
        <v>-12.055498</v>
      </c>
      <c r="F611" s="43">
        <v>-76.974523000000005</v>
      </c>
      <c r="G611" s="43">
        <v>-12.034475</v>
      </c>
      <c r="H611" s="43">
        <v>-77.009604999999993</v>
      </c>
      <c r="I611" s="43">
        <v>-12.039778999999999</v>
      </c>
      <c r="J611" s="43">
        <v>-77.032880000000006</v>
      </c>
    </row>
    <row r="612" spans="1:10" x14ac:dyDescent="0.25">
      <c r="A612" s="15" t="s">
        <v>4307</v>
      </c>
      <c r="B612" s="15" t="s">
        <v>4280</v>
      </c>
      <c r="C612" s="40">
        <v>22.542999999999999</v>
      </c>
      <c r="D612" s="29">
        <v>2.2222222222222223E-2</v>
      </c>
      <c r="E612" s="41">
        <v>-12.069820999999999</v>
      </c>
      <c r="F612" s="41">
        <v>-76.972611000000001</v>
      </c>
      <c r="G612" s="41">
        <v>-12.091970999999999</v>
      </c>
      <c r="H612" s="41">
        <v>-77.023013000000006</v>
      </c>
      <c r="I612" s="41">
        <v>-12.14569</v>
      </c>
      <c r="J612" s="41">
        <v>-77.025552000000005</v>
      </c>
    </row>
    <row r="613" spans="1:10" x14ac:dyDescent="0.25">
      <c r="A613" s="15" t="s">
        <v>4307</v>
      </c>
      <c r="B613" s="15" t="s">
        <v>4281</v>
      </c>
      <c r="C613" s="42">
        <v>5.859</v>
      </c>
      <c r="D613" s="25">
        <v>1.0416666666666666E-2</v>
      </c>
      <c r="E613" s="43">
        <v>-12.040737999999999</v>
      </c>
      <c r="F613" s="43">
        <v>-76.960824000000002</v>
      </c>
      <c r="G613" s="43">
        <v>-12.050998</v>
      </c>
      <c r="H613" s="43">
        <v>-76.948701999999997</v>
      </c>
      <c r="I613" s="43">
        <v>-12.064515999999999</v>
      </c>
      <c r="J613" s="43">
        <v>-76.940501999999995</v>
      </c>
    </row>
    <row r="614" spans="1:10" x14ac:dyDescent="0.25">
      <c r="A614" s="15" t="s">
        <v>4307</v>
      </c>
      <c r="B614" s="15" t="s">
        <v>4296</v>
      </c>
      <c r="C614" s="40">
        <v>17.358000000000001</v>
      </c>
      <c r="D614" s="29">
        <v>1.8749999999999999E-2</v>
      </c>
      <c r="E614" s="41">
        <v>-12.058089000000001</v>
      </c>
      <c r="F614" s="41">
        <v>-76.973586999999995</v>
      </c>
      <c r="G614" s="41">
        <v>-12.085720999999999</v>
      </c>
      <c r="H614" s="41">
        <v>-76.987510999999998</v>
      </c>
      <c r="I614" s="41">
        <v>-12.060172</v>
      </c>
      <c r="J614" s="41">
        <v>-77.035402000000005</v>
      </c>
    </row>
    <row r="615" spans="1:10" x14ac:dyDescent="0.25">
      <c r="A615" s="15" t="s">
        <v>4307</v>
      </c>
      <c r="B615" s="15" t="s">
        <v>4297</v>
      </c>
      <c r="C615" s="42">
        <v>8.5150000000000006</v>
      </c>
      <c r="D615" s="25">
        <v>1.1111111111111112E-2</v>
      </c>
      <c r="E615" s="43">
        <v>-12.05237</v>
      </c>
      <c r="F615" s="43">
        <v>-76.965852999999996</v>
      </c>
      <c r="G615" s="43">
        <v>-12.063378</v>
      </c>
      <c r="H615" s="43">
        <v>-76.984183999999999</v>
      </c>
      <c r="I615" s="43">
        <v>-12.076124</v>
      </c>
      <c r="J615" s="43">
        <v>-77.009715999999997</v>
      </c>
    </row>
    <row r="616" spans="1:10" x14ac:dyDescent="0.25">
      <c r="A616" s="15" t="s">
        <v>4307</v>
      </c>
      <c r="B616" s="15" t="s">
        <v>4298</v>
      </c>
      <c r="C616" s="40">
        <v>14.68</v>
      </c>
      <c r="D616" s="29">
        <v>1.5277777777777777E-2</v>
      </c>
      <c r="E616" s="41">
        <v>-12.057921</v>
      </c>
      <c r="F616" s="41">
        <v>-76.974687000000003</v>
      </c>
      <c r="G616" s="41">
        <v>-12.083377</v>
      </c>
      <c r="H616" s="41">
        <v>-76.98075</v>
      </c>
      <c r="I616" s="41">
        <v>-12.090544</v>
      </c>
      <c r="J616" s="41">
        <v>-77.023526000000004</v>
      </c>
    </row>
    <row r="617" spans="1:10" x14ac:dyDescent="0.25">
      <c r="A617" s="15" t="s">
        <v>4307</v>
      </c>
      <c r="B617" s="15" t="s">
        <v>4299</v>
      </c>
      <c r="C617" s="42">
        <v>14.835000000000001</v>
      </c>
      <c r="D617" s="25">
        <v>1.5972222222222221E-2</v>
      </c>
      <c r="E617" s="43">
        <v>-12.057706</v>
      </c>
      <c r="F617" s="43">
        <v>-76.974491</v>
      </c>
      <c r="G617" s="43">
        <v>-12.084712</v>
      </c>
      <c r="H617" s="43">
        <v>-76.982230000000001</v>
      </c>
      <c r="I617" s="43">
        <v>-12.090182</v>
      </c>
      <c r="J617" s="43">
        <v>-77.023337999999995</v>
      </c>
    </row>
    <row r="618" spans="1:10" x14ac:dyDescent="0.25">
      <c r="A618" s="15" t="s">
        <v>4307</v>
      </c>
      <c r="B618" s="15" t="s">
        <v>4300</v>
      </c>
      <c r="C618" s="40">
        <v>9.11</v>
      </c>
      <c r="D618" s="29">
        <v>1.0416666666666666E-2</v>
      </c>
      <c r="E618" s="41">
        <v>-12.058585000000001</v>
      </c>
      <c r="F618" s="41">
        <v>-76.973815999999999</v>
      </c>
      <c r="G618" s="41">
        <v>-12.066091</v>
      </c>
      <c r="H618" s="41">
        <v>-76.971543999999994</v>
      </c>
      <c r="I618" s="41">
        <v>-12.085641000000001</v>
      </c>
      <c r="J618" s="41">
        <v>-76.982309999999998</v>
      </c>
    </row>
    <row r="619" spans="1:10" x14ac:dyDescent="0.25">
      <c r="A619" s="15" t="s">
        <v>4307</v>
      </c>
      <c r="B619" s="15" t="s">
        <v>4301</v>
      </c>
      <c r="C619" s="42">
        <v>27.099</v>
      </c>
      <c r="D619" s="25">
        <v>2.2916666666666665E-2</v>
      </c>
      <c r="E619" s="43">
        <v>-12.055498</v>
      </c>
      <c r="F619" s="43">
        <v>-76.974523000000005</v>
      </c>
      <c r="G619" s="43">
        <v>-12.032583000000001</v>
      </c>
      <c r="H619" s="43">
        <v>-77.006681</v>
      </c>
      <c r="I619" s="43">
        <v>-12.035731999999999</v>
      </c>
      <c r="J619" s="43">
        <v>-77.046904999999995</v>
      </c>
    </row>
    <row r="620" spans="1:10" x14ac:dyDescent="0.25">
      <c r="A620" s="15" t="s">
        <v>4307</v>
      </c>
      <c r="B620" s="15" t="s">
        <v>4302</v>
      </c>
      <c r="C620" s="40">
        <v>9.8940000000000001</v>
      </c>
      <c r="D620" s="29">
        <v>1.1805555555555555E-2</v>
      </c>
      <c r="E620" s="41">
        <v>-12.058579</v>
      </c>
      <c r="F620" s="41">
        <v>-76.973943000000006</v>
      </c>
      <c r="G620" s="41">
        <v>-12.067679999999999</v>
      </c>
      <c r="H620" s="41">
        <v>-76.971858999999995</v>
      </c>
      <c r="I620" s="41">
        <v>-12.08501</v>
      </c>
      <c r="J620" s="41">
        <v>-76.985107999999997</v>
      </c>
    </row>
    <row r="621" spans="1:10" x14ac:dyDescent="0.25">
      <c r="A621" s="15" t="s">
        <v>4307</v>
      </c>
      <c r="B621" s="15" t="s">
        <v>4303</v>
      </c>
      <c r="C621" s="42">
        <v>8.4160000000000004</v>
      </c>
      <c r="D621" s="25">
        <v>1.1111111111111112E-2</v>
      </c>
      <c r="E621" s="43">
        <v>-12.05237</v>
      </c>
      <c r="F621" s="43">
        <v>-76.965852999999996</v>
      </c>
      <c r="G621" s="43">
        <v>-12.063378</v>
      </c>
      <c r="H621" s="43">
        <v>-76.984183999999999</v>
      </c>
      <c r="I621" s="43">
        <v>-12.076124</v>
      </c>
      <c r="J621" s="43">
        <v>-77.009715999999997</v>
      </c>
    </row>
    <row r="622" spans="1:10" x14ac:dyDescent="0.25">
      <c r="A622" s="15" t="s">
        <v>4307</v>
      </c>
      <c r="B622" s="15" t="s">
        <v>4304</v>
      </c>
      <c r="C622" s="40">
        <v>7.9989999999999997</v>
      </c>
      <c r="D622" s="29">
        <v>1.0416666666666666E-2</v>
      </c>
      <c r="E622" s="41">
        <v>-12.05237</v>
      </c>
      <c r="F622" s="41">
        <v>-76.965852999999996</v>
      </c>
      <c r="G622" s="41">
        <v>-12.063378</v>
      </c>
      <c r="H622" s="41">
        <v>-76.984183999999999</v>
      </c>
      <c r="I622" s="41">
        <v>-12.076124</v>
      </c>
      <c r="J622" s="41">
        <v>-77.009715999999997</v>
      </c>
    </row>
    <row r="623" spans="1:10" x14ac:dyDescent="0.25">
      <c r="A623" s="15" t="s">
        <v>4307</v>
      </c>
      <c r="B623" s="15" t="s">
        <v>4269</v>
      </c>
      <c r="C623" s="42">
        <v>17.501999999999999</v>
      </c>
      <c r="D623" s="25">
        <v>2.2222222222222223E-2</v>
      </c>
      <c r="E623" s="43">
        <v>-12.058543999999999</v>
      </c>
      <c r="F623" s="43">
        <v>-76.974417000000003</v>
      </c>
      <c r="G623" s="43">
        <v>-12.070081</v>
      </c>
      <c r="H623" s="43">
        <v>-76.972809999999996</v>
      </c>
      <c r="I623" s="43">
        <v>-12.087186000000001</v>
      </c>
      <c r="J623" s="43">
        <v>-76.998052999999999</v>
      </c>
    </row>
    <row r="624" spans="1:10" x14ac:dyDescent="0.25">
      <c r="A624" s="15" t="s">
        <v>4307</v>
      </c>
      <c r="B624" s="15" t="s">
        <v>4305</v>
      </c>
      <c r="C624" s="40">
        <v>15.664</v>
      </c>
      <c r="D624" s="29">
        <v>1.6666666666666666E-2</v>
      </c>
      <c r="E624" s="41">
        <v>-12.056398</v>
      </c>
      <c r="F624" s="41">
        <v>-76.973838999999998</v>
      </c>
      <c r="G624" s="41">
        <v>-12.031862</v>
      </c>
      <c r="H624" s="41">
        <v>-77.005296999999999</v>
      </c>
      <c r="I624" s="41">
        <v>-12.038219</v>
      </c>
      <c r="J624" s="41">
        <v>-77.038023999999993</v>
      </c>
    </row>
    <row r="625" spans="1:10" x14ac:dyDescent="0.25">
      <c r="A625" s="15" t="s">
        <v>4307</v>
      </c>
      <c r="B625" s="15" t="s">
        <v>4306</v>
      </c>
      <c r="C625" s="42">
        <v>11.768000000000001</v>
      </c>
      <c r="D625" s="25">
        <v>1.1111111111111112E-2</v>
      </c>
      <c r="E625" s="43">
        <v>-12.058585000000001</v>
      </c>
      <c r="F625" s="43">
        <v>-76.973815999999999</v>
      </c>
      <c r="G625" s="43">
        <v>-12.066091</v>
      </c>
      <c r="H625" s="43">
        <v>-76.971543999999994</v>
      </c>
      <c r="I625" s="43">
        <v>-12.085490999999999</v>
      </c>
      <c r="J625" s="43">
        <v>-76.982305999999994</v>
      </c>
    </row>
    <row r="626" spans="1:10" x14ac:dyDescent="0.25">
      <c r="A626" s="15" t="s">
        <v>4307</v>
      </c>
      <c r="B626" s="15" t="s">
        <v>4277</v>
      </c>
      <c r="C626" s="40">
        <v>13.041</v>
      </c>
      <c r="D626" s="29">
        <v>1.3194444444444444E-2</v>
      </c>
      <c r="E626" s="41">
        <v>-12.058585000000001</v>
      </c>
      <c r="F626" s="41">
        <v>-76.973815999999999</v>
      </c>
      <c r="G626" s="41">
        <v>-12.066091</v>
      </c>
      <c r="H626" s="41">
        <v>-76.971543999999994</v>
      </c>
      <c r="I626" s="41">
        <v>-12.084712</v>
      </c>
      <c r="J626" s="41">
        <v>-76.982230000000001</v>
      </c>
    </row>
    <row r="627" spans="1:10" x14ac:dyDescent="0.25">
      <c r="A627" s="15" t="s">
        <v>4307</v>
      </c>
      <c r="B627" s="15" t="s">
        <v>4307</v>
      </c>
      <c r="C627" s="42">
        <v>0</v>
      </c>
      <c r="D627" s="25">
        <v>0</v>
      </c>
      <c r="E627" s="43" t="str">
        <f>'1 ubicaciones'!D18</f>
        <v>-121.130.208</v>
      </c>
      <c r="F627" s="43" t="str">
        <f>'1 ubicaciones'!E18</f>
        <v>-7.702.201.939.999.990</v>
      </c>
      <c r="G627" s="43" t="str">
        <f>'1 ubicaciones'!D18</f>
        <v>-121.130.208</v>
      </c>
      <c r="H627" s="43" t="str">
        <f>'1 ubicaciones'!E18</f>
        <v>-7.702.201.939.999.990</v>
      </c>
      <c r="I627" s="43" t="str">
        <f>'1 ubicaciones'!D18</f>
        <v>-121.130.208</v>
      </c>
      <c r="J627" s="43" t="str">
        <f>'1 ubicaciones'!E18</f>
        <v>-7.702.201.939.999.990</v>
      </c>
    </row>
    <row r="628" spans="1:10" x14ac:dyDescent="0.25">
      <c r="A628" s="15" t="s">
        <v>4307</v>
      </c>
      <c r="B628" s="15" t="s">
        <v>4308</v>
      </c>
      <c r="C628" s="40">
        <v>19.004000000000001</v>
      </c>
      <c r="D628" s="29">
        <v>2.361111111111111E-2</v>
      </c>
      <c r="E628" s="41">
        <v>-12.058395000000001</v>
      </c>
      <c r="F628" s="41">
        <v>-76.974643</v>
      </c>
      <c r="G628" s="41">
        <v>-12.077928</v>
      </c>
      <c r="H628" s="41">
        <v>-76.976022999999998</v>
      </c>
      <c r="I628" s="41">
        <v>-12.092250999999999</v>
      </c>
      <c r="J628" s="41">
        <v>-77.033615999999995</v>
      </c>
    </row>
    <row r="629" spans="1:10" x14ac:dyDescent="0.25">
      <c r="A629" s="15" t="s">
        <v>4307</v>
      </c>
      <c r="B629" s="15" t="s">
        <v>4309</v>
      </c>
      <c r="C629" s="42">
        <v>8.4879999999999995</v>
      </c>
      <c r="D629" s="25">
        <v>1.1805555555555555E-2</v>
      </c>
      <c r="E629" s="43">
        <v>-12.052828999999999</v>
      </c>
      <c r="F629" s="43">
        <v>-76.965537999999995</v>
      </c>
      <c r="G629" s="43">
        <v>-12.064050999999999</v>
      </c>
      <c r="H629" s="43">
        <v>-76.987647999999993</v>
      </c>
      <c r="I629" s="43">
        <v>-12.076978</v>
      </c>
      <c r="J629" s="43">
        <v>-77.010807999999997</v>
      </c>
    </row>
    <row r="630" spans="1:10" x14ac:dyDescent="0.25">
      <c r="A630" s="15" t="s">
        <v>4307</v>
      </c>
      <c r="B630" s="15" t="s">
        <v>4278</v>
      </c>
      <c r="C630" s="40">
        <v>18.648</v>
      </c>
      <c r="D630" s="29">
        <v>1.6666666666666666E-2</v>
      </c>
      <c r="E630" s="41">
        <v>-12.055431</v>
      </c>
      <c r="F630" s="41">
        <v>-76.974553</v>
      </c>
      <c r="G630" s="41">
        <v>-12.040329</v>
      </c>
      <c r="H630" s="41">
        <v>-77.016891000000001</v>
      </c>
      <c r="I630" s="41">
        <v>-12.031428999999999</v>
      </c>
      <c r="J630" s="41">
        <v>-77.055999</v>
      </c>
    </row>
    <row r="631" spans="1:10" x14ac:dyDescent="0.25">
      <c r="A631" s="15" t="s">
        <v>4307</v>
      </c>
      <c r="B631" s="15" t="s">
        <v>4310</v>
      </c>
      <c r="C631" s="42">
        <v>7.9269999999999996</v>
      </c>
      <c r="D631" s="25">
        <v>9.7222222222222224E-3</v>
      </c>
      <c r="E631" s="43">
        <v>-12.054586</v>
      </c>
      <c r="F631" s="43">
        <v>-76.964710999999994</v>
      </c>
      <c r="G631" s="43">
        <v>-12.042017</v>
      </c>
      <c r="H631" s="43">
        <v>-76.986729999999994</v>
      </c>
      <c r="I631" s="43">
        <v>-12.028886999999999</v>
      </c>
      <c r="J631" s="43">
        <v>-76.998332000000005</v>
      </c>
    </row>
    <row r="632" spans="1:10" x14ac:dyDescent="0.25">
      <c r="A632" s="15" t="s">
        <v>4307</v>
      </c>
      <c r="B632" s="15" t="s">
        <v>4311</v>
      </c>
      <c r="C632" s="40">
        <v>15.127000000000001</v>
      </c>
      <c r="D632" s="29">
        <v>1.6666666666666666E-2</v>
      </c>
      <c r="E632" s="41">
        <v>-12.058089000000001</v>
      </c>
      <c r="F632" s="41">
        <v>-76.973586999999995</v>
      </c>
      <c r="G632" s="41">
        <v>-12.085720999999999</v>
      </c>
      <c r="H632" s="41">
        <v>-76.987510999999998</v>
      </c>
      <c r="I632" s="41">
        <v>-12.066217</v>
      </c>
      <c r="J632" s="41">
        <v>-77.032804999999996</v>
      </c>
    </row>
    <row r="633" spans="1:10" x14ac:dyDescent="0.25">
      <c r="A633" s="15" t="s">
        <v>4307</v>
      </c>
      <c r="B633" s="15" t="s">
        <v>4312</v>
      </c>
      <c r="C633" s="42">
        <v>8.7240000000000002</v>
      </c>
      <c r="D633" s="25">
        <v>1.1805555555555555E-2</v>
      </c>
      <c r="E633" s="43">
        <v>-12.050466999999999</v>
      </c>
      <c r="F633" s="43">
        <v>-76.966835000000003</v>
      </c>
      <c r="G633" s="43">
        <v>-12.062975</v>
      </c>
      <c r="H633" s="43">
        <v>-76.981997000000007</v>
      </c>
      <c r="I633" s="43">
        <v>-12.074890999999999</v>
      </c>
      <c r="J633" s="43">
        <v>-77.008025000000004</v>
      </c>
    </row>
    <row r="634" spans="1:10" x14ac:dyDescent="0.25">
      <c r="A634" s="15" t="s">
        <v>4307</v>
      </c>
      <c r="B634" s="15" t="s">
        <v>4313</v>
      </c>
      <c r="C634" s="40">
        <v>17.47</v>
      </c>
      <c r="D634" s="29">
        <v>1.8749999999999999E-2</v>
      </c>
      <c r="E634" s="41">
        <v>-12.062542000000001</v>
      </c>
      <c r="F634" s="41">
        <v>-76.971710000000002</v>
      </c>
      <c r="G634" s="41">
        <v>-12.08681</v>
      </c>
      <c r="H634" s="41">
        <v>-76.997433999999998</v>
      </c>
      <c r="I634" s="41">
        <v>-12.059433</v>
      </c>
      <c r="J634" s="41">
        <v>-77.036101000000002</v>
      </c>
    </row>
    <row r="635" spans="1:10" x14ac:dyDescent="0.25">
      <c r="A635" s="15" t="s">
        <v>4307</v>
      </c>
      <c r="B635" s="15" t="s">
        <v>4314</v>
      </c>
      <c r="C635" s="42">
        <v>17.864000000000001</v>
      </c>
      <c r="D635" s="25">
        <v>2.2222222222222223E-2</v>
      </c>
      <c r="E635" s="43">
        <v>-12.058543999999999</v>
      </c>
      <c r="F635" s="43">
        <v>-76.974417000000003</v>
      </c>
      <c r="G635" s="43">
        <v>-12.070081</v>
      </c>
      <c r="H635" s="43">
        <v>-76.972809999999996</v>
      </c>
      <c r="I635" s="43">
        <v>-12.087186000000001</v>
      </c>
      <c r="J635" s="43">
        <v>-76.998052999999999</v>
      </c>
    </row>
    <row r="636" spans="1:10" x14ac:dyDescent="0.25">
      <c r="A636" s="15" t="s">
        <v>4307</v>
      </c>
      <c r="B636" s="15" t="s">
        <v>4315</v>
      </c>
      <c r="C636" s="40">
        <v>10.317</v>
      </c>
      <c r="D636" s="29">
        <v>1.1805555555555555E-2</v>
      </c>
      <c r="E636" s="41">
        <v>-12.058579</v>
      </c>
      <c r="F636" s="41">
        <v>-76.973943000000006</v>
      </c>
      <c r="G636" s="41">
        <v>-12.067679999999999</v>
      </c>
      <c r="H636" s="41">
        <v>-76.971858999999995</v>
      </c>
      <c r="I636" s="41">
        <v>-12.102033</v>
      </c>
      <c r="J636" s="41">
        <v>-76.979474999999994</v>
      </c>
    </row>
    <row r="637" spans="1:10" x14ac:dyDescent="0.25">
      <c r="A637" s="15" t="s">
        <v>4307</v>
      </c>
      <c r="B637" s="15" t="s">
        <v>4316</v>
      </c>
      <c r="C637" s="42">
        <v>14.789</v>
      </c>
      <c r="D637" s="25">
        <v>1.6666666666666666E-2</v>
      </c>
      <c r="E637" s="43">
        <v>-12.058579</v>
      </c>
      <c r="F637" s="43">
        <v>-76.973943000000006</v>
      </c>
      <c r="G637" s="43">
        <v>-12.067679999999999</v>
      </c>
      <c r="H637" s="43">
        <v>-76.971858999999995</v>
      </c>
      <c r="I637" s="43">
        <v>-12.08501</v>
      </c>
      <c r="J637" s="43">
        <v>-76.985107999999997</v>
      </c>
    </row>
    <row r="638" spans="1:10" x14ac:dyDescent="0.25">
      <c r="A638" s="15" t="s">
        <v>4307</v>
      </c>
      <c r="B638" s="15" t="s">
        <v>4317</v>
      </c>
      <c r="C638" s="40">
        <v>17.053999999999998</v>
      </c>
      <c r="D638" s="29">
        <v>1.6666666666666666E-2</v>
      </c>
      <c r="E638" s="41">
        <v>-12.058395000000001</v>
      </c>
      <c r="F638" s="41">
        <v>-76.974643</v>
      </c>
      <c r="G638" s="41">
        <v>-12.077928</v>
      </c>
      <c r="H638" s="41">
        <v>-76.976022999999998</v>
      </c>
      <c r="I638" s="41">
        <v>-12.146687</v>
      </c>
      <c r="J638" s="41">
        <v>-76.982330000000005</v>
      </c>
    </row>
    <row r="639" spans="1:10" x14ac:dyDescent="0.25">
      <c r="A639" s="15" t="s">
        <v>4307</v>
      </c>
      <c r="B639" s="15" t="s">
        <v>4318</v>
      </c>
      <c r="C639" s="42">
        <v>9.3119999999999994</v>
      </c>
      <c r="D639" s="25">
        <v>1.0416666666666666E-2</v>
      </c>
      <c r="E639" s="43">
        <v>-12.058579</v>
      </c>
      <c r="F639" s="43">
        <v>-76.973943000000006</v>
      </c>
      <c r="G639" s="43">
        <v>-12.067679999999999</v>
      </c>
      <c r="H639" s="43">
        <v>-76.971858999999995</v>
      </c>
      <c r="I639" s="43">
        <v>-12.08501</v>
      </c>
      <c r="J639" s="43">
        <v>-76.985107999999997</v>
      </c>
    </row>
    <row r="640" spans="1:10" x14ac:dyDescent="0.25">
      <c r="A640" s="15" t="s">
        <v>4307</v>
      </c>
      <c r="B640" s="15" t="s">
        <v>4319</v>
      </c>
      <c r="C640" s="40">
        <v>9.6329999999999991</v>
      </c>
      <c r="D640" s="29">
        <v>1.2500000000000001E-2</v>
      </c>
      <c r="E640" s="41">
        <v>-12.058585000000001</v>
      </c>
      <c r="F640" s="41">
        <v>-76.973815999999999</v>
      </c>
      <c r="G640" s="41">
        <v>-12.066091</v>
      </c>
      <c r="H640" s="41">
        <v>-76.971543999999994</v>
      </c>
      <c r="I640" s="41">
        <v>-12.084712</v>
      </c>
      <c r="J640" s="41">
        <v>-76.982230000000001</v>
      </c>
    </row>
    <row r="641" spans="1:10" x14ac:dyDescent="0.25">
      <c r="A641" s="15" t="s">
        <v>4307</v>
      </c>
      <c r="B641" s="15" t="s">
        <v>4279</v>
      </c>
      <c r="C641" s="42">
        <v>20.629000000000001</v>
      </c>
      <c r="D641" s="25">
        <v>1.9444444444444445E-2</v>
      </c>
      <c r="E641" s="43">
        <v>-12.042017</v>
      </c>
      <c r="F641" s="43">
        <v>-76.986729999999994</v>
      </c>
      <c r="G641" s="43">
        <v>-12.040445999999999</v>
      </c>
      <c r="H641" s="43">
        <v>-77.014229999999998</v>
      </c>
      <c r="I641" s="43">
        <v>-12.036683999999999</v>
      </c>
      <c r="J641" s="43">
        <v>-77.057210999999995</v>
      </c>
    </row>
    <row r="642" spans="1:10" x14ac:dyDescent="0.25">
      <c r="A642" s="15" t="s">
        <v>4307</v>
      </c>
      <c r="B642" s="15" t="s">
        <v>4320</v>
      </c>
      <c r="C642" s="40">
        <v>2.085</v>
      </c>
      <c r="D642" s="29">
        <v>3.472222222222222E-3</v>
      </c>
      <c r="E642" s="41">
        <v>-12.04341</v>
      </c>
      <c r="F642" s="41">
        <v>-76.970134000000002</v>
      </c>
      <c r="G642" s="41">
        <v>-12.050466999999999</v>
      </c>
      <c r="H642" s="41">
        <v>-76.966835000000003</v>
      </c>
      <c r="I642" s="41">
        <v>-12.054586</v>
      </c>
      <c r="J642" s="41">
        <v>-76.964710999999994</v>
      </c>
    </row>
    <row r="643" spans="1:10" x14ac:dyDescent="0.25">
      <c r="A643" s="15" t="s">
        <v>4307</v>
      </c>
      <c r="B643" s="15" t="s">
        <v>4321</v>
      </c>
      <c r="C643" s="42">
        <v>32.991</v>
      </c>
      <c r="D643" s="25">
        <v>3.0555555555555555E-2</v>
      </c>
      <c r="E643" s="43">
        <v>-12.042017</v>
      </c>
      <c r="F643" s="43">
        <v>-76.986729999999994</v>
      </c>
      <c r="G643" s="43">
        <v>-12.042907</v>
      </c>
      <c r="H643" s="43">
        <v>-77.029464000000004</v>
      </c>
      <c r="I643" s="43">
        <v>-11.991327999999999</v>
      </c>
      <c r="J643" s="43">
        <v>-77.063963000000001</v>
      </c>
    </row>
    <row r="644" spans="1:10" x14ac:dyDescent="0.25">
      <c r="A644" s="15" t="s">
        <v>4307</v>
      </c>
      <c r="B644" s="15" t="s">
        <v>4322</v>
      </c>
      <c r="C644" s="40">
        <v>26.376000000000001</v>
      </c>
      <c r="D644" s="29">
        <v>2.2222222222222223E-2</v>
      </c>
      <c r="E644" s="41">
        <v>-12.057921</v>
      </c>
      <c r="F644" s="41">
        <v>-76.974687000000003</v>
      </c>
      <c r="G644" s="41">
        <v>-12.084585000000001</v>
      </c>
      <c r="H644" s="41">
        <v>-76.981942000000004</v>
      </c>
      <c r="I644" s="41">
        <v>-12.191433999999999</v>
      </c>
      <c r="J644" s="41">
        <v>-76.972809999999996</v>
      </c>
    </row>
    <row r="645" spans="1:10" x14ac:dyDescent="0.25">
      <c r="A645" s="15" t="s">
        <v>4307</v>
      </c>
      <c r="B645" s="15" t="s">
        <v>4323</v>
      </c>
      <c r="C645" s="42">
        <v>19.25</v>
      </c>
      <c r="D645" s="25">
        <v>1.9444444444444445E-2</v>
      </c>
      <c r="E645" s="43">
        <v>-12.057676000000001</v>
      </c>
      <c r="F645" s="43">
        <v>-76.974108000000001</v>
      </c>
      <c r="G645" s="43">
        <v>-12.088533999999999</v>
      </c>
      <c r="H645" s="43">
        <v>-76.981436000000002</v>
      </c>
      <c r="I645" s="43">
        <v>-12.170729</v>
      </c>
      <c r="J645" s="43">
        <v>-76.980542</v>
      </c>
    </row>
    <row r="646" spans="1:10" x14ac:dyDescent="0.25">
      <c r="A646" s="15" t="s">
        <v>4307</v>
      </c>
      <c r="B646" s="15" t="s">
        <v>4324</v>
      </c>
      <c r="C646" s="40">
        <v>16.795000000000002</v>
      </c>
      <c r="D646" s="29">
        <v>2.0833333333333332E-2</v>
      </c>
      <c r="E646" s="41">
        <v>-12.058395000000001</v>
      </c>
      <c r="F646" s="41">
        <v>-76.974643</v>
      </c>
      <c r="G646" s="41">
        <v>-12.077928</v>
      </c>
      <c r="H646" s="41">
        <v>-76.976022999999998</v>
      </c>
      <c r="I646" s="41">
        <v>-12.092250999999999</v>
      </c>
      <c r="J646" s="41">
        <v>-77.033615999999995</v>
      </c>
    </row>
    <row r="647" spans="1:10" x14ac:dyDescent="0.25">
      <c r="A647" s="15" t="s">
        <v>4307</v>
      </c>
      <c r="B647" s="15" t="s">
        <v>4325</v>
      </c>
      <c r="C647" s="42">
        <v>17.294</v>
      </c>
      <c r="D647" s="25">
        <v>2.1527777777777778E-2</v>
      </c>
      <c r="E647" s="43">
        <v>-12.061681</v>
      </c>
      <c r="F647" s="43">
        <v>-76.972014999999999</v>
      </c>
      <c r="G647" s="43">
        <v>-12.123927</v>
      </c>
      <c r="H647" s="43">
        <v>-76.977121999999994</v>
      </c>
      <c r="I647" s="43">
        <v>-12.144819999999999</v>
      </c>
      <c r="J647" s="43">
        <v>-76.959654999999998</v>
      </c>
    </row>
    <row r="648" spans="1:10" x14ac:dyDescent="0.25">
      <c r="A648" s="15" t="s">
        <v>4307</v>
      </c>
      <c r="B648" s="15" t="s">
        <v>4268</v>
      </c>
      <c r="C648" s="40">
        <v>7.3879999999999999</v>
      </c>
      <c r="D648" s="29">
        <v>9.0277777777777769E-3</v>
      </c>
      <c r="E648" s="41">
        <v>-12.054586</v>
      </c>
      <c r="F648" s="41">
        <v>-76.964710999999994</v>
      </c>
      <c r="G648" s="41">
        <v>-12.042017</v>
      </c>
      <c r="H648" s="41">
        <v>-76.986729999999994</v>
      </c>
      <c r="I648" s="41">
        <v>-12.028886999999999</v>
      </c>
      <c r="J648" s="41">
        <v>-76.998332000000005</v>
      </c>
    </row>
    <row r="649" spans="1:10" x14ac:dyDescent="0.25">
      <c r="A649" s="15" t="s">
        <v>4308</v>
      </c>
      <c r="B649" s="15" t="s">
        <v>4267</v>
      </c>
      <c r="C649" s="42">
        <v>10.170999999999999</v>
      </c>
      <c r="D649" s="25">
        <v>2.0833333333333332E-2</v>
      </c>
      <c r="E649" s="43">
        <v>-12.078334</v>
      </c>
      <c r="F649" s="43">
        <v>-77.081130999999999</v>
      </c>
      <c r="G649" s="43">
        <v>-12.057228</v>
      </c>
      <c r="H649" s="43">
        <v>-77.079847999999998</v>
      </c>
      <c r="I649" s="43">
        <v>-12.049734000000001</v>
      </c>
      <c r="J649" s="43">
        <v>-77.075610999999995</v>
      </c>
    </row>
    <row r="650" spans="1:10" x14ac:dyDescent="0.25">
      <c r="A650" s="15" t="s">
        <v>4308</v>
      </c>
      <c r="B650" s="15" t="s">
        <v>4280</v>
      </c>
      <c r="C650" s="40">
        <v>16.684000000000001</v>
      </c>
      <c r="D650" s="29">
        <v>1.6666666666666666E-2</v>
      </c>
      <c r="E650" s="41">
        <v>-12.102997999999999</v>
      </c>
      <c r="F650" s="41">
        <v>-77.064746999999997</v>
      </c>
      <c r="G650" s="41">
        <v>-12.125451</v>
      </c>
      <c r="H650" s="41">
        <v>-77.039016000000004</v>
      </c>
      <c r="I650" s="41">
        <v>-12.161678</v>
      </c>
      <c r="J650" s="41">
        <v>-77.025835999999998</v>
      </c>
    </row>
    <row r="651" spans="1:10" x14ac:dyDescent="0.25">
      <c r="A651" s="15" t="s">
        <v>4308</v>
      </c>
      <c r="B651" s="15" t="s">
        <v>4281</v>
      </c>
      <c r="C651" s="42">
        <v>27.637</v>
      </c>
      <c r="D651" s="25">
        <v>2.5000000000000001E-2</v>
      </c>
      <c r="E651" s="43">
        <v>-12.111496000000001</v>
      </c>
      <c r="F651" s="43">
        <v>-77.053648999999993</v>
      </c>
      <c r="G651" s="43">
        <v>-12.135825000000001</v>
      </c>
      <c r="H651" s="43">
        <v>-77.024100000000004</v>
      </c>
      <c r="I651" s="43">
        <v>-12.090726</v>
      </c>
      <c r="J651" s="43">
        <v>-77.021277999999995</v>
      </c>
    </row>
    <row r="652" spans="1:10" x14ac:dyDescent="0.25">
      <c r="A652" s="15" t="s">
        <v>4308</v>
      </c>
      <c r="B652" s="15" t="s">
        <v>4296</v>
      </c>
      <c r="C652" s="40">
        <v>5.9989999999999997</v>
      </c>
      <c r="D652" s="29">
        <v>1.3194444444444444E-2</v>
      </c>
      <c r="E652" s="41">
        <v>-12.077897999999999</v>
      </c>
      <c r="F652" s="41">
        <v>-77.092079999999996</v>
      </c>
      <c r="G652" s="41">
        <v>-12.073606</v>
      </c>
      <c r="H652" s="41">
        <v>-77.078584000000006</v>
      </c>
      <c r="I652" s="41">
        <v>-12.072163</v>
      </c>
      <c r="J652" s="41">
        <v>-77.064199000000002</v>
      </c>
    </row>
    <row r="653" spans="1:10" x14ac:dyDescent="0.25">
      <c r="A653" s="15" t="s">
        <v>4308</v>
      </c>
      <c r="B653" s="15" t="s">
        <v>4297</v>
      </c>
      <c r="C653" s="42">
        <v>22.030999999999999</v>
      </c>
      <c r="D653" s="25">
        <v>1.9444444444444445E-2</v>
      </c>
      <c r="E653" s="43">
        <v>-12.106230999999999</v>
      </c>
      <c r="F653" s="43">
        <v>-77.060967000000005</v>
      </c>
      <c r="G653" s="43">
        <v>-12.133956</v>
      </c>
      <c r="H653" s="43">
        <v>-77.029953000000006</v>
      </c>
      <c r="I653" s="43">
        <v>-12.117785</v>
      </c>
      <c r="J653" s="43">
        <v>-77.026004999999998</v>
      </c>
    </row>
    <row r="654" spans="1:10" x14ac:dyDescent="0.25">
      <c r="A654" s="15" t="s">
        <v>4308</v>
      </c>
      <c r="B654" s="15" t="s">
        <v>4298</v>
      </c>
      <c r="C654" s="40">
        <v>15.852</v>
      </c>
      <c r="D654" s="29">
        <v>1.4583333333333334E-2</v>
      </c>
      <c r="E654" s="41">
        <v>-12.102145</v>
      </c>
      <c r="F654" s="41">
        <v>-77.065888000000001</v>
      </c>
      <c r="G654" s="41">
        <v>-12.123885</v>
      </c>
      <c r="H654" s="41">
        <v>-77.041393999999997</v>
      </c>
      <c r="I654" s="41">
        <v>-12.134161000000001</v>
      </c>
      <c r="J654" s="41">
        <v>-77.020719</v>
      </c>
    </row>
    <row r="655" spans="1:10" x14ac:dyDescent="0.25">
      <c r="A655" s="15" t="s">
        <v>4308</v>
      </c>
      <c r="B655" s="15" t="s">
        <v>4299</v>
      </c>
      <c r="C655" s="42">
        <v>10.199999999999999</v>
      </c>
      <c r="D655" s="25">
        <v>1.1805555555555555E-2</v>
      </c>
      <c r="E655" s="43">
        <v>-12.094519999999999</v>
      </c>
      <c r="F655" s="43">
        <v>-77.079750000000004</v>
      </c>
      <c r="G655" s="43">
        <v>-12.112159999999999</v>
      </c>
      <c r="H655" s="43">
        <v>-77.052550999999994</v>
      </c>
      <c r="I655" s="43">
        <v>-12.113082</v>
      </c>
      <c r="J655" s="43">
        <v>-77.048681999999999</v>
      </c>
    </row>
    <row r="656" spans="1:10" x14ac:dyDescent="0.25">
      <c r="A656" s="15" t="s">
        <v>4308</v>
      </c>
      <c r="B656" s="15" t="s">
        <v>4300</v>
      </c>
      <c r="C656" s="40">
        <v>24.504999999999999</v>
      </c>
      <c r="D656" s="29">
        <v>2.0833333333333332E-2</v>
      </c>
      <c r="E656" s="41">
        <v>-12.110723</v>
      </c>
      <c r="F656" s="41">
        <v>-77.055385999999999</v>
      </c>
      <c r="G656" s="41">
        <v>-12.137601999999999</v>
      </c>
      <c r="H656" s="41">
        <v>-77.026409000000001</v>
      </c>
      <c r="I656" s="41">
        <v>-12.09507</v>
      </c>
      <c r="J656" s="41">
        <v>-77.024058999999994</v>
      </c>
    </row>
    <row r="657" spans="1:10" x14ac:dyDescent="0.25">
      <c r="A657" s="15" t="s">
        <v>4308</v>
      </c>
      <c r="B657" s="15" t="s">
        <v>4301</v>
      </c>
      <c r="C657" s="42">
        <v>22.672999999999998</v>
      </c>
      <c r="D657" s="25">
        <v>2.9861111111111113E-2</v>
      </c>
      <c r="E657" s="43">
        <v>-12.068946</v>
      </c>
      <c r="F657" s="43">
        <v>-77.077747000000002</v>
      </c>
      <c r="G657" s="43">
        <v>-12.03424</v>
      </c>
      <c r="H657" s="43">
        <v>-77.078328999999997</v>
      </c>
      <c r="I657" s="43">
        <v>-12.028852000000001</v>
      </c>
      <c r="J657" s="43">
        <v>-77.057526999999993</v>
      </c>
    </row>
    <row r="658" spans="1:10" x14ac:dyDescent="0.25">
      <c r="A658" s="15" t="s">
        <v>4308</v>
      </c>
      <c r="B658" s="15" t="s">
        <v>4302</v>
      </c>
      <c r="C658" s="40">
        <v>20.548999999999999</v>
      </c>
      <c r="D658" s="29">
        <v>1.9444444444444445E-2</v>
      </c>
      <c r="E658" s="41">
        <v>-12.105893</v>
      </c>
      <c r="F658" s="41">
        <v>-77.061282000000006</v>
      </c>
      <c r="G658" s="41">
        <v>-12.132603</v>
      </c>
      <c r="H658" s="41">
        <v>-77.031155999999996</v>
      </c>
      <c r="I658" s="41">
        <v>-12.124864000000001</v>
      </c>
      <c r="J658" s="41">
        <v>-77.024158</v>
      </c>
    </row>
    <row r="659" spans="1:10" x14ac:dyDescent="0.25">
      <c r="A659" s="15" t="s">
        <v>4308</v>
      </c>
      <c r="B659" s="15" t="s">
        <v>4303</v>
      </c>
      <c r="C659" s="42">
        <v>21.77</v>
      </c>
      <c r="D659" s="25">
        <v>1.9444444444444445E-2</v>
      </c>
      <c r="E659" s="43">
        <v>-12.106230999999999</v>
      </c>
      <c r="F659" s="43">
        <v>-77.060967000000005</v>
      </c>
      <c r="G659" s="43">
        <v>-12.133956</v>
      </c>
      <c r="H659" s="43">
        <v>-77.029953000000006</v>
      </c>
      <c r="I659" s="43">
        <v>-12.117785</v>
      </c>
      <c r="J659" s="43">
        <v>-77.026004999999998</v>
      </c>
    </row>
    <row r="660" spans="1:10" x14ac:dyDescent="0.25">
      <c r="A660" s="15" t="s">
        <v>4308</v>
      </c>
      <c r="B660" s="15" t="s">
        <v>4304</v>
      </c>
      <c r="C660" s="40">
        <v>21.503</v>
      </c>
      <c r="D660" s="29">
        <v>1.8749999999999999E-2</v>
      </c>
      <c r="E660" s="41">
        <v>-12.106230999999999</v>
      </c>
      <c r="F660" s="41">
        <v>-77.060967000000005</v>
      </c>
      <c r="G660" s="41">
        <v>-12.133956</v>
      </c>
      <c r="H660" s="41">
        <v>-77.029953000000006</v>
      </c>
      <c r="I660" s="41">
        <v>-12.117785</v>
      </c>
      <c r="J660" s="41">
        <v>-77.026004999999998</v>
      </c>
    </row>
    <row r="661" spans="1:10" x14ac:dyDescent="0.25">
      <c r="A661" s="15" t="s">
        <v>4308</v>
      </c>
      <c r="B661" s="15" t="s">
        <v>4269</v>
      </c>
      <c r="C661" s="42">
        <v>3.2370000000000001</v>
      </c>
      <c r="D661" s="25">
        <v>6.9444444444444441E-3</v>
      </c>
      <c r="E661" s="43">
        <v>-12.079211000000001</v>
      </c>
      <c r="F661" s="43">
        <v>-77.093581</v>
      </c>
      <c r="G661" s="43">
        <v>-12.078071</v>
      </c>
      <c r="H661" s="43">
        <v>-77.090681000000004</v>
      </c>
      <c r="I661" s="43">
        <v>-12.079076000000001</v>
      </c>
      <c r="J661" s="43">
        <v>-77.081767999999997</v>
      </c>
    </row>
    <row r="662" spans="1:10" x14ac:dyDescent="0.25">
      <c r="A662" s="15" t="s">
        <v>4308</v>
      </c>
      <c r="B662" s="15" t="s">
        <v>4305</v>
      </c>
      <c r="C662" s="40">
        <v>7.2069999999999999</v>
      </c>
      <c r="D662" s="29">
        <v>1.3888888888888888E-2</v>
      </c>
      <c r="E662" s="41">
        <v>-12.075741000000001</v>
      </c>
      <c r="F662" s="41">
        <v>-77.080208999999996</v>
      </c>
      <c r="G662" s="41">
        <v>-12.068108000000001</v>
      </c>
      <c r="H662" s="41">
        <v>-77.061588</v>
      </c>
      <c r="I662" s="41">
        <v>-12.061987</v>
      </c>
      <c r="J662" s="41">
        <v>-77.048394000000002</v>
      </c>
    </row>
    <row r="663" spans="1:10" x14ac:dyDescent="0.25">
      <c r="A663" s="15" t="s">
        <v>4308</v>
      </c>
      <c r="B663" s="15" t="s">
        <v>4306</v>
      </c>
      <c r="C663" s="42">
        <v>17.5</v>
      </c>
      <c r="D663" s="25">
        <v>1.9444444444444445E-2</v>
      </c>
      <c r="E663" s="43">
        <v>-12.102145</v>
      </c>
      <c r="F663" s="43">
        <v>-77.065888000000001</v>
      </c>
      <c r="G663" s="43">
        <v>-12.123885</v>
      </c>
      <c r="H663" s="43">
        <v>-77.041393999999997</v>
      </c>
      <c r="I663" s="43">
        <v>-12.134161000000001</v>
      </c>
      <c r="J663" s="43">
        <v>-77.020719</v>
      </c>
    </row>
    <row r="664" spans="1:10" x14ac:dyDescent="0.25">
      <c r="A664" s="15" t="s">
        <v>4308</v>
      </c>
      <c r="B664" s="15" t="s">
        <v>4277</v>
      </c>
      <c r="C664" s="40">
        <v>6.6210000000000004</v>
      </c>
      <c r="D664" s="29">
        <v>1.2500000000000001E-2</v>
      </c>
      <c r="E664" s="41">
        <v>-12.078842</v>
      </c>
      <c r="F664" s="41">
        <v>-77.093368999999996</v>
      </c>
      <c r="G664" s="41">
        <v>-12.084009999999999</v>
      </c>
      <c r="H664" s="41">
        <v>-77.065117999999998</v>
      </c>
      <c r="I664" s="41">
        <v>-12.094590999999999</v>
      </c>
      <c r="J664" s="41">
        <v>-77.051033000000004</v>
      </c>
    </row>
    <row r="665" spans="1:10" x14ac:dyDescent="0.25">
      <c r="A665" s="15" t="s">
        <v>4308</v>
      </c>
      <c r="B665" s="15" t="s">
        <v>4307</v>
      </c>
      <c r="C665" s="42">
        <v>30.166</v>
      </c>
      <c r="D665" s="25">
        <v>2.6388888888888889E-2</v>
      </c>
      <c r="E665" s="43">
        <v>-12.115296000000001</v>
      </c>
      <c r="F665" s="43">
        <v>-77.050341000000003</v>
      </c>
      <c r="G665" s="43">
        <v>-12.134764000000001</v>
      </c>
      <c r="H665" s="43">
        <v>-77.019250999999997</v>
      </c>
      <c r="I665" s="43">
        <v>-12.085198</v>
      </c>
      <c r="J665" s="43">
        <v>-76.981576000000004</v>
      </c>
    </row>
    <row r="666" spans="1:10" x14ac:dyDescent="0.25">
      <c r="A666" s="15" t="s">
        <v>4308</v>
      </c>
      <c r="B666" s="15" t="s">
        <v>4308</v>
      </c>
      <c r="C666" s="40">
        <v>0</v>
      </c>
      <c r="D666" s="29">
        <v>0</v>
      </c>
      <c r="E666" s="41" t="str">
        <f>'1 ubicaciones'!D19</f>
        <v>-120.061.147</v>
      </c>
      <c r="F666" s="41" t="str">
        <f>'1 ubicaciones'!E19</f>
        <v>-770.732.693</v>
      </c>
      <c r="G666" s="41" t="str">
        <f>'1 ubicaciones'!D19</f>
        <v>-120.061.147</v>
      </c>
      <c r="H666" s="41" t="str">
        <f>'1 ubicaciones'!E19</f>
        <v>-770.732.693</v>
      </c>
      <c r="I666" s="41" t="str">
        <f>'1 ubicaciones'!D19</f>
        <v>-120.061.147</v>
      </c>
      <c r="J666" s="41" t="str">
        <f>'1 ubicaciones'!E19</f>
        <v>-770.732.693</v>
      </c>
    </row>
    <row r="667" spans="1:10" x14ac:dyDescent="0.25">
      <c r="A667" s="15" t="s">
        <v>4308</v>
      </c>
      <c r="B667" s="15" t="s">
        <v>4309</v>
      </c>
      <c r="C667" s="42">
        <v>20.056000000000001</v>
      </c>
      <c r="D667" s="25">
        <v>1.5972222222222221E-2</v>
      </c>
      <c r="E667" s="43">
        <v>-12.104236</v>
      </c>
      <c r="F667" s="43">
        <v>-77.063581999999997</v>
      </c>
      <c r="G667" s="43">
        <v>-12.131237</v>
      </c>
      <c r="H667" s="43">
        <v>-77.033829999999995</v>
      </c>
      <c r="I667" s="43">
        <v>-12.132937</v>
      </c>
      <c r="J667" s="43">
        <v>-77.021254999999996</v>
      </c>
    </row>
    <row r="668" spans="1:10" x14ac:dyDescent="0.25">
      <c r="A668" s="15" t="s">
        <v>4308</v>
      </c>
      <c r="B668" s="15" t="s">
        <v>4278</v>
      </c>
      <c r="C668" s="40">
        <v>14.222</v>
      </c>
      <c r="D668" s="29">
        <v>2.361111111111111E-2</v>
      </c>
      <c r="E668" s="41">
        <v>-12.06696</v>
      </c>
      <c r="F668" s="41">
        <v>-77.077771999999996</v>
      </c>
      <c r="G668" s="41">
        <v>-12.029399</v>
      </c>
      <c r="H668" s="41">
        <v>-77.076606999999996</v>
      </c>
      <c r="I668" s="41">
        <v>-12.028155999999999</v>
      </c>
      <c r="J668" s="41">
        <v>-77.057744999999997</v>
      </c>
    </row>
    <row r="669" spans="1:10" x14ac:dyDescent="0.25">
      <c r="A669" s="15" t="s">
        <v>4308</v>
      </c>
      <c r="B669" s="15" t="s">
        <v>4310</v>
      </c>
      <c r="C669" s="42">
        <v>18.273</v>
      </c>
      <c r="D669" s="25">
        <v>2.2222222222222223E-2</v>
      </c>
      <c r="E669" s="43">
        <v>-12.051500000000001</v>
      </c>
      <c r="F669" s="43">
        <v>-77.098224999999999</v>
      </c>
      <c r="G669" s="43">
        <v>-12.036955000000001</v>
      </c>
      <c r="H669" s="43">
        <v>-77.047605000000004</v>
      </c>
      <c r="I669" s="43">
        <v>-12.040430000000001</v>
      </c>
      <c r="J669" s="43">
        <v>-77.014131000000006</v>
      </c>
    </row>
    <row r="670" spans="1:10" x14ac:dyDescent="0.25">
      <c r="A670" s="15" t="s">
        <v>4308</v>
      </c>
      <c r="B670" s="15" t="s">
        <v>4311</v>
      </c>
      <c r="C670" s="40">
        <v>8.4879999999999995</v>
      </c>
      <c r="D670" s="29">
        <v>1.6666666666666666E-2</v>
      </c>
      <c r="E670" s="41">
        <v>-12.078554</v>
      </c>
      <c r="F670" s="41">
        <v>-77.080018999999993</v>
      </c>
      <c r="G670" s="41">
        <v>-12.088132</v>
      </c>
      <c r="H670" s="41">
        <v>-77.050873999999993</v>
      </c>
      <c r="I670" s="41">
        <v>-12.079477000000001</v>
      </c>
      <c r="J670" s="41">
        <v>-77.042158000000001</v>
      </c>
    </row>
    <row r="671" spans="1:10" x14ac:dyDescent="0.25">
      <c r="A671" s="15" t="s">
        <v>4308</v>
      </c>
      <c r="B671" s="15" t="s">
        <v>4312</v>
      </c>
      <c r="C671" s="42">
        <v>21.763000000000002</v>
      </c>
      <c r="D671" s="25">
        <v>1.8749999999999999E-2</v>
      </c>
      <c r="E671" s="43">
        <v>-12.106230999999999</v>
      </c>
      <c r="F671" s="43">
        <v>-77.060967000000005</v>
      </c>
      <c r="G671" s="43">
        <v>-12.133956</v>
      </c>
      <c r="H671" s="43">
        <v>-77.029953000000006</v>
      </c>
      <c r="I671" s="43">
        <v>-12.117785</v>
      </c>
      <c r="J671" s="43">
        <v>-77.026004999999998</v>
      </c>
    </row>
    <row r="672" spans="1:10" x14ac:dyDescent="0.25">
      <c r="A672" s="15" t="s">
        <v>4308</v>
      </c>
      <c r="B672" s="15" t="s">
        <v>4313</v>
      </c>
      <c r="C672" s="40">
        <v>6.2779999999999996</v>
      </c>
      <c r="D672" s="29">
        <v>1.3888888888888888E-2</v>
      </c>
      <c r="E672" s="41">
        <v>-12.077897999999999</v>
      </c>
      <c r="F672" s="41">
        <v>-77.092079999999996</v>
      </c>
      <c r="G672" s="41">
        <v>-12.073606</v>
      </c>
      <c r="H672" s="41">
        <v>-77.078584000000006</v>
      </c>
      <c r="I672" s="41">
        <v>-12.072163</v>
      </c>
      <c r="J672" s="41">
        <v>-77.064199000000002</v>
      </c>
    </row>
    <row r="673" spans="1:10" x14ac:dyDescent="0.25">
      <c r="A673" s="15" t="s">
        <v>4308</v>
      </c>
      <c r="B673" s="15" t="s">
        <v>4314</v>
      </c>
      <c r="C673" s="42">
        <v>2.0760000000000001</v>
      </c>
      <c r="D673" s="25">
        <v>6.2500000000000003E-3</v>
      </c>
      <c r="E673" s="43">
        <v>-12.079228000000001</v>
      </c>
      <c r="F673" s="43">
        <v>-77.093542999999997</v>
      </c>
      <c r="G673" s="43">
        <v>-12.078272</v>
      </c>
      <c r="H673" s="43">
        <v>-77.082538999999997</v>
      </c>
      <c r="I673" s="43">
        <v>-12.078989</v>
      </c>
      <c r="J673" s="43">
        <v>-77.081468999999998</v>
      </c>
    </row>
    <row r="674" spans="1:10" x14ac:dyDescent="0.25">
      <c r="A674" s="15" t="s">
        <v>4308</v>
      </c>
      <c r="B674" s="15" t="s">
        <v>4315</v>
      </c>
      <c r="C674" s="40">
        <v>20.873999999999999</v>
      </c>
      <c r="D674" s="29">
        <v>2.2222222222222223E-2</v>
      </c>
      <c r="E674" s="41">
        <v>-12.102145</v>
      </c>
      <c r="F674" s="41">
        <v>-77.065888000000001</v>
      </c>
      <c r="G674" s="41">
        <v>-12.123885</v>
      </c>
      <c r="H674" s="41">
        <v>-77.041393999999997</v>
      </c>
      <c r="I674" s="41">
        <v>-12.134161000000001</v>
      </c>
      <c r="J674" s="41">
        <v>-77.020719</v>
      </c>
    </row>
    <row r="675" spans="1:10" x14ac:dyDescent="0.25">
      <c r="A675" s="15" t="s">
        <v>4308</v>
      </c>
      <c r="B675" s="15" t="s">
        <v>4316</v>
      </c>
      <c r="C675" s="42">
        <v>8.7050000000000001</v>
      </c>
      <c r="D675" s="25">
        <v>9.7222222222222224E-3</v>
      </c>
      <c r="E675" s="43">
        <v>-12.090843</v>
      </c>
      <c r="F675" s="43">
        <v>-77.087551000000005</v>
      </c>
      <c r="G675" s="43">
        <v>-12.105893</v>
      </c>
      <c r="H675" s="43">
        <v>-77.061282000000006</v>
      </c>
      <c r="I675" s="43">
        <v>-12.104592999999999</v>
      </c>
      <c r="J675" s="43">
        <v>-77.062145999999998</v>
      </c>
    </row>
    <row r="676" spans="1:10" x14ac:dyDescent="0.25">
      <c r="A676" s="15" t="s">
        <v>4308</v>
      </c>
      <c r="B676" s="15" t="s">
        <v>4317</v>
      </c>
      <c r="C676" s="40">
        <v>21.495999999999999</v>
      </c>
      <c r="D676" s="29">
        <v>2.5000000000000001E-2</v>
      </c>
      <c r="E676" s="41">
        <v>-12.105893</v>
      </c>
      <c r="F676" s="41">
        <v>-77.061282000000006</v>
      </c>
      <c r="G676" s="41">
        <v>-12.132603</v>
      </c>
      <c r="H676" s="41">
        <v>-77.031155999999996</v>
      </c>
      <c r="I676" s="41">
        <v>-12.133042</v>
      </c>
      <c r="J676" s="41">
        <v>-77.021062000000001</v>
      </c>
    </row>
    <row r="677" spans="1:10" x14ac:dyDescent="0.25">
      <c r="A677" s="15" t="s">
        <v>4308</v>
      </c>
      <c r="B677" s="15" t="s">
        <v>4318</v>
      </c>
      <c r="C677" s="42">
        <v>19.276</v>
      </c>
      <c r="D677" s="25">
        <v>1.6666666666666666E-2</v>
      </c>
      <c r="E677" s="43">
        <v>-12.104236</v>
      </c>
      <c r="F677" s="43">
        <v>-77.063581999999997</v>
      </c>
      <c r="G677" s="43">
        <v>-12.131237</v>
      </c>
      <c r="H677" s="43">
        <v>-77.033829999999995</v>
      </c>
      <c r="I677" s="43">
        <v>-12.132937</v>
      </c>
      <c r="J677" s="43">
        <v>-77.021254999999996</v>
      </c>
    </row>
    <row r="678" spans="1:10" x14ac:dyDescent="0.25">
      <c r="A678" s="15" t="s">
        <v>4308</v>
      </c>
      <c r="B678" s="15" t="s">
        <v>4319</v>
      </c>
      <c r="C678" s="40">
        <v>21.994</v>
      </c>
      <c r="D678" s="29">
        <v>2.013888888888889E-2</v>
      </c>
      <c r="E678" s="41">
        <v>-12.105893</v>
      </c>
      <c r="F678" s="41">
        <v>-77.061282000000006</v>
      </c>
      <c r="G678" s="41">
        <v>-12.132603</v>
      </c>
      <c r="H678" s="41">
        <v>-77.031155999999996</v>
      </c>
      <c r="I678" s="41">
        <v>-12.124864000000001</v>
      </c>
      <c r="J678" s="41">
        <v>-77.024158</v>
      </c>
    </row>
    <row r="679" spans="1:10" x14ac:dyDescent="0.25">
      <c r="A679" s="15" t="s">
        <v>4308</v>
      </c>
      <c r="B679" s="15" t="s">
        <v>4279</v>
      </c>
      <c r="C679" s="42">
        <v>4.7830000000000004</v>
      </c>
      <c r="D679" s="25">
        <v>9.0277777777777769E-3</v>
      </c>
      <c r="E679" s="43">
        <v>-12.073731</v>
      </c>
      <c r="F679" s="43">
        <v>-77.101235000000003</v>
      </c>
      <c r="G679" s="43">
        <v>-12.068324</v>
      </c>
      <c r="H679" s="43">
        <v>-77.097609000000006</v>
      </c>
      <c r="I679" s="43">
        <v>-12.052395000000001</v>
      </c>
      <c r="J679" s="43">
        <v>-77.097873000000007</v>
      </c>
    </row>
    <row r="680" spans="1:10" x14ac:dyDescent="0.25">
      <c r="A680" s="15" t="s">
        <v>4308</v>
      </c>
      <c r="B680" s="15" t="s">
        <v>4320</v>
      </c>
      <c r="C680" s="40">
        <v>26.106000000000002</v>
      </c>
      <c r="D680" s="29">
        <v>2.2916666666666665E-2</v>
      </c>
      <c r="E680" s="41">
        <v>-12.113629</v>
      </c>
      <c r="F680" s="41">
        <v>-77.050905999999998</v>
      </c>
      <c r="G680" s="41">
        <v>-12.134104000000001</v>
      </c>
      <c r="H680" s="41">
        <v>-77.019389000000004</v>
      </c>
      <c r="I680" s="41">
        <v>-12.086880000000001</v>
      </c>
      <c r="J680" s="41">
        <v>-76.994710999999995</v>
      </c>
    </row>
    <row r="681" spans="1:10" x14ac:dyDescent="0.25">
      <c r="A681" s="15" t="s">
        <v>4308</v>
      </c>
      <c r="B681" s="15" t="s">
        <v>4321</v>
      </c>
      <c r="C681" s="42">
        <v>28.565000000000001</v>
      </c>
      <c r="D681" s="25">
        <v>3.7499999999999999E-2</v>
      </c>
      <c r="E681" s="43">
        <v>-12.056521</v>
      </c>
      <c r="F681" s="43">
        <v>-77.080264999999997</v>
      </c>
      <c r="G681" s="43">
        <v>-12.027971000000001</v>
      </c>
      <c r="H681" s="43">
        <v>-77.068284000000006</v>
      </c>
      <c r="I681" s="43">
        <v>-12.008202000000001</v>
      </c>
      <c r="J681" s="43">
        <v>-77.061321000000007</v>
      </c>
    </row>
    <row r="682" spans="1:10" x14ac:dyDescent="0.25">
      <c r="A682" s="15" t="s">
        <v>4308</v>
      </c>
      <c r="B682" s="15" t="s">
        <v>4322</v>
      </c>
      <c r="C682" s="40">
        <v>17.643999999999998</v>
      </c>
      <c r="D682" s="29">
        <v>1.8055555555555554E-2</v>
      </c>
      <c r="E682" s="41">
        <v>-12.102231</v>
      </c>
      <c r="F682" s="41">
        <v>-77.065754999999996</v>
      </c>
      <c r="G682" s="41">
        <v>-12.124476</v>
      </c>
      <c r="H682" s="41">
        <v>-77.040121999999997</v>
      </c>
      <c r="I682" s="41">
        <v>-12.152922</v>
      </c>
      <c r="J682" s="41">
        <v>-77.024518999999998</v>
      </c>
    </row>
    <row r="683" spans="1:10" x14ac:dyDescent="0.25">
      <c r="A683" s="15" t="s">
        <v>4308</v>
      </c>
      <c r="B683" s="15" t="s">
        <v>4323</v>
      </c>
      <c r="C683" s="42">
        <v>18.154</v>
      </c>
      <c r="D683" s="25">
        <v>1.9444444444444445E-2</v>
      </c>
      <c r="E683" s="43">
        <v>-12.102231</v>
      </c>
      <c r="F683" s="43">
        <v>-77.065754999999996</v>
      </c>
      <c r="G683" s="43">
        <v>-12.124476</v>
      </c>
      <c r="H683" s="43">
        <v>-77.040121999999997</v>
      </c>
      <c r="I683" s="43">
        <v>-12.152922</v>
      </c>
      <c r="J683" s="43">
        <v>-77.024518999999998</v>
      </c>
    </row>
    <row r="684" spans="1:10" x14ac:dyDescent="0.25">
      <c r="A684" s="15" t="s">
        <v>4308</v>
      </c>
      <c r="B684" s="15" t="s">
        <v>4324</v>
      </c>
      <c r="C684" s="40">
        <v>4.2460000000000004</v>
      </c>
      <c r="D684" s="29">
        <v>9.7222222222222224E-3</v>
      </c>
      <c r="E684" s="41">
        <v>-12.077897999999999</v>
      </c>
      <c r="F684" s="41">
        <v>-77.092079999999996</v>
      </c>
      <c r="G684" s="41">
        <v>-12.08014</v>
      </c>
      <c r="H684" s="41">
        <v>-77.075821000000005</v>
      </c>
      <c r="I684" s="41">
        <v>-12.075436</v>
      </c>
      <c r="J684" s="41">
        <v>-77.068644000000006</v>
      </c>
    </row>
    <row r="685" spans="1:10" x14ac:dyDescent="0.25">
      <c r="A685" s="15" t="s">
        <v>4308</v>
      </c>
      <c r="B685" s="15" t="s">
        <v>4325</v>
      </c>
      <c r="C685" s="42">
        <v>24.855</v>
      </c>
      <c r="D685" s="25">
        <v>3.125E-2</v>
      </c>
      <c r="E685" s="43">
        <v>-12.111058</v>
      </c>
      <c r="F685" s="43">
        <v>-77.055002999999999</v>
      </c>
      <c r="G685" s="43">
        <v>-12.136414</v>
      </c>
      <c r="H685" s="43">
        <v>-77.025666000000001</v>
      </c>
      <c r="I685" s="43">
        <v>-12.143761</v>
      </c>
      <c r="J685" s="43">
        <v>-76.990146999999993</v>
      </c>
    </row>
    <row r="686" spans="1:10" x14ac:dyDescent="0.25">
      <c r="A686" s="15" t="s">
        <v>4308</v>
      </c>
      <c r="B686" s="15" t="s">
        <v>4268</v>
      </c>
      <c r="C686" s="40">
        <v>17.734000000000002</v>
      </c>
      <c r="D686" s="29">
        <v>2.0833333333333332E-2</v>
      </c>
      <c r="E686" s="41">
        <v>-12.051500000000001</v>
      </c>
      <c r="F686" s="41">
        <v>-77.098224999999999</v>
      </c>
      <c r="G686" s="41">
        <v>-12.036955000000001</v>
      </c>
      <c r="H686" s="41">
        <v>-77.047605000000004</v>
      </c>
      <c r="I686" s="41">
        <v>-12.040430000000001</v>
      </c>
      <c r="J686" s="41">
        <v>-77.014131000000006</v>
      </c>
    </row>
    <row r="687" spans="1:10" x14ac:dyDescent="0.25">
      <c r="A687" s="15" t="s">
        <v>4309</v>
      </c>
      <c r="B687" s="15" t="s">
        <v>4267</v>
      </c>
      <c r="C687" s="42">
        <v>6.8</v>
      </c>
      <c r="D687" s="25">
        <v>1.1805555555555555E-2</v>
      </c>
      <c r="E687" s="43">
        <v>-12.076533</v>
      </c>
      <c r="F687" s="43">
        <v>-77.022751999999997</v>
      </c>
      <c r="G687" s="43">
        <v>-12.081018</v>
      </c>
      <c r="H687" s="43">
        <v>-77.024405999999999</v>
      </c>
      <c r="I687" s="43">
        <v>-12.059535</v>
      </c>
      <c r="J687" s="43">
        <v>-77.035432</v>
      </c>
    </row>
    <row r="688" spans="1:10" x14ac:dyDescent="0.25">
      <c r="A688" s="15" t="s">
        <v>4309</v>
      </c>
      <c r="B688" s="15" t="s">
        <v>4280</v>
      </c>
      <c r="C688" s="40">
        <v>14.888999999999999</v>
      </c>
      <c r="D688" s="29">
        <v>1.5277777777777777E-2</v>
      </c>
      <c r="E688" s="41">
        <v>-12.100593</v>
      </c>
      <c r="F688" s="41">
        <v>-77.026944999999998</v>
      </c>
      <c r="G688" s="41">
        <v>-12.136260999999999</v>
      </c>
      <c r="H688" s="41">
        <v>-77.025705000000002</v>
      </c>
      <c r="I688" s="41">
        <v>-12.161728999999999</v>
      </c>
      <c r="J688" s="41">
        <v>-77.025344000000004</v>
      </c>
    </row>
    <row r="689" spans="1:10" x14ac:dyDescent="0.25">
      <c r="A689" s="15" t="s">
        <v>4309</v>
      </c>
      <c r="B689" s="15" t="s">
        <v>4281</v>
      </c>
      <c r="C689" s="42">
        <v>11.353999999999999</v>
      </c>
      <c r="D689" s="25">
        <v>1.5277777777777777E-2</v>
      </c>
      <c r="E689" s="43">
        <v>-12.081253</v>
      </c>
      <c r="F689" s="43">
        <v>-77.005616000000003</v>
      </c>
      <c r="G689" s="43">
        <v>-12.086880000000001</v>
      </c>
      <c r="H689" s="43">
        <v>-76.994710999999995</v>
      </c>
      <c r="I689" s="43">
        <v>-12.074628000000001</v>
      </c>
      <c r="J689" s="43">
        <v>-76.96266</v>
      </c>
    </row>
    <row r="690" spans="1:10" x14ac:dyDescent="0.25">
      <c r="A690" s="15" t="s">
        <v>4309</v>
      </c>
      <c r="B690" s="15" t="s">
        <v>4296</v>
      </c>
      <c r="C690" s="40">
        <v>4.0890000000000004</v>
      </c>
      <c r="D690" s="29">
        <v>9.0277777777777769E-3</v>
      </c>
      <c r="E690" s="41">
        <v>-12.076866000000001</v>
      </c>
      <c r="F690" s="41">
        <v>-77.029426999999998</v>
      </c>
      <c r="G690" s="41">
        <v>-12.074299999999999</v>
      </c>
      <c r="H690" s="41">
        <v>-77.034837999999993</v>
      </c>
      <c r="I690" s="41">
        <v>-12.074919</v>
      </c>
      <c r="J690" s="41">
        <v>-77.044107999999994</v>
      </c>
    </row>
    <row r="691" spans="1:10" x14ac:dyDescent="0.25">
      <c r="A691" s="15" t="s">
        <v>4309</v>
      </c>
      <c r="B691" s="15" t="s">
        <v>4297</v>
      </c>
      <c r="C691" s="42">
        <v>1.974</v>
      </c>
      <c r="D691" s="25">
        <v>3.472222222222222E-3</v>
      </c>
      <c r="E691" s="43">
        <v>-12.073877</v>
      </c>
      <c r="F691" s="43">
        <v>-77.017970000000005</v>
      </c>
      <c r="G691" s="43">
        <v>-12.072037</v>
      </c>
      <c r="H691" s="43">
        <v>-77.011477999999997</v>
      </c>
      <c r="I691" s="43">
        <v>-12.063725</v>
      </c>
      <c r="J691" s="43">
        <v>-77.012433000000001</v>
      </c>
    </row>
    <row r="692" spans="1:10" x14ac:dyDescent="0.25">
      <c r="A692" s="15" t="s">
        <v>4309</v>
      </c>
      <c r="B692" s="15" t="s">
        <v>4298</v>
      </c>
      <c r="C692" s="40">
        <v>7.0259999999999998</v>
      </c>
      <c r="D692" s="29">
        <v>8.3333333333333332E-3</v>
      </c>
      <c r="E692" s="41">
        <v>-12.076841</v>
      </c>
      <c r="F692" s="41">
        <v>-77.029601</v>
      </c>
      <c r="G692" s="41">
        <v>-12.090020000000001</v>
      </c>
      <c r="H692" s="41">
        <v>-77.023193000000006</v>
      </c>
      <c r="I692" s="41">
        <v>-12.10798</v>
      </c>
      <c r="J692" s="41">
        <v>-77.026662000000002</v>
      </c>
    </row>
    <row r="693" spans="1:10" x14ac:dyDescent="0.25">
      <c r="A693" s="15" t="s">
        <v>4309</v>
      </c>
      <c r="B693" s="15" t="s">
        <v>4299</v>
      </c>
      <c r="C693" s="42">
        <v>7.181</v>
      </c>
      <c r="D693" s="25">
        <v>9.0277777777777769E-3</v>
      </c>
      <c r="E693" s="43">
        <v>-12.076632999999999</v>
      </c>
      <c r="F693" s="43">
        <v>-77.029916</v>
      </c>
      <c r="G693" s="43">
        <v>-12.091753000000001</v>
      </c>
      <c r="H693" s="43">
        <v>-77.022953999999999</v>
      </c>
      <c r="I693" s="43">
        <v>-12.110060000000001</v>
      </c>
      <c r="J693" s="43">
        <v>-77.02646</v>
      </c>
    </row>
    <row r="694" spans="1:10" x14ac:dyDescent="0.25">
      <c r="A694" s="15" t="s">
        <v>4309</v>
      </c>
      <c r="B694" s="15" t="s">
        <v>4300</v>
      </c>
      <c r="C694" s="40">
        <v>8.2219999999999995</v>
      </c>
      <c r="D694" s="29">
        <v>1.1111111111111112E-2</v>
      </c>
      <c r="E694" s="41">
        <v>-12.079706</v>
      </c>
      <c r="F694" s="41">
        <v>-77.009442000000007</v>
      </c>
      <c r="G694" s="41">
        <v>-12.087888</v>
      </c>
      <c r="H694" s="41">
        <v>-77.001266000000001</v>
      </c>
      <c r="I694" s="41">
        <v>-12.088449000000001</v>
      </c>
      <c r="J694" s="41">
        <v>-76.981604000000004</v>
      </c>
    </row>
    <row r="695" spans="1:10" x14ac:dyDescent="0.25">
      <c r="A695" s="15" t="s">
        <v>4309</v>
      </c>
      <c r="B695" s="15" t="s">
        <v>4301</v>
      </c>
      <c r="C695" s="42">
        <v>22.077999999999999</v>
      </c>
      <c r="D695" s="25">
        <v>2.2222222222222223E-2</v>
      </c>
      <c r="E695" s="43">
        <v>-12.044456</v>
      </c>
      <c r="F695" s="43">
        <v>-77.019295</v>
      </c>
      <c r="G695" s="43">
        <v>-12.043182</v>
      </c>
      <c r="H695" s="43">
        <v>-77.023822999999993</v>
      </c>
      <c r="I695" s="43">
        <v>-12.032619</v>
      </c>
      <c r="J695" s="43">
        <v>-77.054616999999993</v>
      </c>
    </row>
    <row r="696" spans="1:10" x14ac:dyDescent="0.25">
      <c r="A696" s="15" t="s">
        <v>4309</v>
      </c>
      <c r="B696" s="15" t="s">
        <v>4302</v>
      </c>
      <c r="C696" s="40">
        <v>4.266</v>
      </c>
      <c r="D696" s="29">
        <v>7.6388888888888886E-3</v>
      </c>
      <c r="E696" s="41">
        <v>-12.077209999999999</v>
      </c>
      <c r="F696" s="41">
        <v>-77.010907000000003</v>
      </c>
      <c r="G696" s="41">
        <v>-12.078147</v>
      </c>
      <c r="H696" s="41">
        <v>-77.010727000000003</v>
      </c>
      <c r="I696" s="41">
        <v>-12.080859</v>
      </c>
      <c r="J696" s="41">
        <v>-77.006247000000002</v>
      </c>
    </row>
    <row r="697" spans="1:10" x14ac:dyDescent="0.25">
      <c r="A697" s="15" t="s">
        <v>4309</v>
      </c>
      <c r="B697" s="15" t="s">
        <v>4303</v>
      </c>
      <c r="C697" s="42">
        <v>1.7130000000000001</v>
      </c>
      <c r="D697" s="25">
        <v>3.472222222222222E-3</v>
      </c>
      <c r="E697" s="43">
        <v>-12.073877</v>
      </c>
      <c r="F697" s="43">
        <v>-77.017970000000005</v>
      </c>
      <c r="G697" s="43">
        <v>-12.072653000000001</v>
      </c>
      <c r="H697" s="43">
        <v>-77.014038999999997</v>
      </c>
      <c r="I697" s="43">
        <v>-12.065405</v>
      </c>
      <c r="J697" s="43">
        <v>-77.014944</v>
      </c>
    </row>
    <row r="698" spans="1:10" x14ac:dyDescent="0.25">
      <c r="A698" s="15" t="s">
        <v>4309</v>
      </c>
      <c r="B698" s="15" t="s">
        <v>4304</v>
      </c>
      <c r="C698" s="40">
        <v>1.446</v>
      </c>
      <c r="D698" s="29">
        <v>2.7777777777777779E-3</v>
      </c>
      <c r="E698" s="41">
        <v>-12.074208</v>
      </c>
      <c r="F698" s="41">
        <v>-77.020173</v>
      </c>
      <c r="G698" s="41">
        <v>-12.073877</v>
      </c>
      <c r="H698" s="41">
        <v>-77.017970000000005</v>
      </c>
      <c r="I698" s="41">
        <v>-12.072812000000001</v>
      </c>
      <c r="J698" s="41">
        <v>-77.014016999999996</v>
      </c>
    </row>
    <row r="699" spans="1:10" x14ac:dyDescent="0.25">
      <c r="A699" s="15" t="s">
        <v>4309</v>
      </c>
      <c r="B699" s="15" t="s">
        <v>4269</v>
      </c>
      <c r="C699" s="42">
        <v>19.175000000000001</v>
      </c>
      <c r="D699" s="25">
        <v>1.6666666666666666E-2</v>
      </c>
      <c r="E699" s="43">
        <v>-12.119611000000001</v>
      </c>
      <c r="F699" s="43">
        <v>-77.025917000000007</v>
      </c>
      <c r="G699" s="43">
        <v>-12.130143</v>
      </c>
      <c r="H699" s="43">
        <v>-77.035189000000003</v>
      </c>
      <c r="I699" s="43">
        <v>-12.101991</v>
      </c>
      <c r="J699" s="43">
        <v>-77.065805999999995</v>
      </c>
    </row>
    <row r="700" spans="1:10" x14ac:dyDescent="0.25">
      <c r="A700" s="15" t="s">
        <v>4309</v>
      </c>
      <c r="B700" s="15" t="s">
        <v>4305</v>
      </c>
      <c r="C700" s="40">
        <v>6.5129999999999999</v>
      </c>
      <c r="D700" s="29">
        <v>1.0416666666666666E-2</v>
      </c>
      <c r="E700" s="41">
        <v>-12.078547</v>
      </c>
      <c r="F700" s="41">
        <v>-77.025469999999999</v>
      </c>
      <c r="G700" s="41">
        <v>-12.060078000000001</v>
      </c>
      <c r="H700" s="41">
        <v>-77.035393999999997</v>
      </c>
      <c r="I700" s="41">
        <v>-12.062032</v>
      </c>
      <c r="J700" s="41">
        <v>-77.043188000000001</v>
      </c>
    </row>
    <row r="701" spans="1:10" x14ac:dyDescent="0.25">
      <c r="A701" s="15" t="s">
        <v>4309</v>
      </c>
      <c r="B701" s="15" t="s">
        <v>4306</v>
      </c>
      <c r="C701" s="42">
        <v>10.88</v>
      </c>
      <c r="D701" s="25">
        <v>1.2500000000000001E-2</v>
      </c>
      <c r="E701" s="43">
        <v>-12.079706</v>
      </c>
      <c r="F701" s="43">
        <v>-77.009442000000007</v>
      </c>
      <c r="G701" s="43">
        <v>-12.087888</v>
      </c>
      <c r="H701" s="43">
        <v>-77.001266000000001</v>
      </c>
      <c r="I701" s="43">
        <v>-12.088449000000001</v>
      </c>
      <c r="J701" s="43">
        <v>-76.981604000000004</v>
      </c>
    </row>
    <row r="702" spans="1:10" x14ac:dyDescent="0.25">
      <c r="A702" s="15" t="s">
        <v>4309</v>
      </c>
      <c r="B702" s="15" t="s">
        <v>4277</v>
      </c>
      <c r="C702" s="40">
        <v>5.4960000000000004</v>
      </c>
      <c r="D702" s="29">
        <v>7.6388888888888886E-3</v>
      </c>
      <c r="E702" s="41">
        <v>-12.076845</v>
      </c>
      <c r="F702" s="41">
        <v>-77.029330000000002</v>
      </c>
      <c r="G702" s="41">
        <v>-12.076635</v>
      </c>
      <c r="H702" s="41">
        <v>-77.029123999999996</v>
      </c>
      <c r="I702" s="41">
        <v>-12.090745999999999</v>
      </c>
      <c r="J702" s="41">
        <v>-77.023679000000001</v>
      </c>
    </row>
    <row r="703" spans="1:10" x14ac:dyDescent="0.25">
      <c r="A703" s="15" t="s">
        <v>4309</v>
      </c>
      <c r="B703" s="15" t="s">
        <v>4307</v>
      </c>
      <c r="C703" s="42">
        <v>8.8520000000000003</v>
      </c>
      <c r="D703" s="25">
        <v>1.3194444444444444E-2</v>
      </c>
      <c r="E703" s="43">
        <v>-12.077914</v>
      </c>
      <c r="F703" s="43">
        <v>-77.010405000000006</v>
      </c>
      <c r="G703" s="43">
        <v>-12.063133000000001</v>
      </c>
      <c r="H703" s="43">
        <v>-76.981943000000001</v>
      </c>
      <c r="I703" s="43">
        <v>-12.050981999999999</v>
      </c>
      <c r="J703" s="43">
        <v>-76.969729999999998</v>
      </c>
    </row>
    <row r="704" spans="1:10" x14ac:dyDescent="0.25">
      <c r="A704" s="15" t="s">
        <v>4309</v>
      </c>
      <c r="B704" s="15" t="s">
        <v>4308</v>
      </c>
      <c r="C704" s="40">
        <v>11.459</v>
      </c>
      <c r="D704" s="29">
        <v>1.8055555555555554E-2</v>
      </c>
      <c r="E704" s="41">
        <v>-12.076632999999999</v>
      </c>
      <c r="F704" s="41">
        <v>-77.029916</v>
      </c>
      <c r="G704" s="41">
        <v>-12.090458</v>
      </c>
      <c r="H704" s="41">
        <v>-77.023649000000006</v>
      </c>
      <c r="I704" s="41">
        <v>-12.085179999999999</v>
      </c>
      <c r="J704" s="41">
        <v>-77.064390000000003</v>
      </c>
    </row>
    <row r="705" spans="1:10" x14ac:dyDescent="0.25">
      <c r="A705" s="15" t="s">
        <v>4309</v>
      </c>
      <c r="B705" s="15" t="s">
        <v>4309</v>
      </c>
      <c r="C705" s="42">
        <v>0</v>
      </c>
      <c r="D705" s="25">
        <v>0</v>
      </c>
      <c r="E705" s="43" t="str">
        <f>'1 ubicaciones'!D20</f>
        <v>-119.956.162</v>
      </c>
      <c r="F705" s="43" t="str">
        <f>'1 ubicaciones'!E20</f>
        <v>-7.707.947.519.999.990</v>
      </c>
      <c r="G705" s="43" t="str">
        <f>'1 ubicaciones'!D20</f>
        <v>-119.956.162</v>
      </c>
      <c r="H705" s="43" t="str">
        <f>'1 ubicaciones'!E20</f>
        <v>-7.707.947.519.999.990</v>
      </c>
      <c r="I705" s="43" t="str">
        <f>'1 ubicaciones'!D20</f>
        <v>-119.956.162</v>
      </c>
      <c r="J705" s="43" t="str">
        <f>'1 ubicaciones'!E20</f>
        <v>-7.707.947.519.999.990</v>
      </c>
    </row>
    <row r="706" spans="1:10" x14ac:dyDescent="0.25">
      <c r="A706" s="15" t="s">
        <v>4309</v>
      </c>
      <c r="B706" s="15" t="s">
        <v>4278</v>
      </c>
      <c r="C706" s="40">
        <v>13.627000000000001</v>
      </c>
      <c r="D706" s="29">
        <v>1.6666666666666666E-2</v>
      </c>
      <c r="E706" s="41">
        <v>-12.043741000000001</v>
      </c>
      <c r="F706" s="41">
        <v>-77.019284999999996</v>
      </c>
      <c r="G706" s="41">
        <v>-12.043042</v>
      </c>
      <c r="H706" s="41">
        <v>-77.028893999999994</v>
      </c>
      <c r="I706" s="41">
        <v>-12.029517</v>
      </c>
      <c r="J706" s="41">
        <v>-77.057417000000001</v>
      </c>
    </row>
    <row r="707" spans="1:10" x14ac:dyDescent="0.25">
      <c r="A707" s="15" t="s">
        <v>4309</v>
      </c>
      <c r="B707" s="15" t="s">
        <v>4310</v>
      </c>
      <c r="C707" s="42">
        <v>7.9240000000000004</v>
      </c>
      <c r="D707" s="25">
        <v>1.3194444444444444E-2</v>
      </c>
      <c r="E707" s="43">
        <v>-12.053165</v>
      </c>
      <c r="F707" s="43">
        <v>-77.018840999999995</v>
      </c>
      <c r="G707" s="43">
        <v>-12.042623000000001</v>
      </c>
      <c r="H707" s="43">
        <v>-77.019419999999997</v>
      </c>
      <c r="I707" s="43">
        <v>-12.031910999999999</v>
      </c>
      <c r="J707" s="43">
        <v>-77.004946000000004</v>
      </c>
    </row>
    <row r="708" spans="1:10" x14ac:dyDescent="0.25">
      <c r="A708" s="15" t="s">
        <v>4309</v>
      </c>
      <c r="B708" s="15" t="s">
        <v>4311</v>
      </c>
      <c r="C708" s="40">
        <v>3.2170000000000001</v>
      </c>
      <c r="D708" s="29">
        <v>6.9444444444444441E-3</v>
      </c>
      <c r="E708" s="41">
        <v>-12.073873000000001</v>
      </c>
      <c r="F708" s="41">
        <v>-77.019058000000001</v>
      </c>
      <c r="G708" s="41">
        <v>-12.076912</v>
      </c>
      <c r="H708" s="41">
        <v>-77.029723000000004</v>
      </c>
      <c r="I708" s="41">
        <v>-12.071358</v>
      </c>
      <c r="J708" s="41">
        <v>-77.035257000000001</v>
      </c>
    </row>
    <row r="709" spans="1:10" x14ac:dyDescent="0.25">
      <c r="A709" s="15" t="s">
        <v>4309</v>
      </c>
      <c r="B709" s="15" t="s">
        <v>4312</v>
      </c>
      <c r="C709" s="42">
        <v>1.706</v>
      </c>
      <c r="D709" s="25">
        <v>2.7777777777777779E-3</v>
      </c>
      <c r="E709" s="43">
        <v>-12.074208</v>
      </c>
      <c r="F709" s="43">
        <v>-77.020173</v>
      </c>
      <c r="G709" s="43">
        <v>-12.073877</v>
      </c>
      <c r="H709" s="43">
        <v>-77.017970000000005</v>
      </c>
      <c r="I709" s="43">
        <v>-12.072812000000001</v>
      </c>
      <c r="J709" s="43">
        <v>-77.014016999999996</v>
      </c>
    </row>
    <row r="710" spans="1:10" x14ac:dyDescent="0.25">
      <c r="A710" s="15" t="s">
        <v>4309</v>
      </c>
      <c r="B710" s="15" t="s">
        <v>4313</v>
      </c>
      <c r="C710" s="40">
        <v>3.8690000000000002</v>
      </c>
      <c r="D710" s="29">
        <v>8.3333333333333332E-3</v>
      </c>
      <c r="E710" s="41">
        <v>-12.076866000000001</v>
      </c>
      <c r="F710" s="41">
        <v>-77.029426999999998</v>
      </c>
      <c r="G710" s="41">
        <v>-12.074299999999999</v>
      </c>
      <c r="H710" s="41">
        <v>-77.034837999999993</v>
      </c>
      <c r="I710" s="41">
        <v>-12.074919</v>
      </c>
      <c r="J710" s="41">
        <v>-77.044107999999994</v>
      </c>
    </row>
    <row r="711" spans="1:10" x14ac:dyDescent="0.25">
      <c r="A711" s="15" t="s">
        <v>4309</v>
      </c>
      <c r="B711" s="15" t="s">
        <v>4314</v>
      </c>
      <c r="C711" s="42">
        <v>10.319000000000001</v>
      </c>
      <c r="D711" s="25">
        <v>1.6666666666666666E-2</v>
      </c>
      <c r="E711" s="43">
        <v>-12.076841</v>
      </c>
      <c r="F711" s="43">
        <v>-77.029601</v>
      </c>
      <c r="G711" s="43">
        <v>-12.085823</v>
      </c>
      <c r="H711" s="43">
        <v>-77.02552</v>
      </c>
      <c r="I711" s="43">
        <v>-12.086482999999999</v>
      </c>
      <c r="J711" s="43">
        <v>-77.063063</v>
      </c>
    </row>
    <row r="712" spans="1:10" x14ac:dyDescent="0.25">
      <c r="A712" s="15" t="s">
        <v>4309</v>
      </c>
      <c r="B712" s="15" t="s">
        <v>4315</v>
      </c>
      <c r="C712" s="40">
        <v>9.4290000000000003</v>
      </c>
      <c r="D712" s="29">
        <v>1.2500000000000001E-2</v>
      </c>
      <c r="E712" s="41">
        <v>-12.080121999999999</v>
      </c>
      <c r="F712" s="41">
        <v>-77.008591999999993</v>
      </c>
      <c r="G712" s="41">
        <v>-12.087759</v>
      </c>
      <c r="H712" s="41">
        <v>-77.000658999999999</v>
      </c>
      <c r="I712" s="41">
        <v>-12.102033</v>
      </c>
      <c r="J712" s="41">
        <v>-76.979474999999994</v>
      </c>
    </row>
    <row r="713" spans="1:10" x14ac:dyDescent="0.25">
      <c r="A713" s="15" t="s">
        <v>4309</v>
      </c>
      <c r="B713" s="15" t="s">
        <v>4316</v>
      </c>
      <c r="C713" s="42">
        <v>7.2439999999999998</v>
      </c>
      <c r="D713" s="25">
        <v>1.1111111111111112E-2</v>
      </c>
      <c r="E713" s="43">
        <v>-12.076845</v>
      </c>
      <c r="F713" s="43">
        <v>-77.029330000000002</v>
      </c>
      <c r="G713" s="43">
        <v>-12.076635</v>
      </c>
      <c r="H713" s="43">
        <v>-77.029123999999996</v>
      </c>
      <c r="I713" s="43">
        <v>-12.090745999999999</v>
      </c>
      <c r="J713" s="43">
        <v>-77.023679000000001</v>
      </c>
    </row>
    <row r="714" spans="1:10" x14ac:dyDescent="0.25">
      <c r="A714" s="15" t="s">
        <v>4309</v>
      </c>
      <c r="B714" s="15" t="s">
        <v>4317</v>
      </c>
      <c r="C714" s="40">
        <v>16.166</v>
      </c>
      <c r="D714" s="29">
        <v>1.7361111111111112E-2</v>
      </c>
      <c r="E714" s="41">
        <v>-12.081789000000001</v>
      </c>
      <c r="F714" s="41">
        <v>-77.005088000000001</v>
      </c>
      <c r="G714" s="41">
        <v>-12.085989</v>
      </c>
      <c r="H714" s="41">
        <v>-76.987696999999997</v>
      </c>
      <c r="I714" s="41">
        <v>-12.150183999999999</v>
      </c>
      <c r="J714" s="41">
        <v>-76.983569000000003</v>
      </c>
    </row>
    <row r="715" spans="1:10" x14ac:dyDescent="0.25">
      <c r="A715" s="15" t="s">
        <v>4309</v>
      </c>
      <c r="B715" s="15" t="s">
        <v>4318</v>
      </c>
      <c r="C715" s="42">
        <v>5.532</v>
      </c>
      <c r="D715" s="25">
        <v>6.2500000000000003E-3</v>
      </c>
      <c r="E715" s="43">
        <v>-12.076866000000001</v>
      </c>
      <c r="F715" s="43">
        <v>-77.029426999999998</v>
      </c>
      <c r="G715" s="43">
        <v>-12.08808</v>
      </c>
      <c r="H715" s="43">
        <v>-77.024433000000002</v>
      </c>
      <c r="I715" s="43">
        <v>-12.091913</v>
      </c>
      <c r="J715" s="43">
        <v>-77.023544999999999</v>
      </c>
    </row>
    <row r="716" spans="1:10" x14ac:dyDescent="0.25">
      <c r="A716" s="15" t="s">
        <v>4309</v>
      </c>
      <c r="B716" s="15" t="s">
        <v>4319</v>
      </c>
      <c r="C716" s="40">
        <v>5.7110000000000003</v>
      </c>
      <c r="D716" s="29">
        <v>1.0416666666666666E-2</v>
      </c>
      <c r="E716" s="41">
        <v>-12.078115</v>
      </c>
      <c r="F716" s="41">
        <v>-77.010765000000006</v>
      </c>
      <c r="G716" s="41">
        <v>-12.082642999999999</v>
      </c>
      <c r="H716" s="41">
        <v>-77.004598999999999</v>
      </c>
      <c r="I716" s="41">
        <v>-12.087815000000001</v>
      </c>
      <c r="J716" s="41">
        <v>-77.001070999999996</v>
      </c>
    </row>
    <row r="717" spans="1:10" x14ac:dyDescent="0.25">
      <c r="A717" s="15" t="s">
        <v>4309</v>
      </c>
      <c r="B717" s="15" t="s">
        <v>4279</v>
      </c>
      <c r="C717" s="42">
        <v>15.345000000000001</v>
      </c>
      <c r="D717" s="25">
        <v>1.8749999999999999E-2</v>
      </c>
      <c r="E717" s="43">
        <v>-12.042989</v>
      </c>
      <c r="F717" s="43">
        <v>-77.019486999999998</v>
      </c>
      <c r="G717" s="43">
        <v>-12.038741</v>
      </c>
      <c r="H717" s="43">
        <v>-77.039518999999999</v>
      </c>
      <c r="I717" s="43">
        <v>-12.035662</v>
      </c>
      <c r="J717" s="43">
        <v>-77.077561000000003</v>
      </c>
    </row>
    <row r="718" spans="1:10" x14ac:dyDescent="0.25">
      <c r="A718" s="15" t="s">
        <v>4309</v>
      </c>
      <c r="B718" s="15" t="s">
        <v>4320</v>
      </c>
      <c r="C718" s="40">
        <v>7.0339999999999998</v>
      </c>
      <c r="D718" s="29">
        <v>1.0416666666666666E-2</v>
      </c>
      <c r="E718" s="41">
        <v>-12.077472</v>
      </c>
      <c r="F718" s="41">
        <v>-77.01097</v>
      </c>
      <c r="G718" s="41">
        <v>-12.076978</v>
      </c>
      <c r="H718" s="41">
        <v>-77.010082999999995</v>
      </c>
      <c r="I718" s="41">
        <v>-12.064223</v>
      </c>
      <c r="J718" s="41">
        <v>-76.987818000000004</v>
      </c>
    </row>
    <row r="719" spans="1:10" x14ac:dyDescent="0.25">
      <c r="A719" s="15" t="s">
        <v>4309</v>
      </c>
      <c r="B719" s="15" t="s">
        <v>4321</v>
      </c>
      <c r="C719" s="42">
        <v>27.97</v>
      </c>
      <c r="D719" s="25">
        <v>3.0555555555555555E-2</v>
      </c>
      <c r="E719" s="43">
        <v>-12.041741999999999</v>
      </c>
      <c r="F719" s="43">
        <v>-77.020083999999997</v>
      </c>
      <c r="G719" s="43">
        <v>-12.038017999999999</v>
      </c>
      <c r="H719" s="43">
        <v>-77.038489999999996</v>
      </c>
      <c r="I719" s="43">
        <v>-11.944969</v>
      </c>
      <c r="J719" s="43">
        <v>-77.070972999999995</v>
      </c>
    </row>
    <row r="720" spans="1:10" x14ac:dyDescent="0.25">
      <c r="A720" s="15" t="s">
        <v>4309</v>
      </c>
      <c r="B720" s="15" t="s">
        <v>4322</v>
      </c>
      <c r="C720" s="40">
        <v>15.849</v>
      </c>
      <c r="D720" s="29">
        <v>1.6666666666666666E-2</v>
      </c>
      <c r="E720" s="41">
        <v>-12.091638</v>
      </c>
      <c r="F720" s="41">
        <v>-77.022938999999994</v>
      </c>
      <c r="G720" s="41">
        <v>-12.134347999999999</v>
      </c>
      <c r="H720" s="41">
        <v>-77.021557999999999</v>
      </c>
      <c r="I720" s="41">
        <v>-12.157667</v>
      </c>
      <c r="J720" s="41">
        <v>-77.025107000000006</v>
      </c>
    </row>
    <row r="721" spans="1:10" x14ac:dyDescent="0.25">
      <c r="A721" s="15" t="s">
        <v>4309</v>
      </c>
      <c r="B721" s="15" t="s">
        <v>4323</v>
      </c>
      <c r="C721" s="42">
        <v>16.359000000000002</v>
      </c>
      <c r="D721" s="25">
        <v>1.8055555555555554E-2</v>
      </c>
      <c r="E721" s="43">
        <v>-12.092161000000001</v>
      </c>
      <c r="F721" s="43">
        <v>-77.023083</v>
      </c>
      <c r="G721" s="43">
        <v>-12.135697</v>
      </c>
      <c r="H721" s="43">
        <v>-77.024041999999994</v>
      </c>
      <c r="I721" s="43">
        <v>-12.162065</v>
      </c>
      <c r="J721" s="43">
        <v>-77.025720000000007</v>
      </c>
    </row>
    <row r="722" spans="1:10" x14ac:dyDescent="0.25">
      <c r="A722" s="15" t="s">
        <v>4309</v>
      </c>
      <c r="B722" s="15" t="s">
        <v>4324</v>
      </c>
      <c r="C722" s="40">
        <v>5.6230000000000002</v>
      </c>
      <c r="D722" s="29">
        <v>1.2500000000000001E-2</v>
      </c>
      <c r="E722" s="41">
        <v>-12.076845</v>
      </c>
      <c r="F722" s="41">
        <v>-77.029330000000002</v>
      </c>
      <c r="G722" s="41">
        <v>-12.076796999999999</v>
      </c>
      <c r="H722" s="41">
        <v>-77.034464999999997</v>
      </c>
      <c r="I722" s="41">
        <v>-12.078642</v>
      </c>
      <c r="J722" s="41">
        <v>-77.056788999999995</v>
      </c>
    </row>
    <row r="723" spans="1:10" x14ac:dyDescent="0.25">
      <c r="A723" s="15" t="s">
        <v>4309</v>
      </c>
      <c r="B723" s="15" t="s">
        <v>4325</v>
      </c>
      <c r="C723" s="42">
        <v>16.405999999999999</v>
      </c>
      <c r="D723" s="25">
        <v>2.2222222222222223E-2</v>
      </c>
      <c r="E723" s="43">
        <v>-12.088307</v>
      </c>
      <c r="F723" s="43">
        <v>-77.003642999999997</v>
      </c>
      <c r="G723" s="43">
        <v>-12.124314</v>
      </c>
      <c r="H723" s="43">
        <v>-76.977181000000002</v>
      </c>
      <c r="I723" s="43">
        <v>-12.145102</v>
      </c>
      <c r="J723" s="43">
        <v>-76.959766000000002</v>
      </c>
    </row>
    <row r="724" spans="1:10" x14ac:dyDescent="0.25">
      <c r="A724" s="15" t="s">
        <v>4309</v>
      </c>
      <c r="B724" s="15" t="s">
        <v>4268</v>
      </c>
      <c r="C724" s="40">
        <v>7.3849999999999998</v>
      </c>
      <c r="D724" s="29">
        <v>1.1805555555555555E-2</v>
      </c>
      <c r="E724" s="41">
        <v>-12.053165</v>
      </c>
      <c r="F724" s="41">
        <v>-77.018840999999995</v>
      </c>
      <c r="G724" s="41">
        <v>-12.042623000000001</v>
      </c>
      <c r="H724" s="41">
        <v>-77.019419999999997</v>
      </c>
      <c r="I724" s="41">
        <v>-12.031910999999999</v>
      </c>
      <c r="J724" s="41">
        <v>-77.004946000000004</v>
      </c>
    </row>
    <row r="725" spans="1:10" x14ac:dyDescent="0.25">
      <c r="A725" s="15" t="s">
        <v>4278</v>
      </c>
      <c r="B725" s="15" t="s">
        <v>4267</v>
      </c>
      <c r="C725" s="42">
        <v>6.6779999999999999</v>
      </c>
      <c r="D725" s="25">
        <v>1.2500000000000001E-2</v>
      </c>
      <c r="E725" s="43">
        <v>-12.018140000000001</v>
      </c>
      <c r="F725" s="43">
        <v>-77.051553999999996</v>
      </c>
      <c r="G725" s="43">
        <v>-12.031718</v>
      </c>
      <c r="H725" s="43">
        <v>-77.044163999999995</v>
      </c>
      <c r="I725" s="43">
        <v>-12.043710000000001</v>
      </c>
      <c r="J725" s="43">
        <v>-77.043407000000002</v>
      </c>
    </row>
    <row r="726" spans="1:10" x14ac:dyDescent="0.25">
      <c r="A726" s="15" t="s">
        <v>4278</v>
      </c>
      <c r="B726" s="15" t="s">
        <v>4280</v>
      </c>
      <c r="C726" s="40">
        <v>23.262</v>
      </c>
      <c r="D726" s="29">
        <v>2.7777777777777776E-2</v>
      </c>
      <c r="E726" s="41">
        <v>-12.060778000000001</v>
      </c>
      <c r="F726" s="41">
        <v>-77.041595000000001</v>
      </c>
      <c r="G726" s="41">
        <v>-12.117158</v>
      </c>
      <c r="H726" s="41">
        <v>-77.026318000000003</v>
      </c>
      <c r="I726" s="41">
        <v>-12.152535</v>
      </c>
      <c r="J726" s="41">
        <v>-77.024518999999998</v>
      </c>
    </row>
    <row r="727" spans="1:10" x14ac:dyDescent="0.25">
      <c r="A727" s="15" t="s">
        <v>4278</v>
      </c>
      <c r="B727" s="15" t="s">
        <v>4281</v>
      </c>
      <c r="C727" s="42">
        <v>25.364000000000001</v>
      </c>
      <c r="D727" s="25">
        <v>2.4305555555555556E-2</v>
      </c>
      <c r="E727" s="43">
        <v>-12.036218</v>
      </c>
      <c r="F727" s="43">
        <v>-77.044899999999998</v>
      </c>
      <c r="G727" s="43">
        <v>-12.040516</v>
      </c>
      <c r="H727" s="43">
        <v>-76.987832999999995</v>
      </c>
      <c r="I727" s="43">
        <v>-12.08592</v>
      </c>
      <c r="J727" s="43">
        <v>-76.982827999999998</v>
      </c>
    </row>
    <row r="728" spans="1:10" x14ac:dyDescent="0.25">
      <c r="A728" s="15" t="s">
        <v>4278</v>
      </c>
      <c r="B728" s="15" t="s">
        <v>4296</v>
      </c>
      <c r="C728" s="40">
        <v>9.2970000000000006</v>
      </c>
      <c r="D728" s="29">
        <v>1.5972222222222221E-2</v>
      </c>
      <c r="E728" s="41">
        <v>-12.009017999999999</v>
      </c>
      <c r="F728" s="41">
        <v>-77.053590999999997</v>
      </c>
      <c r="G728" s="41">
        <v>-12.028352</v>
      </c>
      <c r="H728" s="41">
        <v>-77.044528999999997</v>
      </c>
      <c r="I728" s="41">
        <v>-12.05016</v>
      </c>
      <c r="J728" s="41">
        <v>-77.042574999999999</v>
      </c>
    </row>
    <row r="729" spans="1:10" x14ac:dyDescent="0.25">
      <c r="A729" s="15" t="s">
        <v>4278</v>
      </c>
      <c r="B729" s="15" t="s">
        <v>4297</v>
      </c>
      <c r="C729" s="42">
        <v>12.125999999999999</v>
      </c>
      <c r="D729" s="25">
        <v>1.4583333333333334E-2</v>
      </c>
      <c r="E729" s="43">
        <v>-12.011796</v>
      </c>
      <c r="F729" s="43">
        <v>-77.060665999999998</v>
      </c>
      <c r="G729" s="43">
        <v>-12.039104999999999</v>
      </c>
      <c r="H729" s="43">
        <v>-77.045231999999999</v>
      </c>
      <c r="I729" s="43">
        <v>-12.044466</v>
      </c>
      <c r="J729" s="43">
        <v>-77.012592999999995</v>
      </c>
    </row>
    <row r="730" spans="1:10" x14ac:dyDescent="0.25">
      <c r="A730" s="15" t="s">
        <v>4278</v>
      </c>
      <c r="B730" s="15" t="s">
        <v>4298</v>
      </c>
      <c r="C730" s="40">
        <v>15.398999999999999</v>
      </c>
      <c r="D730" s="29">
        <v>2.0833333333333332E-2</v>
      </c>
      <c r="E730" s="41">
        <v>-12.031718</v>
      </c>
      <c r="F730" s="41">
        <v>-77.044163999999995</v>
      </c>
      <c r="G730" s="41">
        <v>-12.059996999999999</v>
      </c>
      <c r="H730" s="41">
        <v>-77.036467999999999</v>
      </c>
      <c r="I730" s="41">
        <v>-12.092161000000001</v>
      </c>
      <c r="J730" s="41">
        <v>-77.023083</v>
      </c>
    </row>
    <row r="731" spans="1:10" x14ac:dyDescent="0.25">
      <c r="A731" s="15" t="s">
        <v>4278</v>
      </c>
      <c r="B731" s="15" t="s">
        <v>4299</v>
      </c>
      <c r="C731" s="42">
        <v>15.554</v>
      </c>
      <c r="D731" s="25">
        <v>2.1527777777777778E-2</v>
      </c>
      <c r="E731" s="43">
        <v>-12.037003</v>
      </c>
      <c r="F731" s="43">
        <v>-77.043758999999994</v>
      </c>
      <c r="G731" s="43">
        <v>-12.060452</v>
      </c>
      <c r="H731" s="43">
        <v>-77.036019999999994</v>
      </c>
      <c r="I731" s="43">
        <v>-12.10342</v>
      </c>
      <c r="J731" s="43">
        <v>-77.027519999999996</v>
      </c>
    </row>
    <row r="732" spans="1:10" x14ac:dyDescent="0.25">
      <c r="A732" s="15" t="s">
        <v>4278</v>
      </c>
      <c r="B732" s="15" t="s">
        <v>4300</v>
      </c>
      <c r="C732" s="40">
        <v>22.172000000000001</v>
      </c>
      <c r="D732" s="29">
        <v>2.013888888888889E-2</v>
      </c>
      <c r="E732" s="41">
        <v>-12.031509</v>
      </c>
      <c r="F732" s="41">
        <v>-77.056073999999995</v>
      </c>
      <c r="G732" s="41">
        <v>-12.029146000000001</v>
      </c>
      <c r="H732" s="41">
        <v>-76.997273000000007</v>
      </c>
      <c r="I732" s="41">
        <v>-12.067679999999999</v>
      </c>
      <c r="J732" s="41">
        <v>-76.971858999999995</v>
      </c>
    </row>
    <row r="733" spans="1:10" x14ac:dyDescent="0.25">
      <c r="A733" s="15" t="s">
        <v>4278</v>
      </c>
      <c r="B733" s="15" t="s">
        <v>4301</v>
      </c>
      <c r="C733" s="42">
        <v>11.121</v>
      </c>
      <c r="D733" s="25">
        <v>1.1805555555555555E-2</v>
      </c>
      <c r="E733" s="43">
        <v>-12.002284</v>
      </c>
      <c r="F733" s="43">
        <v>-77.057671999999997</v>
      </c>
      <c r="G733" s="43">
        <v>-12.001908999999999</v>
      </c>
      <c r="H733" s="43">
        <v>-77.062042000000005</v>
      </c>
      <c r="I733" s="43">
        <v>-11.993518999999999</v>
      </c>
      <c r="J733" s="43">
        <v>-77.063494000000006</v>
      </c>
    </row>
    <row r="734" spans="1:10" x14ac:dyDescent="0.25">
      <c r="A734" s="15" t="s">
        <v>4278</v>
      </c>
      <c r="B734" s="15" t="s">
        <v>4302</v>
      </c>
      <c r="C734" s="40">
        <v>22.956</v>
      </c>
      <c r="D734" s="29">
        <v>2.0833333333333332E-2</v>
      </c>
      <c r="E734" s="41">
        <v>-12.032401</v>
      </c>
      <c r="F734" s="41">
        <v>-77.055092000000002</v>
      </c>
      <c r="G734" s="41">
        <v>-12.029807</v>
      </c>
      <c r="H734" s="41">
        <v>-76.994945999999999</v>
      </c>
      <c r="I734" s="41">
        <v>-12.069820999999999</v>
      </c>
      <c r="J734" s="41">
        <v>-76.972611000000001</v>
      </c>
    </row>
    <row r="735" spans="1:10" x14ac:dyDescent="0.25">
      <c r="A735" s="15" t="s">
        <v>4278</v>
      </c>
      <c r="B735" s="15" t="s">
        <v>4303</v>
      </c>
      <c r="C735" s="42">
        <v>12.375999999999999</v>
      </c>
      <c r="D735" s="25">
        <v>1.5277777777777777E-2</v>
      </c>
      <c r="E735" s="43">
        <v>-12.012819</v>
      </c>
      <c r="F735" s="43">
        <v>-77.060574000000003</v>
      </c>
      <c r="G735" s="43">
        <v>-12.039047</v>
      </c>
      <c r="H735" s="43">
        <v>-77.041545999999997</v>
      </c>
      <c r="I735" s="43">
        <v>-12.045082000000001</v>
      </c>
      <c r="J735" s="43">
        <v>-77.013120999999998</v>
      </c>
    </row>
    <row r="736" spans="1:10" x14ac:dyDescent="0.25">
      <c r="A736" s="15" t="s">
        <v>4278</v>
      </c>
      <c r="B736" s="15" t="s">
        <v>4304</v>
      </c>
      <c r="C736" s="40">
        <v>12.827999999999999</v>
      </c>
      <c r="D736" s="29">
        <v>1.5277777777777777E-2</v>
      </c>
      <c r="E736" s="41">
        <v>-12.011796</v>
      </c>
      <c r="F736" s="41">
        <v>-77.060665999999998</v>
      </c>
      <c r="G736" s="41">
        <v>-12.039104999999999</v>
      </c>
      <c r="H736" s="41">
        <v>-77.045231999999999</v>
      </c>
      <c r="I736" s="41">
        <v>-12.044466</v>
      </c>
      <c r="J736" s="41">
        <v>-77.012592999999995</v>
      </c>
    </row>
    <row r="737" spans="1:10" x14ac:dyDescent="0.25">
      <c r="A737" s="15" t="s">
        <v>4278</v>
      </c>
      <c r="B737" s="15" t="s">
        <v>4269</v>
      </c>
      <c r="C737" s="42">
        <v>13.336</v>
      </c>
      <c r="D737" s="25">
        <v>2.361111111111111E-2</v>
      </c>
      <c r="E737" s="43">
        <v>-12.018238</v>
      </c>
      <c r="F737" s="43">
        <v>-77.051533000000006</v>
      </c>
      <c r="G737" s="43">
        <v>-12.039350000000001</v>
      </c>
      <c r="H737" s="43">
        <v>-77.043459999999996</v>
      </c>
      <c r="I737" s="43">
        <v>-12.060643000000001</v>
      </c>
      <c r="J737" s="43">
        <v>-77.041918999999993</v>
      </c>
    </row>
    <row r="738" spans="1:10" x14ac:dyDescent="0.25">
      <c r="A738" s="15" t="s">
        <v>4278</v>
      </c>
      <c r="B738" s="15" t="s">
        <v>4305</v>
      </c>
      <c r="C738" s="40">
        <v>7.4889999999999999</v>
      </c>
      <c r="D738" s="29">
        <v>1.3194444444444444E-2</v>
      </c>
      <c r="E738" s="41">
        <v>-12.008891</v>
      </c>
      <c r="F738" s="41">
        <v>-77.053625999999994</v>
      </c>
      <c r="G738" s="41">
        <v>-12.023365</v>
      </c>
      <c r="H738" s="41">
        <v>-77.050120000000007</v>
      </c>
      <c r="I738" s="41">
        <v>-12.039350000000001</v>
      </c>
      <c r="J738" s="41">
        <v>-77.043459999999996</v>
      </c>
    </row>
    <row r="739" spans="1:10" x14ac:dyDescent="0.25">
      <c r="A739" s="15" t="s">
        <v>4278</v>
      </c>
      <c r="B739" s="15" t="s">
        <v>4306</v>
      </c>
      <c r="C739" s="42">
        <v>24.83</v>
      </c>
      <c r="D739" s="25">
        <v>2.0833333333333332E-2</v>
      </c>
      <c r="E739" s="43">
        <v>-12.031509</v>
      </c>
      <c r="F739" s="43">
        <v>-77.056073999999995</v>
      </c>
      <c r="G739" s="43">
        <v>-12.029146000000001</v>
      </c>
      <c r="H739" s="43">
        <v>-76.997273000000007</v>
      </c>
      <c r="I739" s="43">
        <v>-12.067679999999999</v>
      </c>
      <c r="J739" s="43">
        <v>-76.971858999999995</v>
      </c>
    </row>
    <row r="740" spans="1:10" x14ac:dyDescent="0.25">
      <c r="A740" s="15" t="s">
        <v>4278</v>
      </c>
      <c r="B740" s="15" t="s">
        <v>4277</v>
      </c>
      <c r="C740" s="40">
        <v>13.869</v>
      </c>
      <c r="D740" s="29">
        <v>2.013888888888889E-2</v>
      </c>
      <c r="E740" s="41">
        <v>-12.026173</v>
      </c>
      <c r="F740" s="41">
        <v>-77.046845000000005</v>
      </c>
      <c r="G740" s="41">
        <v>-12.060428</v>
      </c>
      <c r="H740" s="41">
        <v>-77.042069999999995</v>
      </c>
      <c r="I740" s="41">
        <v>-12.061799000000001</v>
      </c>
      <c r="J740" s="41">
        <v>-77.034746999999996</v>
      </c>
    </row>
    <row r="741" spans="1:10" x14ac:dyDescent="0.25">
      <c r="A741" s="15" t="s">
        <v>4278</v>
      </c>
      <c r="B741" s="15" t="s">
        <v>4307</v>
      </c>
      <c r="C741" s="42">
        <v>15.592000000000001</v>
      </c>
      <c r="D741" s="25">
        <v>1.9444444444444445E-2</v>
      </c>
      <c r="E741" s="43">
        <v>-12.012819</v>
      </c>
      <c r="F741" s="43">
        <v>-77.060574000000003</v>
      </c>
      <c r="G741" s="43">
        <v>-12.043246999999999</v>
      </c>
      <c r="H741" s="43">
        <v>-77.023319000000001</v>
      </c>
      <c r="I741" s="43">
        <v>-12.040312</v>
      </c>
      <c r="J741" s="43">
        <v>-76.997707000000005</v>
      </c>
    </row>
    <row r="742" spans="1:10" x14ac:dyDescent="0.25">
      <c r="A742" s="15" t="s">
        <v>4278</v>
      </c>
      <c r="B742" s="15" t="s">
        <v>4308</v>
      </c>
      <c r="C742" s="40">
        <v>13.74</v>
      </c>
      <c r="D742" s="29">
        <v>2.2222222222222223E-2</v>
      </c>
      <c r="E742" s="41">
        <v>-12.004284999999999</v>
      </c>
      <c r="F742" s="41">
        <v>-77.062361999999993</v>
      </c>
      <c r="G742" s="41">
        <v>-12.018903</v>
      </c>
      <c r="H742" s="41">
        <v>-77.100491000000005</v>
      </c>
      <c r="I742" s="41">
        <v>-12.037785</v>
      </c>
      <c r="J742" s="41">
        <v>-77.099451000000002</v>
      </c>
    </row>
    <row r="743" spans="1:10" x14ac:dyDescent="0.25">
      <c r="A743" s="15" t="s">
        <v>4278</v>
      </c>
      <c r="B743" s="15" t="s">
        <v>4309</v>
      </c>
      <c r="C743" s="42">
        <v>11.670999999999999</v>
      </c>
      <c r="D743" s="25">
        <v>1.8055555555555554E-2</v>
      </c>
      <c r="E743" s="43">
        <v>-12.026173</v>
      </c>
      <c r="F743" s="43">
        <v>-77.046845000000005</v>
      </c>
      <c r="G743" s="43">
        <v>-12.060428</v>
      </c>
      <c r="H743" s="43">
        <v>-77.042069999999995</v>
      </c>
      <c r="I743" s="43">
        <v>-12.061799000000001</v>
      </c>
      <c r="J743" s="43">
        <v>-77.034746999999996</v>
      </c>
    </row>
    <row r="744" spans="1:10" x14ac:dyDescent="0.25">
      <c r="A744" s="15" t="s">
        <v>4278</v>
      </c>
      <c r="B744" s="15" t="s">
        <v>4278</v>
      </c>
      <c r="C744" s="40">
        <v>0</v>
      </c>
      <c r="D744" s="29">
        <v>0</v>
      </c>
      <c r="E744" s="41" t="str">
        <f>'1 ubicaciones'!D21</f>
        <v>-120.868.267</v>
      </c>
      <c r="F744" s="41" t="str">
        <f>'1 ubicaciones'!E21</f>
        <v>-7.703.517.289.999.990</v>
      </c>
      <c r="G744" s="41" t="str">
        <f>'1 ubicaciones'!D21</f>
        <v>-120.868.267</v>
      </c>
      <c r="H744" s="41" t="str">
        <f>'1 ubicaciones'!E21</f>
        <v>-7.703.517.289.999.990</v>
      </c>
      <c r="I744" s="41" t="str">
        <f>'1 ubicaciones'!D21</f>
        <v>-120.868.267</v>
      </c>
      <c r="J744" s="41" t="str">
        <f>'1 ubicaciones'!E21</f>
        <v>-7.703.517.289.999.990</v>
      </c>
    </row>
    <row r="745" spans="1:10" x14ac:dyDescent="0.25">
      <c r="A745" s="15" t="s">
        <v>4278</v>
      </c>
      <c r="B745" s="15" t="s">
        <v>4310</v>
      </c>
      <c r="C745" s="42">
        <v>12.435</v>
      </c>
      <c r="D745" s="25">
        <v>1.4583333333333334E-2</v>
      </c>
      <c r="E745" s="43">
        <v>-12.008656</v>
      </c>
      <c r="F745" s="43">
        <v>-77.06165</v>
      </c>
      <c r="G745" s="43">
        <v>-12.035403000000001</v>
      </c>
      <c r="H745" s="43">
        <v>-77.048507999999998</v>
      </c>
      <c r="I745" s="43">
        <v>-12.040155</v>
      </c>
      <c r="J745" s="43">
        <v>-77.016344000000004</v>
      </c>
    </row>
    <row r="746" spans="1:10" x14ac:dyDescent="0.25">
      <c r="A746" s="15" t="s">
        <v>4278</v>
      </c>
      <c r="B746" s="15" t="s">
        <v>4311</v>
      </c>
      <c r="C746" s="40">
        <v>8.827</v>
      </c>
      <c r="D746" s="29">
        <v>1.5277777777777777E-2</v>
      </c>
      <c r="E746" s="41">
        <v>-12.022122</v>
      </c>
      <c r="F746" s="41">
        <v>-77.050794999999994</v>
      </c>
      <c r="G746" s="41">
        <v>-12.049661</v>
      </c>
      <c r="H746" s="41">
        <v>-77.042547999999996</v>
      </c>
      <c r="I746" s="41">
        <v>-12.064505</v>
      </c>
      <c r="J746" s="41">
        <v>-77.039394999999999</v>
      </c>
    </row>
    <row r="747" spans="1:10" x14ac:dyDescent="0.25">
      <c r="A747" s="15" t="s">
        <v>4278</v>
      </c>
      <c r="B747" s="15" t="s">
        <v>4312</v>
      </c>
      <c r="C747" s="42">
        <v>12.335000000000001</v>
      </c>
      <c r="D747" s="25">
        <v>1.5277777777777777E-2</v>
      </c>
      <c r="E747" s="43">
        <v>-12.011796</v>
      </c>
      <c r="F747" s="43">
        <v>-77.060665999999998</v>
      </c>
      <c r="G747" s="43">
        <v>-12.039104999999999</v>
      </c>
      <c r="H747" s="43">
        <v>-77.045231999999999</v>
      </c>
      <c r="I747" s="43">
        <v>-12.044466</v>
      </c>
      <c r="J747" s="43">
        <v>-77.012592999999995</v>
      </c>
    </row>
    <row r="748" spans="1:10" x14ac:dyDescent="0.25">
      <c r="A748" s="15" t="s">
        <v>4278</v>
      </c>
      <c r="B748" s="15" t="s">
        <v>4313</v>
      </c>
      <c r="C748" s="40">
        <v>9.4090000000000007</v>
      </c>
      <c r="D748" s="29">
        <v>1.6666666666666666E-2</v>
      </c>
      <c r="E748" s="41">
        <v>-12.018238</v>
      </c>
      <c r="F748" s="41">
        <v>-77.051533000000006</v>
      </c>
      <c r="G748" s="41">
        <v>-12.039350000000001</v>
      </c>
      <c r="H748" s="41">
        <v>-77.043459999999996</v>
      </c>
      <c r="I748" s="41">
        <v>-12.060643000000001</v>
      </c>
      <c r="J748" s="41">
        <v>-77.041918999999993</v>
      </c>
    </row>
    <row r="749" spans="1:10" x14ac:dyDescent="0.25">
      <c r="A749" s="15" t="s">
        <v>4278</v>
      </c>
      <c r="B749" s="15" t="s">
        <v>4314</v>
      </c>
      <c r="C749" s="42">
        <v>12.135</v>
      </c>
      <c r="D749" s="25">
        <v>2.1527777777777778E-2</v>
      </c>
      <c r="E749" s="43">
        <v>-12.009012</v>
      </c>
      <c r="F749" s="43">
        <v>-77.064851000000004</v>
      </c>
      <c r="G749" s="43">
        <v>-12.046188000000001</v>
      </c>
      <c r="H749" s="43">
        <v>-77.076768999999999</v>
      </c>
      <c r="I749" s="43">
        <v>-12.060036999999999</v>
      </c>
      <c r="J749" s="43">
        <v>-77.079178999999996</v>
      </c>
    </row>
    <row r="750" spans="1:10" x14ac:dyDescent="0.25">
      <c r="A750" s="15" t="s">
        <v>4278</v>
      </c>
      <c r="B750" s="15" t="s">
        <v>4315</v>
      </c>
      <c r="C750" s="40">
        <v>23.379000000000001</v>
      </c>
      <c r="D750" s="29">
        <v>2.0833333333333332E-2</v>
      </c>
      <c r="E750" s="41">
        <v>-12.032401</v>
      </c>
      <c r="F750" s="41">
        <v>-77.055092000000002</v>
      </c>
      <c r="G750" s="41">
        <v>-12.029807</v>
      </c>
      <c r="H750" s="41">
        <v>-76.994945999999999</v>
      </c>
      <c r="I750" s="41">
        <v>-12.069820999999999</v>
      </c>
      <c r="J750" s="41">
        <v>-76.972611000000001</v>
      </c>
    </row>
    <row r="751" spans="1:10" x14ac:dyDescent="0.25">
      <c r="A751" s="15" t="s">
        <v>4278</v>
      </c>
      <c r="B751" s="15" t="s">
        <v>4316</v>
      </c>
      <c r="C751" s="42">
        <v>13.019</v>
      </c>
      <c r="D751" s="25">
        <v>2.2916666666666665E-2</v>
      </c>
      <c r="E751" s="43">
        <v>-12.022122</v>
      </c>
      <c r="F751" s="43">
        <v>-77.050794999999994</v>
      </c>
      <c r="G751" s="43">
        <v>-12.049661</v>
      </c>
      <c r="H751" s="43">
        <v>-77.042547999999996</v>
      </c>
      <c r="I751" s="43">
        <v>-12.078659999999999</v>
      </c>
      <c r="J751" s="43">
        <v>-77.056904000000003</v>
      </c>
    </row>
    <row r="752" spans="1:10" x14ac:dyDescent="0.25">
      <c r="A752" s="15" t="s">
        <v>4278</v>
      </c>
      <c r="B752" s="15" t="s">
        <v>4317</v>
      </c>
      <c r="C752" s="40">
        <v>30.116</v>
      </c>
      <c r="D752" s="29">
        <v>2.6388888888888889E-2</v>
      </c>
      <c r="E752" s="41">
        <v>-12.03585</v>
      </c>
      <c r="F752" s="41">
        <v>-77.046809999999994</v>
      </c>
      <c r="G752" s="41">
        <v>-12.036507</v>
      </c>
      <c r="H752" s="41">
        <v>-76.989037999999994</v>
      </c>
      <c r="I752" s="41">
        <v>-12.085414999999999</v>
      </c>
      <c r="J752" s="41">
        <v>-76.982299999999995</v>
      </c>
    </row>
    <row r="753" spans="1:10" x14ac:dyDescent="0.25">
      <c r="A753" s="15" t="s">
        <v>4278</v>
      </c>
      <c r="B753" s="15" t="s">
        <v>4318</v>
      </c>
      <c r="C753" s="42">
        <v>13.904999999999999</v>
      </c>
      <c r="D753" s="25">
        <v>1.8749999999999999E-2</v>
      </c>
      <c r="E753" s="43">
        <v>-12.028409</v>
      </c>
      <c r="F753" s="43">
        <v>-77.044499999999999</v>
      </c>
      <c r="G753" s="43">
        <v>-12.060287000000001</v>
      </c>
      <c r="H753" s="43">
        <v>-77.040904999999995</v>
      </c>
      <c r="I753" s="43">
        <v>-12.090161</v>
      </c>
      <c r="J753" s="43">
        <v>-77.023129999999995</v>
      </c>
    </row>
    <row r="754" spans="1:10" x14ac:dyDescent="0.25">
      <c r="A754" s="15" t="s">
        <v>4278</v>
      </c>
      <c r="B754" s="15" t="s">
        <v>4319</v>
      </c>
      <c r="C754" s="40">
        <v>22.695</v>
      </c>
      <c r="D754" s="29">
        <v>2.1527777777777778E-2</v>
      </c>
      <c r="E754" s="41">
        <v>-12.031509</v>
      </c>
      <c r="F754" s="41">
        <v>-77.056073999999995</v>
      </c>
      <c r="G754" s="41">
        <v>-12.029146000000001</v>
      </c>
      <c r="H754" s="41">
        <v>-76.997273000000007</v>
      </c>
      <c r="I754" s="41">
        <v>-12.067679999999999</v>
      </c>
      <c r="J754" s="41">
        <v>-76.971858999999995</v>
      </c>
    </row>
    <row r="755" spans="1:10" x14ac:dyDescent="0.25">
      <c r="A755" s="15" t="s">
        <v>4278</v>
      </c>
      <c r="B755" s="15" t="s">
        <v>4279</v>
      </c>
      <c r="C755" s="42">
        <v>12.132999999999999</v>
      </c>
      <c r="D755" s="25">
        <v>1.8055555555555554E-2</v>
      </c>
      <c r="E755" s="43">
        <v>-12.018140000000001</v>
      </c>
      <c r="F755" s="43">
        <v>-77.051553999999996</v>
      </c>
      <c r="G755" s="43">
        <v>-12.031718</v>
      </c>
      <c r="H755" s="43">
        <v>-77.044163999999995</v>
      </c>
      <c r="I755" s="43">
        <v>-12.046139</v>
      </c>
      <c r="J755" s="43">
        <v>-77.043092999999999</v>
      </c>
    </row>
    <row r="756" spans="1:10" x14ac:dyDescent="0.25">
      <c r="A756" s="15" t="s">
        <v>4278</v>
      </c>
      <c r="B756" s="15" t="s">
        <v>4320</v>
      </c>
      <c r="C756" s="40">
        <v>16.802</v>
      </c>
      <c r="D756" s="29">
        <v>1.6666666666666666E-2</v>
      </c>
      <c r="E756" s="41">
        <v>-12.011796</v>
      </c>
      <c r="F756" s="41">
        <v>-77.060665999999998</v>
      </c>
      <c r="G756" s="41">
        <v>-12.04321</v>
      </c>
      <c r="H756" s="41">
        <v>-77.028064999999998</v>
      </c>
      <c r="I756" s="41">
        <v>-12.039754</v>
      </c>
      <c r="J756" s="41">
        <v>-76.988157999999999</v>
      </c>
    </row>
    <row r="757" spans="1:10" x14ac:dyDescent="0.25">
      <c r="A757" s="15" t="s">
        <v>4278</v>
      </c>
      <c r="B757" s="15" t="s">
        <v>4321</v>
      </c>
      <c r="C757" s="42">
        <v>17.013000000000002</v>
      </c>
      <c r="D757" s="25">
        <v>1.9444444444444445E-2</v>
      </c>
      <c r="E757" s="43">
        <v>-12.001977999999999</v>
      </c>
      <c r="F757" s="43">
        <v>-77.062029999999993</v>
      </c>
      <c r="G757" s="43">
        <v>-11.946387</v>
      </c>
      <c r="H757" s="43">
        <v>-77.070808</v>
      </c>
      <c r="I757" s="43">
        <v>-11.872332999999999</v>
      </c>
      <c r="J757" s="43">
        <v>-77.069213000000005</v>
      </c>
    </row>
    <row r="758" spans="1:10" x14ac:dyDescent="0.25">
      <c r="A758" s="15" t="s">
        <v>4278</v>
      </c>
      <c r="B758" s="15" t="s">
        <v>4322</v>
      </c>
      <c r="C758" s="40">
        <v>24.222000000000001</v>
      </c>
      <c r="D758" s="29">
        <v>2.9166666666666667E-2</v>
      </c>
      <c r="E758" s="41">
        <v>-12.060695000000001</v>
      </c>
      <c r="F758" s="41">
        <v>-77.041847000000004</v>
      </c>
      <c r="G758" s="41">
        <v>-12.112062999999999</v>
      </c>
      <c r="H758" s="41">
        <v>-77.026141999999993</v>
      </c>
      <c r="I758" s="41">
        <v>-12.147320000000001</v>
      </c>
      <c r="J758" s="41">
        <v>-77.024918</v>
      </c>
    </row>
    <row r="759" spans="1:10" x14ac:dyDescent="0.25">
      <c r="A759" s="15" t="s">
        <v>4278</v>
      </c>
      <c r="B759" s="15" t="s">
        <v>4323</v>
      </c>
      <c r="C759" s="42">
        <v>32.311999999999998</v>
      </c>
      <c r="D759" s="25">
        <v>2.8472222222222222E-2</v>
      </c>
      <c r="E759" s="43">
        <v>-12.039737000000001</v>
      </c>
      <c r="F759" s="43">
        <v>-77.036270000000002</v>
      </c>
      <c r="G759" s="43">
        <v>-12.052004</v>
      </c>
      <c r="H759" s="43">
        <v>-76.976377999999997</v>
      </c>
      <c r="I759" s="43">
        <v>-12.151244</v>
      </c>
      <c r="J759" s="43">
        <v>-76.983697000000006</v>
      </c>
    </row>
    <row r="760" spans="1:10" x14ac:dyDescent="0.25">
      <c r="A760" s="15" t="s">
        <v>4278</v>
      </c>
      <c r="B760" s="15" t="s">
        <v>4324</v>
      </c>
      <c r="C760" s="40">
        <v>10.481999999999999</v>
      </c>
      <c r="D760" s="29">
        <v>1.7361111111111112E-2</v>
      </c>
      <c r="E760" s="41">
        <v>-12.023365</v>
      </c>
      <c r="F760" s="41">
        <v>-77.050120000000007</v>
      </c>
      <c r="G760" s="41">
        <v>-12.046139</v>
      </c>
      <c r="H760" s="41">
        <v>-77.043092999999999</v>
      </c>
      <c r="I760" s="41">
        <v>-12.06077</v>
      </c>
      <c r="J760" s="41">
        <v>-77.058949999999996</v>
      </c>
    </row>
    <row r="761" spans="1:10" x14ac:dyDescent="0.25">
      <c r="A761" s="15" t="s">
        <v>4278</v>
      </c>
      <c r="B761" s="15" t="s">
        <v>4325</v>
      </c>
      <c r="C761" s="42">
        <v>30.356000000000002</v>
      </c>
      <c r="D761" s="25">
        <v>3.0555555555555555E-2</v>
      </c>
      <c r="E761" s="43">
        <v>-12.041010999999999</v>
      </c>
      <c r="F761" s="43">
        <v>-77.033631</v>
      </c>
      <c r="G761" s="43">
        <v>-12.061681</v>
      </c>
      <c r="H761" s="43">
        <v>-76.972014999999999</v>
      </c>
      <c r="I761" s="43">
        <v>-12.14091</v>
      </c>
      <c r="J761" s="43">
        <v>-76.975005999999993</v>
      </c>
    </row>
    <row r="762" spans="1:10" x14ac:dyDescent="0.25">
      <c r="A762" s="15" t="s">
        <v>4278</v>
      </c>
      <c r="B762" s="15" t="s">
        <v>4268</v>
      </c>
      <c r="C762" s="40">
        <v>11.896000000000001</v>
      </c>
      <c r="D762" s="29">
        <v>1.3888888888888888E-2</v>
      </c>
      <c r="E762" s="41">
        <v>-12.008656</v>
      </c>
      <c r="F762" s="41">
        <v>-77.06165</v>
      </c>
      <c r="G762" s="41">
        <v>-12.035403000000001</v>
      </c>
      <c r="H762" s="41">
        <v>-77.048507999999998</v>
      </c>
      <c r="I762" s="41">
        <v>-12.040155</v>
      </c>
      <c r="J762" s="41">
        <v>-77.016344000000004</v>
      </c>
    </row>
    <row r="763" spans="1:10" x14ac:dyDescent="0.25">
      <c r="A763" s="15" t="s">
        <v>4310</v>
      </c>
      <c r="B763" s="15" t="s">
        <v>4267</v>
      </c>
      <c r="C763" s="42">
        <v>7.2270000000000003</v>
      </c>
      <c r="D763" s="25">
        <v>1.2500000000000001E-2</v>
      </c>
      <c r="E763" s="43">
        <v>-12.029724999999999</v>
      </c>
      <c r="F763" s="43">
        <v>-77.000641000000002</v>
      </c>
      <c r="G763" s="43">
        <v>-12.043112000000001</v>
      </c>
      <c r="H763" s="43">
        <v>-77.02807</v>
      </c>
      <c r="I763" s="43">
        <v>-12.038501999999999</v>
      </c>
      <c r="J763" s="43">
        <v>-77.032660000000007</v>
      </c>
    </row>
    <row r="764" spans="1:10" x14ac:dyDescent="0.25">
      <c r="A764" s="15" t="s">
        <v>4310</v>
      </c>
      <c r="B764" s="15" t="s">
        <v>4280</v>
      </c>
      <c r="C764" s="40">
        <v>22.524000000000001</v>
      </c>
      <c r="D764" s="29">
        <v>2.361111111111111E-2</v>
      </c>
      <c r="E764" s="41">
        <v>-12.042573000000001</v>
      </c>
      <c r="F764" s="41">
        <v>-77.024263000000005</v>
      </c>
      <c r="G764" s="41">
        <v>-12.092161000000001</v>
      </c>
      <c r="H764" s="41">
        <v>-77.023083</v>
      </c>
      <c r="I764" s="41">
        <v>-12.147320000000001</v>
      </c>
      <c r="J764" s="41">
        <v>-77.024918</v>
      </c>
    </row>
    <row r="765" spans="1:10" x14ac:dyDescent="0.25">
      <c r="A765" s="15" t="s">
        <v>4310</v>
      </c>
      <c r="B765" s="15" t="s">
        <v>4281</v>
      </c>
      <c r="C765" s="42">
        <v>15.361000000000001</v>
      </c>
      <c r="D765" s="25">
        <v>1.7361111111111112E-2</v>
      </c>
      <c r="E765" s="43">
        <v>-12.031952</v>
      </c>
      <c r="F765" s="43">
        <v>-76.991851999999994</v>
      </c>
      <c r="G765" s="43">
        <v>-12.068777000000001</v>
      </c>
      <c r="H765" s="43">
        <v>-76.972194999999999</v>
      </c>
      <c r="I765" s="43">
        <v>-12.083311999999999</v>
      </c>
      <c r="J765" s="43">
        <v>-76.970100000000002</v>
      </c>
    </row>
    <row r="766" spans="1:10" x14ac:dyDescent="0.25">
      <c r="A766" s="15" t="s">
        <v>4310</v>
      </c>
      <c r="B766" s="15" t="s">
        <v>4296</v>
      </c>
      <c r="C766" s="40">
        <v>10.000999999999999</v>
      </c>
      <c r="D766" s="29">
        <v>1.5972222222222221E-2</v>
      </c>
      <c r="E766" s="41">
        <v>-12.029852999999999</v>
      </c>
      <c r="F766" s="41">
        <v>-77.000964999999994</v>
      </c>
      <c r="G766" s="41">
        <v>-12.042519</v>
      </c>
      <c r="H766" s="41">
        <v>-77.024649999999994</v>
      </c>
      <c r="I766" s="41">
        <v>-12.060181</v>
      </c>
      <c r="J766" s="41">
        <v>-77.036090000000002</v>
      </c>
    </row>
    <row r="767" spans="1:10" x14ac:dyDescent="0.25">
      <c r="A767" s="15" t="s">
        <v>4310</v>
      </c>
      <c r="B767" s="15" t="s">
        <v>4297</v>
      </c>
      <c r="C767" s="42">
        <v>6.5439999999999996</v>
      </c>
      <c r="D767" s="25">
        <v>1.2500000000000001E-2</v>
      </c>
      <c r="E767" s="43">
        <v>-12.027825</v>
      </c>
      <c r="F767" s="43">
        <v>-77.001154</v>
      </c>
      <c r="G767" s="43">
        <v>-12.040338999999999</v>
      </c>
      <c r="H767" s="43">
        <v>-76.997595000000004</v>
      </c>
      <c r="I767" s="43">
        <v>-12.059248999999999</v>
      </c>
      <c r="J767" s="43">
        <v>-77.007981999999998</v>
      </c>
    </row>
    <row r="768" spans="1:10" x14ac:dyDescent="0.25">
      <c r="A768" s="15" t="s">
        <v>4310</v>
      </c>
      <c r="B768" s="15" t="s">
        <v>4298</v>
      </c>
      <c r="C768" s="40">
        <v>14.661</v>
      </c>
      <c r="D768" s="29">
        <v>1.7361111111111112E-2</v>
      </c>
      <c r="E768" s="41">
        <v>-12.032476000000001</v>
      </c>
      <c r="F768" s="41">
        <v>-77.006474999999995</v>
      </c>
      <c r="G768" s="41">
        <v>-12.054938</v>
      </c>
      <c r="H768" s="41">
        <v>-77.030473999999998</v>
      </c>
      <c r="I768" s="41">
        <v>-12.079181</v>
      </c>
      <c r="J768" s="41">
        <v>-77.028008</v>
      </c>
    </row>
    <row r="769" spans="1:10" x14ac:dyDescent="0.25">
      <c r="A769" s="15" t="s">
        <v>4310</v>
      </c>
      <c r="B769" s="15" t="s">
        <v>4299</v>
      </c>
      <c r="C769" s="42">
        <v>14.816000000000001</v>
      </c>
      <c r="D769" s="25">
        <v>1.8055555555555554E-2</v>
      </c>
      <c r="E769" s="43">
        <v>-12.034475</v>
      </c>
      <c r="F769" s="43">
        <v>-77.009604999999993</v>
      </c>
      <c r="G769" s="43">
        <v>-12.054792000000001</v>
      </c>
      <c r="H769" s="43">
        <v>-77.031563000000006</v>
      </c>
      <c r="I769" s="43">
        <v>-12.092161000000001</v>
      </c>
      <c r="J769" s="43">
        <v>-77.023083</v>
      </c>
    </row>
    <row r="770" spans="1:10" x14ac:dyDescent="0.25">
      <c r="A770" s="15" t="s">
        <v>4310</v>
      </c>
      <c r="B770" s="15" t="s">
        <v>4300</v>
      </c>
      <c r="C770" s="40">
        <v>12.169</v>
      </c>
      <c r="D770" s="29">
        <v>1.3194444444444444E-2</v>
      </c>
      <c r="E770" s="41">
        <v>-12.029299999999999</v>
      </c>
      <c r="F770" s="41">
        <v>-76.997405999999998</v>
      </c>
      <c r="G770" s="41">
        <v>-12.053018</v>
      </c>
      <c r="H770" s="41">
        <v>-76.975819000000001</v>
      </c>
      <c r="I770" s="41">
        <v>-12.080754000000001</v>
      </c>
      <c r="J770" s="41">
        <v>-76.977960999999993</v>
      </c>
    </row>
    <row r="771" spans="1:10" x14ac:dyDescent="0.25">
      <c r="A771" s="15" t="s">
        <v>4310</v>
      </c>
      <c r="B771" s="15" t="s">
        <v>4301</v>
      </c>
      <c r="C771" s="42">
        <v>21.295999999999999</v>
      </c>
      <c r="D771" s="25">
        <v>1.9444444444444445E-2</v>
      </c>
      <c r="E771" s="43">
        <v>-12.029724999999999</v>
      </c>
      <c r="F771" s="43">
        <v>-77.000641000000002</v>
      </c>
      <c r="G771" s="43">
        <v>-12.043112000000001</v>
      </c>
      <c r="H771" s="43">
        <v>-77.02807</v>
      </c>
      <c r="I771" s="43">
        <v>-12.031901</v>
      </c>
      <c r="J771" s="43">
        <v>-77.055516999999995</v>
      </c>
    </row>
    <row r="772" spans="1:10" x14ac:dyDescent="0.25">
      <c r="A772" s="15" t="s">
        <v>4310</v>
      </c>
      <c r="B772" s="15" t="s">
        <v>4302</v>
      </c>
      <c r="C772" s="40">
        <v>12.952999999999999</v>
      </c>
      <c r="D772" s="29">
        <v>1.3888888888888888E-2</v>
      </c>
      <c r="E772" s="41">
        <v>-12.029169</v>
      </c>
      <c r="F772" s="41">
        <v>-76.996744000000007</v>
      </c>
      <c r="G772" s="41">
        <v>-12.058099</v>
      </c>
      <c r="H772" s="41">
        <v>-76.973583000000005</v>
      </c>
      <c r="I772" s="41">
        <v>-12.084712</v>
      </c>
      <c r="J772" s="41">
        <v>-76.982230000000001</v>
      </c>
    </row>
    <row r="773" spans="1:10" x14ac:dyDescent="0.25">
      <c r="A773" s="15" t="s">
        <v>4310</v>
      </c>
      <c r="B773" s="15" t="s">
        <v>4303</v>
      </c>
      <c r="C773" s="42">
        <v>6.7939999999999996</v>
      </c>
      <c r="D773" s="25">
        <v>1.3194444444444444E-2</v>
      </c>
      <c r="E773" s="43">
        <v>-12.027825</v>
      </c>
      <c r="F773" s="43">
        <v>-77.001154</v>
      </c>
      <c r="G773" s="43">
        <v>-12.040338999999999</v>
      </c>
      <c r="H773" s="43">
        <v>-76.997595000000004</v>
      </c>
      <c r="I773" s="43">
        <v>-12.059248999999999</v>
      </c>
      <c r="J773" s="43">
        <v>-77.007981999999998</v>
      </c>
    </row>
    <row r="774" spans="1:10" x14ac:dyDescent="0.25">
      <c r="A774" s="15" t="s">
        <v>4310</v>
      </c>
      <c r="B774" s="15" t="s">
        <v>4304</v>
      </c>
      <c r="C774" s="40">
        <v>7.2460000000000004</v>
      </c>
      <c r="D774" s="29">
        <v>1.3194444444444444E-2</v>
      </c>
      <c r="E774" s="41">
        <v>-12.027737</v>
      </c>
      <c r="F774" s="41">
        <v>-77.001185000000007</v>
      </c>
      <c r="G774" s="41">
        <v>-12.039973</v>
      </c>
      <c r="H774" s="41">
        <v>-76.997649999999993</v>
      </c>
      <c r="I774" s="41">
        <v>-12.054639</v>
      </c>
      <c r="J774" s="41">
        <v>-77.004219000000006</v>
      </c>
    </row>
    <row r="775" spans="1:10" x14ac:dyDescent="0.25">
      <c r="A775" s="15" t="s">
        <v>4310</v>
      </c>
      <c r="B775" s="15" t="s">
        <v>4269</v>
      </c>
      <c r="C775" s="42">
        <v>17.504999999999999</v>
      </c>
      <c r="D775" s="25">
        <v>2.2916666666666665E-2</v>
      </c>
      <c r="E775" s="43">
        <v>-12.03753</v>
      </c>
      <c r="F775" s="43">
        <v>-77.013536999999999</v>
      </c>
      <c r="G775" s="43">
        <v>-12.036633</v>
      </c>
      <c r="H775" s="43">
        <v>-77.055385000000001</v>
      </c>
      <c r="I775" s="43">
        <v>-12.051231</v>
      </c>
      <c r="J775" s="43">
        <v>-77.076606999999996</v>
      </c>
    </row>
    <row r="776" spans="1:10" x14ac:dyDescent="0.25">
      <c r="A776" s="15" t="s">
        <v>4310</v>
      </c>
      <c r="B776" s="15" t="s">
        <v>4305</v>
      </c>
      <c r="C776" s="40">
        <v>9.8610000000000007</v>
      </c>
      <c r="D776" s="29">
        <v>1.3194444444444444E-2</v>
      </c>
      <c r="E776" s="41">
        <v>-12.029324000000001</v>
      </c>
      <c r="F776" s="41">
        <v>-77.000483000000003</v>
      </c>
      <c r="G776" s="41">
        <v>-12.043148</v>
      </c>
      <c r="H776" s="41">
        <v>-77.023544000000001</v>
      </c>
      <c r="I776" s="41">
        <v>-12.036104</v>
      </c>
      <c r="J776" s="41">
        <v>-77.044535999999994</v>
      </c>
    </row>
    <row r="777" spans="1:10" x14ac:dyDescent="0.25">
      <c r="A777" s="15" t="s">
        <v>4310</v>
      </c>
      <c r="B777" s="15" t="s">
        <v>4306</v>
      </c>
      <c r="C777" s="42">
        <v>14.827</v>
      </c>
      <c r="D777" s="25">
        <v>1.3888888888888888E-2</v>
      </c>
      <c r="E777" s="43">
        <v>-12.029529</v>
      </c>
      <c r="F777" s="43">
        <v>-76.998002999999997</v>
      </c>
      <c r="G777" s="43">
        <v>-12.051347</v>
      </c>
      <c r="H777" s="43">
        <v>-76.976862999999994</v>
      </c>
      <c r="I777" s="43">
        <v>-12.077928</v>
      </c>
      <c r="J777" s="43">
        <v>-76.976022999999998</v>
      </c>
    </row>
    <row r="778" spans="1:10" x14ac:dyDescent="0.25">
      <c r="A778" s="15" t="s">
        <v>4310</v>
      </c>
      <c r="B778" s="15" t="s">
        <v>4277</v>
      </c>
      <c r="C778" s="40">
        <v>16.100000000000001</v>
      </c>
      <c r="D778" s="29">
        <v>1.5972222222222221E-2</v>
      </c>
      <c r="E778" s="41">
        <v>-12.029299999999999</v>
      </c>
      <c r="F778" s="41">
        <v>-76.997405999999998</v>
      </c>
      <c r="G778" s="41">
        <v>-12.053018</v>
      </c>
      <c r="H778" s="41">
        <v>-76.975819000000001</v>
      </c>
      <c r="I778" s="41">
        <v>-12.080754000000001</v>
      </c>
      <c r="J778" s="41">
        <v>-76.977960999999993</v>
      </c>
    </row>
    <row r="779" spans="1:10" x14ac:dyDescent="0.25">
      <c r="A779" s="15" t="s">
        <v>4310</v>
      </c>
      <c r="B779" s="15" t="s">
        <v>4307</v>
      </c>
      <c r="C779" s="42">
        <v>5.6210000000000004</v>
      </c>
      <c r="D779" s="25">
        <v>1.1111111111111112E-2</v>
      </c>
      <c r="E779" s="43">
        <v>-12.027825</v>
      </c>
      <c r="F779" s="43">
        <v>-77.001154</v>
      </c>
      <c r="G779" s="43">
        <v>-12.040312</v>
      </c>
      <c r="H779" s="43">
        <v>-76.997707000000005</v>
      </c>
      <c r="I779" s="43">
        <v>-12.039599000000001</v>
      </c>
      <c r="J779" s="43">
        <v>-76.988456999999997</v>
      </c>
    </row>
    <row r="780" spans="1:10" x14ac:dyDescent="0.25">
      <c r="A780" s="15" t="s">
        <v>4310</v>
      </c>
      <c r="B780" s="15" t="s">
        <v>4308</v>
      </c>
      <c r="C780" s="40">
        <v>17.585999999999999</v>
      </c>
      <c r="D780" s="29">
        <v>2.0833333333333332E-2</v>
      </c>
      <c r="E780" s="41">
        <v>-12.033958999999999</v>
      </c>
      <c r="F780" s="41">
        <v>-77.008855999999994</v>
      </c>
      <c r="G780" s="41">
        <v>-12.039211</v>
      </c>
      <c r="H780" s="41">
        <v>-77.037908000000002</v>
      </c>
      <c r="I780" s="41">
        <v>-12.036597</v>
      </c>
      <c r="J780" s="41">
        <v>-77.081902999999997</v>
      </c>
    </row>
    <row r="781" spans="1:10" x14ac:dyDescent="0.25">
      <c r="A781" s="15" t="s">
        <v>4310</v>
      </c>
      <c r="B781" s="15" t="s">
        <v>4309</v>
      </c>
      <c r="C781" s="42">
        <v>9.6329999999999991</v>
      </c>
      <c r="D781" s="25">
        <v>1.3888888888888888E-2</v>
      </c>
      <c r="E781" s="43">
        <v>-12.029242</v>
      </c>
      <c r="F781" s="43">
        <v>-77.000496999999996</v>
      </c>
      <c r="G781" s="43">
        <v>-12.042771</v>
      </c>
      <c r="H781" s="43">
        <v>-77.021996000000001</v>
      </c>
      <c r="I781" s="43">
        <v>-12.055194999999999</v>
      </c>
      <c r="J781" s="43">
        <v>-77.030450000000002</v>
      </c>
    </row>
    <row r="782" spans="1:10" x14ac:dyDescent="0.25">
      <c r="A782" s="15" t="s">
        <v>4310</v>
      </c>
      <c r="B782" s="15" t="s">
        <v>4278</v>
      </c>
      <c r="C782" s="40">
        <v>12.845000000000001</v>
      </c>
      <c r="D782" s="29">
        <v>1.3888888888888888E-2</v>
      </c>
      <c r="E782" s="41">
        <v>-12.029852999999999</v>
      </c>
      <c r="F782" s="41">
        <v>-77.000964999999994</v>
      </c>
      <c r="G782" s="41">
        <v>-12.041998</v>
      </c>
      <c r="H782" s="41">
        <v>-77.031621000000001</v>
      </c>
      <c r="I782" s="41">
        <v>-12.013341</v>
      </c>
      <c r="J782" s="41">
        <v>-77.060385999999994</v>
      </c>
    </row>
    <row r="783" spans="1:10" x14ac:dyDescent="0.25">
      <c r="A783" s="15" t="s">
        <v>4310</v>
      </c>
      <c r="B783" s="15" t="s">
        <v>4310</v>
      </c>
      <c r="C783" s="42">
        <v>0</v>
      </c>
      <c r="D783" s="25">
        <v>0</v>
      </c>
      <c r="E783" s="43" t="str">
        <f>'1 ubicaciones'!D22</f>
        <v>-120.746.716</v>
      </c>
      <c r="F783" s="43" t="str">
        <f>'1 ubicaciones'!E22</f>
        <v>-7.705.062.389.999.990</v>
      </c>
      <c r="G783" s="43" t="str">
        <f>'1 ubicaciones'!D22</f>
        <v>-120.746.716</v>
      </c>
      <c r="H783" s="43" t="str">
        <f>'1 ubicaciones'!E22</f>
        <v>-7.705.062.389.999.990</v>
      </c>
      <c r="I783" s="43" t="str">
        <f>'1 ubicaciones'!D22</f>
        <v>-120.746.716</v>
      </c>
      <c r="J783" s="43" t="str">
        <f>'1 ubicaciones'!E22</f>
        <v>-7.705.062.389.999.990</v>
      </c>
    </row>
    <row r="784" spans="1:10" x14ac:dyDescent="0.25">
      <c r="A784" s="15" t="s">
        <v>4310</v>
      </c>
      <c r="B784" s="15" t="s">
        <v>4311</v>
      </c>
      <c r="C784" s="40">
        <v>8.7059999999999995</v>
      </c>
      <c r="D784" s="29">
        <v>1.3888888888888888E-2</v>
      </c>
      <c r="E784" s="41">
        <v>-12.029324000000001</v>
      </c>
      <c r="F784" s="41">
        <v>-77.000483000000003</v>
      </c>
      <c r="G784" s="41">
        <v>-12.043202000000001</v>
      </c>
      <c r="H784" s="41">
        <v>-77.024522000000005</v>
      </c>
      <c r="I784" s="41">
        <v>-12.059612</v>
      </c>
      <c r="J784" s="41">
        <v>-77.035128</v>
      </c>
    </row>
    <row r="785" spans="1:10" x14ac:dyDescent="0.25">
      <c r="A785" s="15" t="s">
        <v>4310</v>
      </c>
      <c r="B785" s="15" t="s">
        <v>4312</v>
      </c>
      <c r="C785" s="42">
        <v>6.7530000000000001</v>
      </c>
      <c r="D785" s="25">
        <v>1.3194444444444444E-2</v>
      </c>
      <c r="E785" s="43">
        <v>-12.027825</v>
      </c>
      <c r="F785" s="43">
        <v>-77.001154</v>
      </c>
      <c r="G785" s="43">
        <v>-12.040338999999999</v>
      </c>
      <c r="H785" s="43">
        <v>-76.997595000000004</v>
      </c>
      <c r="I785" s="43">
        <v>-12.059248999999999</v>
      </c>
      <c r="J785" s="43">
        <v>-77.007981999999998</v>
      </c>
    </row>
    <row r="786" spans="1:10" x14ac:dyDescent="0.25">
      <c r="A786" s="15" t="s">
        <v>4310</v>
      </c>
      <c r="B786" s="15" t="s">
        <v>4313</v>
      </c>
      <c r="C786" s="40">
        <v>10.113</v>
      </c>
      <c r="D786" s="29">
        <v>1.5972222222222221E-2</v>
      </c>
      <c r="E786" s="41">
        <v>-12.030991</v>
      </c>
      <c r="F786" s="41">
        <v>-77.003585000000001</v>
      </c>
      <c r="G786" s="41">
        <v>-12.043082999999999</v>
      </c>
      <c r="H786" s="41">
        <v>-77.024276</v>
      </c>
      <c r="I786" s="41">
        <v>-12.063701999999999</v>
      </c>
      <c r="J786" s="41">
        <v>-77.034329</v>
      </c>
    </row>
    <row r="787" spans="1:10" x14ac:dyDescent="0.25">
      <c r="A787" s="15" t="s">
        <v>4310</v>
      </c>
      <c r="B787" s="15" t="s">
        <v>4314</v>
      </c>
      <c r="C787" s="42">
        <v>15.994999999999999</v>
      </c>
      <c r="D787" s="25">
        <v>1.9444444444444445E-2</v>
      </c>
      <c r="E787" s="43">
        <v>-12.037084</v>
      </c>
      <c r="F787" s="43">
        <v>-77.013229999999993</v>
      </c>
      <c r="G787" s="43">
        <v>-12.036923</v>
      </c>
      <c r="H787" s="43">
        <v>-77.052398999999994</v>
      </c>
      <c r="I787" s="43">
        <v>-12.049985</v>
      </c>
      <c r="J787" s="43">
        <v>-77.076588000000001</v>
      </c>
    </row>
    <row r="788" spans="1:10" x14ac:dyDescent="0.25">
      <c r="A788" s="15" t="s">
        <v>4310</v>
      </c>
      <c r="B788" s="15" t="s">
        <v>4315</v>
      </c>
      <c r="C788" s="40">
        <v>13.375999999999999</v>
      </c>
      <c r="D788" s="29">
        <v>1.3888888888888888E-2</v>
      </c>
      <c r="E788" s="41">
        <v>-12.029169</v>
      </c>
      <c r="F788" s="41">
        <v>-76.996744000000007</v>
      </c>
      <c r="G788" s="41">
        <v>-12.058099</v>
      </c>
      <c r="H788" s="41">
        <v>-76.973583000000005</v>
      </c>
      <c r="I788" s="41">
        <v>-12.08611</v>
      </c>
      <c r="J788" s="41">
        <v>-76.982242999999997</v>
      </c>
    </row>
    <row r="789" spans="1:10" x14ac:dyDescent="0.25">
      <c r="A789" s="15" t="s">
        <v>4310</v>
      </c>
      <c r="B789" s="15" t="s">
        <v>4316</v>
      </c>
      <c r="C789" s="42">
        <v>17.847999999999999</v>
      </c>
      <c r="D789" s="25">
        <v>1.9444444444444445E-2</v>
      </c>
      <c r="E789" s="43">
        <v>-12.029169</v>
      </c>
      <c r="F789" s="43">
        <v>-76.996744000000007</v>
      </c>
      <c r="G789" s="43">
        <v>-12.058099</v>
      </c>
      <c r="H789" s="43">
        <v>-76.973583000000005</v>
      </c>
      <c r="I789" s="43">
        <v>-12.084712</v>
      </c>
      <c r="J789" s="43">
        <v>-76.982230000000001</v>
      </c>
    </row>
    <row r="790" spans="1:10" x14ac:dyDescent="0.25">
      <c r="A790" s="15" t="s">
        <v>4310</v>
      </c>
      <c r="B790" s="15" t="s">
        <v>4317</v>
      </c>
      <c r="C790" s="40">
        <v>20.113</v>
      </c>
      <c r="D790" s="29">
        <v>1.9444444444444445E-2</v>
      </c>
      <c r="E790" s="41">
        <v>-12.030862000000001</v>
      </c>
      <c r="F790" s="41">
        <v>-76.993167</v>
      </c>
      <c r="G790" s="41">
        <v>-12.067505000000001</v>
      </c>
      <c r="H790" s="41">
        <v>-76.971851999999998</v>
      </c>
      <c r="I790" s="41">
        <v>-12.135344999999999</v>
      </c>
      <c r="J790" s="41">
        <v>-76.979939000000002</v>
      </c>
    </row>
    <row r="791" spans="1:10" x14ac:dyDescent="0.25">
      <c r="A791" s="15" t="s">
        <v>4310</v>
      </c>
      <c r="B791" s="15" t="s">
        <v>4318</v>
      </c>
      <c r="C791" s="42">
        <v>12.371</v>
      </c>
      <c r="D791" s="25">
        <v>1.2500000000000001E-2</v>
      </c>
      <c r="E791" s="43">
        <v>-12.029299999999999</v>
      </c>
      <c r="F791" s="43">
        <v>-76.997405999999998</v>
      </c>
      <c r="G791" s="43">
        <v>-12.053018</v>
      </c>
      <c r="H791" s="43">
        <v>-76.975819000000001</v>
      </c>
      <c r="I791" s="43">
        <v>-12.080754000000001</v>
      </c>
      <c r="J791" s="43">
        <v>-76.977960999999993</v>
      </c>
    </row>
    <row r="792" spans="1:10" x14ac:dyDescent="0.25">
      <c r="A792" s="15" t="s">
        <v>4310</v>
      </c>
      <c r="B792" s="15" t="s">
        <v>4319</v>
      </c>
      <c r="C792" s="40">
        <v>12.692</v>
      </c>
      <c r="D792" s="29">
        <v>1.4583333333333334E-2</v>
      </c>
      <c r="E792" s="41">
        <v>-12.029529</v>
      </c>
      <c r="F792" s="41">
        <v>-76.998002999999997</v>
      </c>
      <c r="G792" s="41">
        <v>-12.051347</v>
      </c>
      <c r="H792" s="41">
        <v>-76.976862999999994</v>
      </c>
      <c r="I792" s="41">
        <v>-12.077928</v>
      </c>
      <c r="J792" s="41">
        <v>-76.976022999999998</v>
      </c>
    </row>
    <row r="793" spans="1:10" x14ac:dyDescent="0.25">
      <c r="A793" s="15" t="s">
        <v>4310</v>
      </c>
      <c r="B793" s="15" t="s">
        <v>4279</v>
      </c>
      <c r="C793" s="42">
        <v>14.826000000000001</v>
      </c>
      <c r="D793" s="25">
        <v>1.5972222222222221E-2</v>
      </c>
      <c r="E793" s="43">
        <v>-12.032476000000001</v>
      </c>
      <c r="F793" s="43">
        <v>-77.006474999999995</v>
      </c>
      <c r="G793" s="43">
        <v>-12.042306999999999</v>
      </c>
      <c r="H793" s="43">
        <v>-77.031937999999997</v>
      </c>
      <c r="I793" s="43">
        <v>-12.035662</v>
      </c>
      <c r="J793" s="43">
        <v>-77.077561000000003</v>
      </c>
    </row>
    <row r="794" spans="1:10" x14ac:dyDescent="0.25">
      <c r="A794" s="15" t="s">
        <v>4310</v>
      </c>
      <c r="B794" s="15" t="s">
        <v>4320</v>
      </c>
      <c r="C794" s="40">
        <v>6.7990000000000004</v>
      </c>
      <c r="D794" s="29">
        <v>9.7222222222222224E-3</v>
      </c>
      <c r="E794" s="41">
        <v>-12.028775</v>
      </c>
      <c r="F794" s="41">
        <v>-77.000801999999993</v>
      </c>
      <c r="G794" s="41">
        <v>-12.032871</v>
      </c>
      <c r="H794" s="41">
        <v>-76.991004000000004</v>
      </c>
      <c r="I794" s="41">
        <v>-12.056151</v>
      </c>
      <c r="J794" s="41">
        <v>-76.974622999999994</v>
      </c>
    </row>
    <row r="795" spans="1:10" x14ac:dyDescent="0.25">
      <c r="A795" s="15" t="s">
        <v>4310</v>
      </c>
      <c r="B795" s="15" t="s">
        <v>4321</v>
      </c>
      <c r="C795" s="42">
        <v>27.187999999999999</v>
      </c>
      <c r="D795" s="25">
        <v>2.7777777777777776E-2</v>
      </c>
      <c r="E795" s="43">
        <v>-12.032476000000001</v>
      </c>
      <c r="F795" s="43">
        <v>-77.006474999999995</v>
      </c>
      <c r="G795" s="43">
        <v>-12.03608</v>
      </c>
      <c r="H795" s="43">
        <v>-77.044940999999994</v>
      </c>
      <c r="I795" s="43">
        <v>-11.914884000000001</v>
      </c>
      <c r="J795" s="43">
        <v>-77.073864</v>
      </c>
    </row>
    <row r="796" spans="1:10" x14ac:dyDescent="0.25">
      <c r="A796" s="15" t="s">
        <v>4310</v>
      </c>
      <c r="B796" s="15" t="s">
        <v>4322</v>
      </c>
      <c r="C796" s="40">
        <v>29.434999999999999</v>
      </c>
      <c r="D796" s="29">
        <v>2.5000000000000001E-2</v>
      </c>
      <c r="E796" s="41">
        <v>-12.033245000000001</v>
      </c>
      <c r="F796" s="41">
        <v>-76.990701000000001</v>
      </c>
      <c r="G796" s="41">
        <v>-12.069820999999999</v>
      </c>
      <c r="H796" s="41">
        <v>-76.972611000000001</v>
      </c>
      <c r="I796" s="41">
        <v>-12.156287000000001</v>
      </c>
      <c r="J796" s="41">
        <v>-76.983540000000005</v>
      </c>
    </row>
    <row r="797" spans="1:10" x14ac:dyDescent="0.25">
      <c r="A797" s="15" t="s">
        <v>4310</v>
      </c>
      <c r="B797" s="15" t="s">
        <v>4323</v>
      </c>
      <c r="C797" s="42">
        <v>22.309000000000001</v>
      </c>
      <c r="D797" s="25">
        <v>2.1527777777777778E-2</v>
      </c>
      <c r="E797" s="43">
        <v>-12.03538</v>
      </c>
      <c r="F797" s="43">
        <v>-76.989411000000004</v>
      </c>
      <c r="G797" s="43">
        <v>-12.079006</v>
      </c>
      <c r="H797" s="43">
        <v>-76.976590999999999</v>
      </c>
      <c r="I797" s="43">
        <v>-12.165931</v>
      </c>
      <c r="J797" s="43">
        <v>-76.981325999999996</v>
      </c>
    </row>
    <row r="798" spans="1:10" x14ac:dyDescent="0.25">
      <c r="A798" s="15" t="s">
        <v>4310</v>
      </c>
      <c r="B798" s="15" t="s">
        <v>4324</v>
      </c>
      <c r="C798" s="40">
        <v>12.853999999999999</v>
      </c>
      <c r="D798" s="29">
        <v>1.8055555555555554E-2</v>
      </c>
      <c r="E798" s="41">
        <v>-12.032476000000001</v>
      </c>
      <c r="F798" s="41">
        <v>-77.006474999999995</v>
      </c>
      <c r="G798" s="41">
        <v>-12.037134999999999</v>
      </c>
      <c r="H798" s="41">
        <v>-77.041436000000004</v>
      </c>
      <c r="I798" s="41">
        <v>-12.049118999999999</v>
      </c>
      <c r="J798" s="41">
        <v>-77.053832</v>
      </c>
    </row>
    <row r="799" spans="1:10" x14ac:dyDescent="0.25">
      <c r="A799" s="15" t="s">
        <v>4310</v>
      </c>
      <c r="B799" s="15" t="s">
        <v>4325</v>
      </c>
      <c r="C799" s="42">
        <v>20.353000000000002</v>
      </c>
      <c r="D799" s="25">
        <v>2.361111111111111E-2</v>
      </c>
      <c r="E799" s="43">
        <v>-12.036507</v>
      </c>
      <c r="F799" s="43">
        <v>-76.989037999999994</v>
      </c>
      <c r="G799" s="43">
        <v>-12.080754000000001</v>
      </c>
      <c r="H799" s="43">
        <v>-76.977960999999993</v>
      </c>
      <c r="I799" s="43">
        <v>-12.144939000000001</v>
      </c>
      <c r="J799" s="43">
        <v>-76.965765000000005</v>
      </c>
    </row>
    <row r="800" spans="1:10" x14ac:dyDescent="0.25">
      <c r="A800" s="15" t="s">
        <v>4310</v>
      </c>
      <c r="B800" s="15" t="s">
        <v>4268</v>
      </c>
      <c r="C800" s="40">
        <v>0.752</v>
      </c>
      <c r="D800" s="29">
        <v>2.7777777777777779E-3</v>
      </c>
      <c r="E800" s="41">
        <v>-12.02388</v>
      </c>
      <c r="F800" s="41">
        <v>-76.998249000000001</v>
      </c>
      <c r="G800" s="41">
        <v>-12.02445</v>
      </c>
      <c r="H800" s="41">
        <v>-76.998605999999995</v>
      </c>
      <c r="I800" s="41">
        <v>-12.025587</v>
      </c>
      <c r="J800" s="41">
        <v>-77.001367999999999</v>
      </c>
    </row>
    <row r="801" spans="1:10" x14ac:dyDescent="0.25">
      <c r="A801" s="15" t="s">
        <v>4311</v>
      </c>
      <c r="B801" s="15" t="s">
        <v>4267</v>
      </c>
      <c r="C801" s="42">
        <v>3.74</v>
      </c>
      <c r="D801" s="25">
        <v>9.0277777777777769E-3</v>
      </c>
      <c r="E801" s="43">
        <v>-12.073442999999999</v>
      </c>
      <c r="F801" s="43">
        <v>-77.036203999999998</v>
      </c>
      <c r="G801" s="43">
        <v>-12.063995</v>
      </c>
      <c r="H801" s="43">
        <v>-77.037513000000004</v>
      </c>
      <c r="I801" s="43">
        <v>-12.050932</v>
      </c>
      <c r="J801" s="43">
        <v>-77.038651000000002</v>
      </c>
    </row>
    <row r="802" spans="1:10" x14ac:dyDescent="0.25">
      <c r="A802" s="15" t="s">
        <v>4311</v>
      </c>
      <c r="B802" s="15" t="s">
        <v>4280</v>
      </c>
      <c r="C802" s="40">
        <v>14.717000000000001</v>
      </c>
      <c r="D802" s="29">
        <v>1.5277777777777777E-2</v>
      </c>
      <c r="E802" s="41">
        <v>-12.106316</v>
      </c>
      <c r="F802" s="41">
        <v>-77.027315999999999</v>
      </c>
      <c r="G802" s="41">
        <v>-12.136607</v>
      </c>
      <c r="H802" s="41">
        <v>-77.026020000000003</v>
      </c>
      <c r="I802" s="41">
        <v>-12.161996</v>
      </c>
      <c r="J802" s="41">
        <v>-77.025426999999993</v>
      </c>
    </row>
    <row r="803" spans="1:10" x14ac:dyDescent="0.25">
      <c r="A803" s="15" t="s">
        <v>4311</v>
      </c>
      <c r="B803" s="15" t="s">
        <v>4281</v>
      </c>
      <c r="C803" s="42">
        <v>13.721</v>
      </c>
      <c r="D803" s="25">
        <v>1.5277777777777777E-2</v>
      </c>
      <c r="E803" s="43">
        <v>-12.091602999999999</v>
      </c>
      <c r="F803" s="43">
        <v>-77.022992000000002</v>
      </c>
      <c r="G803" s="43">
        <v>-12.086880000000001</v>
      </c>
      <c r="H803" s="43">
        <v>-76.994710999999995</v>
      </c>
      <c r="I803" s="43">
        <v>-12.075670000000001</v>
      </c>
      <c r="J803" s="43">
        <v>-76.963638000000003</v>
      </c>
    </row>
    <row r="804" spans="1:10" x14ac:dyDescent="0.25">
      <c r="A804" s="15" t="s">
        <v>4311</v>
      </c>
      <c r="B804" s="15" t="s">
        <v>4296</v>
      </c>
      <c r="C804" s="40">
        <v>1.8049999999999999</v>
      </c>
      <c r="D804" s="29">
        <v>4.1666666666666666E-3</v>
      </c>
      <c r="E804" s="41">
        <v>-12.072143000000001</v>
      </c>
      <c r="F804" s="41">
        <v>-77.041143000000005</v>
      </c>
      <c r="G804" s="41">
        <v>-12.072714</v>
      </c>
      <c r="H804" s="41">
        <v>-77.044737999999995</v>
      </c>
      <c r="I804" s="41">
        <v>-12.072703000000001</v>
      </c>
      <c r="J804" s="41">
        <v>-77.045337000000004</v>
      </c>
    </row>
    <row r="805" spans="1:10" x14ac:dyDescent="0.25">
      <c r="A805" s="15" t="s">
        <v>4311</v>
      </c>
      <c r="B805" s="15" t="s">
        <v>4297</v>
      </c>
      <c r="C805" s="42">
        <v>4.5999999999999996</v>
      </c>
      <c r="D805" s="25">
        <v>9.0277777777777769E-3</v>
      </c>
      <c r="E805" s="43">
        <v>-12.072831000000001</v>
      </c>
      <c r="F805" s="43">
        <v>-77.030906999999999</v>
      </c>
      <c r="G805" s="43">
        <v>-12.076504</v>
      </c>
      <c r="H805" s="43">
        <v>-77.027767999999995</v>
      </c>
      <c r="I805" s="43">
        <v>-12.072037</v>
      </c>
      <c r="J805" s="43">
        <v>-77.011477999999997</v>
      </c>
    </row>
    <row r="806" spans="1:10" x14ac:dyDescent="0.25">
      <c r="A806" s="15" t="s">
        <v>4311</v>
      </c>
      <c r="B806" s="15" t="s">
        <v>4298</v>
      </c>
      <c r="C806" s="40">
        <v>6.8540000000000001</v>
      </c>
      <c r="D806" s="29">
        <v>9.0277777777777769E-3</v>
      </c>
      <c r="E806" s="41">
        <v>-12.076248</v>
      </c>
      <c r="F806" s="41">
        <v>-77.029278000000005</v>
      </c>
      <c r="G806" s="41">
        <v>-12.092161000000001</v>
      </c>
      <c r="H806" s="41">
        <v>-77.023083</v>
      </c>
      <c r="I806" s="41">
        <v>-12.10961</v>
      </c>
      <c r="J806" s="41">
        <v>-77.026435000000006</v>
      </c>
    </row>
    <row r="807" spans="1:10" x14ac:dyDescent="0.25">
      <c r="A807" s="15" t="s">
        <v>4311</v>
      </c>
      <c r="B807" s="15" t="s">
        <v>4299</v>
      </c>
      <c r="C807" s="42">
        <v>7.0090000000000003</v>
      </c>
      <c r="D807" s="25">
        <v>9.7222222222222224E-3</v>
      </c>
      <c r="E807" s="43">
        <v>-12.076378999999999</v>
      </c>
      <c r="F807" s="43">
        <v>-77.029228000000003</v>
      </c>
      <c r="G807" s="43">
        <v>-12.102064</v>
      </c>
      <c r="H807" s="43">
        <v>-77.027343999999999</v>
      </c>
      <c r="I807" s="43">
        <v>-12.112401999999999</v>
      </c>
      <c r="J807" s="43">
        <v>-77.026313000000002</v>
      </c>
    </row>
    <row r="808" spans="1:10" x14ac:dyDescent="0.25">
      <c r="A808" s="15" t="s">
        <v>4311</v>
      </c>
      <c r="B808" s="15" t="s">
        <v>4300</v>
      </c>
      <c r="C808" s="40">
        <v>10.589</v>
      </c>
      <c r="D808" s="29">
        <v>1.1805555555555555E-2</v>
      </c>
      <c r="E808" s="41">
        <v>-12.090161</v>
      </c>
      <c r="F808" s="41">
        <v>-77.023129999999995</v>
      </c>
      <c r="G808" s="41">
        <v>-12.087486999999999</v>
      </c>
      <c r="H808" s="41">
        <v>-76.998773999999997</v>
      </c>
      <c r="I808" s="41">
        <v>-12.090748</v>
      </c>
      <c r="J808" s="41">
        <v>-76.981072999999995</v>
      </c>
    </row>
    <row r="809" spans="1:10" x14ac:dyDescent="0.25">
      <c r="A809" s="15" t="s">
        <v>4311</v>
      </c>
      <c r="B809" s="15" t="s">
        <v>4301</v>
      </c>
      <c r="C809" s="42">
        <v>19.748999999999999</v>
      </c>
      <c r="D809" s="25">
        <v>2.2916666666666665E-2</v>
      </c>
      <c r="E809" s="43">
        <v>-12.064669</v>
      </c>
      <c r="F809" s="43">
        <v>-77.038951999999995</v>
      </c>
      <c r="G809" s="43">
        <v>-12.036008000000001</v>
      </c>
      <c r="H809" s="43">
        <v>-77.043530000000004</v>
      </c>
      <c r="I809" s="43">
        <v>-12.031428999999999</v>
      </c>
      <c r="J809" s="43">
        <v>-77.055999</v>
      </c>
    </row>
    <row r="810" spans="1:10" x14ac:dyDescent="0.25">
      <c r="A810" s="15" t="s">
        <v>4311</v>
      </c>
      <c r="B810" s="15" t="s">
        <v>4302</v>
      </c>
      <c r="C810" s="40">
        <v>6.633</v>
      </c>
      <c r="D810" s="29">
        <v>9.7222222222222224E-3</v>
      </c>
      <c r="E810" s="41">
        <v>-12.076248</v>
      </c>
      <c r="F810" s="41">
        <v>-77.029278000000005</v>
      </c>
      <c r="G810" s="41">
        <v>-12.091872</v>
      </c>
      <c r="H810" s="41">
        <v>-77.023073999999994</v>
      </c>
      <c r="I810" s="41">
        <v>-12.090726</v>
      </c>
      <c r="J810" s="41">
        <v>-77.021277999999995</v>
      </c>
    </row>
    <row r="811" spans="1:10" x14ac:dyDescent="0.25">
      <c r="A811" s="15" t="s">
        <v>4311</v>
      </c>
      <c r="B811" s="15" t="s">
        <v>4303</v>
      </c>
      <c r="C811" s="42">
        <v>4.3390000000000004</v>
      </c>
      <c r="D811" s="25">
        <v>9.0277777777777769E-3</v>
      </c>
      <c r="E811" s="43">
        <v>-12.072831000000001</v>
      </c>
      <c r="F811" s="43">
        <v>-77.030906999999999</v>
      </c>
      <c r="G811" s="43">
        <v>-12.076504</v>
      </c>
      <c r="H811" s="43">
        <v>-77.027767999999995</v>
      </c>
      <c r="I811" s="43">
        <v>-12.072653000000001</v>
      </c>
      <c r="J811" s="43">
        <v>-77.014038999999997</v>
      </c>
    </row>
    <row r="812" spans="1:10" x14ac:dyDescent="0.25">
      <c r="A812" s="15" t="s">
        <v>4311</v>
      </c>
      <c r="B812" s="15" t="s">
        <v>4304</v>
      </c>
      <c r="C812" s="40">
        <v>4.0720000000000001</v>
      </c>
      <c r="D812" s="29">
        <v>8.3333333333333332E-3</v>
      </c>
      <c r="E812" s="41">
        <v>-12.072677000000001</v>
      </c>
      <c r="F812" s="41">
        <v>-77.030955000000006</v>
      </c>
      <c r="G812" s="41">
        <v>-12.077116</v>
      </c>
      <c r="H812" s="41">
        <v>-77.029200000000003</v>
      </c>
      <c r="I812" s="41">
        <v>-12.074351</v>
      </c>
      <c r="J812" s="41">
        <v>-77.021199999999993</v>
      </c>
    </row>
    <row r="813" spans="1:10" x14ac:dyDescent="0.25">
      <c r="A813" s="15" t="s">
        <v>4311</v>
      </c>
      <c r="B813" s="15" t="s">
        <v>4269</v>
      </c>
      <c r="C813" s="42">
        <v>6.125</v>
      </c>
      <c r="D813" s="25">
        <v>1.2500000000000001E-2</v>
      </c>
      <c r="E813" s="43">
        <v>-12.075839</v>
      </c>
      <c r="F813" s="43">
        <v>-77.037634999999995</v>
      </c>
      <c r="G813" s="43">
        <v>-12.078659999999999</v>
      </c>
      <c r="H813" s="43">
        <v>-77.056904000000003</v>
      </c>
      <c r="I813" s="43">
        <v>-12.091358</v>
      </c>
      <c r="J813" s="43">
        <v>-77.076713999999996</v>
      </c>
    </row>
    <row r="814" spans="1:10" x14ac:dyDescent="0.25">
      <c r="A814" s="15" t="s">
        <v>4311</v>
      </c>
      <c r="B814" s="15" t="s">
        <v>4305</v>
      </c>
      <c r="C814" s="40">
        <v>3.2269999999999999</v>
      </c>
      <c r="D814" s="29">
        <v>6.9444444444444441E-3</v>
      </c>
      <c r="E814" s="41">
        <v>-12.065220999999999</v>
      </c>
      <c r="F814" s="41">
        <v>-77.038893999999999</v>
      </c>
      <c r="G814" s="41">
        <v>-12.059696000000001</v>
      </c>
      <c r="H814" s="41">
        <v>-77.041511</v>
      </c>
      <c r="I814" s="41">
        <v>-12.061386000000001</v>
      </c>
      <c r="J814" s="41">
        <v>-77.045427000000004</v>
      </c>
    </row>
    <row r="815" spans="1:10" x14ac:dyDescent="0.25">
      <c r="A815" s="15" t="s">
        <v>4311</v>
      </c>
      <c r="B815" s="15" t="s">
        <v>4306</v>
      </c>
      <c r="C815" s="42">
        <v>13.247</v>
      </c>
      <c r="D815" s="25">
        <v>1.2500000000000001E-2</v>
      </c>
      <c r="E815" s="43">
        <v>-12.088837</v>
      </c>
      <c r="F815" s="43">
        <v>-77.024019999999993</v>
      </c>
      <c r="G815" s="43">
        <v>-12.090726</v>
      </c>
      <c r="H815" s="43">
        <v>-77.021277999999995</v>
      </c>
      <c r="I815" s="43">
        <v>-12.087826</v>
      </c>
      <c r="J815" s="43">
        <v>-76.982071000000005</v>
      </c>
    </row>
    <row r="816" spans="1:10" x14ac:dyDescent="0.25">
      <c r="A816" s="15" t="s">
        <v>4311</v>
      </c>
      <c r="B816" s="15" t="s">
        <v>4277</v>
      </c>
      <c r="C816" s="40">
        <v>3.3780000000000001</v>
      </c>
      <c r="D816" s="29">
        <v>6.2500000000000003E-3</v>
      </c>
      <c r="E816" s="41">
        <v>-12.089361999999999</v>
      </c>
      <c r="F816" s="41">
        <v>-77.035793999999996</v>
      </c>
      <c r="G816" s="41">
        <v>-12.091018</v>
      </c>
      <c r="H816" s="41">
        <v>-77.036365000000004</v>
      </c>
      <c r="I816" s="41">
        <v>-12.092582</v>
      </c>
      <c r="J816" s="41">
        <v>-77.036118999999999</v>
      </c>
    </row>
    <row r="817" spans="1:10" x14ac:dyDescent="0.25">
      <c r="A817" s="15" t="s">
        <v>4311</v>
      </c>
      <c r="B817" s="15" t="s">
        <v>4307</v>
      </c>
      <c r="C817" s="42">
        <v>16.25</v>
      </c>
      <c r="D817" s="25">
        <v>1.6666666666666666E-2</v>
      </c>
      <c r="E817" s="43">
        <v>-12.091913</v>
      </c>
      <c r="F817" s="43">
        <v>-77.023544999999999</v>
      </c>
      <c r="G817" s="43">
        <v>-12.085632</v>
      </c>
      <c r="H817" s="43">
        <v>-76.981426999999996</v>
      </c>
      <c r="I817" s="43">
        <v>-12.058093</v>
      </c>
      <c r="J817" s="43">
        <v>-76.973387000000002</v>
      </c>
    </row>
    <row r="818" spans="1:10" x14ac:dyDescent="0.25">
      <c r="A818" s="15" t="s">
        <v>4311</v>
      </c>
      <c r="B818" s="15" t="s">
        <v>4308</v>
      </c>
      <c r="C818" s="40">
        <v>7.3159999999999998</v>
      </c>
      <c r="D818" s="29">
        <v>1.3888888888888888E-2</v>
      </c>
      <c r="E818" s="41">
        <v>-12.078628</v>
      </c>
      <c r="F818" s="41">
        <v>-77.056706000000005</v>
      </c>
      <c r="G818" s="41">
        <v>-12.084512</v>
      </c>
      <c r="H818" s="41">
        <v>-77.064483999999993</v>
      </c>
      <c r="I818" s="41">
        <v>-12.078177</v>
      </c>
      <c r="J818" s="41">
        <v>-77.081005000000005</v>
      </c>
    </row>
    <row r="819" spans="1:10" x14ac:dyDescent="0.25">
      <c r="A819" s="15" t="s">
        <v>4311</v>
      </c>
      <c r="B819" s="15" t="s">
        <v>4309</v>
      </c>
      <c r="C819" s="42">
        <v>2.625</v>
      </c>
      <c r="D819" s="25">
        <v>5.5555555555555558E-3</v>
      </c>
      <c r="E819" s="43">
        <v>-12.073596</v>
      </c>
      <c r="F819" s="43">
        <v>-77.037255000000002</v>
      </c>
      <c r="G819" s="43">
        <v>-12.072677000000001</v>
      </c>
      <c r="H819" s="43">
        <v>-77.030955000000006</v>
      </c>
      <c r="I819" s="43">
        <v>-12.077830000000001</v>
      </c>
      <c r="J819" s="43">
        <v>-77.030079999999998</v>
      </c>
    </row>
    <row r="820" spans="1:10" x14ac:dyDescent="0.25">
      <c r="A820" s="15" t="s">
        <v>4311</v>
      </c>
      <c r="B820" s="15" t="s">
        <v>4278</v>
      </c>
      <c r="C820" s="40">
        <v>11.298</v>
      </c>
      <c r="D820" s="29">
        <v>1.6666666666666666E-2</v>
      </c>
      <c r="E820" s="41">
        <v>-12.064505</v>
      </c>
      <c r="F820" s="41">
        <v>-77.039015000000006</v>
      </c>
      <c r="G820" s="41">
        <v>-12.035714</v>
      </c>
      <c r="H820" s="41">
        <v>-77.043052000000003</v>
      </c>
      <c r="I820" s="41">
        <v>-12.029108000000001</v>
      </c>
      <c r="J820" s="41">
        <v>-77.057633999999993</v>
      </c>
    </row>
    <row r="821" spans="1:10" x14ac:dyDescent="0.25">
      <c r="A821" s="15" t="s">
        <v>4311</v>
      </c>
      <c r="B821" s="15" t="s">
        <v>4310</v>
      </c>
      <c r="C821" s="42">
        <v>9.3510000000000009</v>
      </c>
      <c r="D821" s="25">
        <v>1.5972222222222221E-2</v>
      </c>
      <c r="E821" s="43">
        <v>-12.064525</v>
      </c>
      <c r="F821" s="43">
        <v>-77.038871999999998</v>
      </c>
      <c r="G821" s="43">
        <v>-12.054682</v>
      </c>
      <c r="H821" s="43">
        <v>-77.030240000000006</v>
      </c>
      <c r="I821" s="43">
        <v>-12.042202</v>
      </c>
      <c r="J821" s="43">
        <v>-77.02037</v>
      </c>
    </row>
    <row r="822" spans="1:10" x14ac:dyDescent="0.25">
      <c r="A822" s="15" t="s">
        <v>4311</v>
      </c>
      <c r="B822" s="15" t="s">
        <v>4311</v>
      </c>
      <c r="C822" s="40">
        <v>0</v>
      </c>
      <c r="D822" s="29">
        <v>0</v>
      </c>
      <c r="E822" s="41" t="e">
        <f>'1 ubicaciones'!#REF!</f>
        <v>#REF!</v>
      </c>
      <c r="F822" s="41" t="e">
        <f>'1 ubicaciones'!#REF!</f>
        <v>#REF!</v>
      </c>
      <c r="G822" s="41" t="e">
        <f>'1 ubicaciones'!#REF!</f>
        <v>#REF!</v>
      </c>
      <c r="H822" s="41" t="e">
        <f>'1 ubicaciones'!#REF!</f>
        <v>#REF!</v>
      </c>
      <c r="I822" s="41" t="e">
        <f>'1 ubicaciones'!#REF!</f>
        <v>#REF!</v>
      </c>
      <c r="J822" s="41" t="e">
        <f>'1 ubicaciones'!#REF!</f>
        <v>#REF!</v>
      </c>
    </row>
    <row r="823" spans="1:10" x14ac:dyDescent="0.25">
      <c r="A823" s="15" t="s">
        <v>4311</v>
      </c>
      <c r="B823" s="15" t="s">
        <v>4312</v>
      </c>
      <c r="C823" s="42">
        <v>4.3319999999999999</v>
      </c>
      <c r="D823" s="25">
        <v>8.3333333333333332E-3</v>
      </c>
      <c r="E823" s="43">
        <v>-12.072677000000001</v>
      </c>
      <c r="F823" s="43">
        <v>-77.030955000000006</v>
      </c>
      <c r="G823" s="43">
        <v>-12.077116</v>
      </c>
      <c r="H823" s="43">
        <v>-77.029200000000003</v>
      </c>
      <c r="I823" s="43">
        <v>-12.074351</v>
      </c>
      <c r="J823" s="43">
        <v>-77.021199999999993</v>
      </c>
    </row>
    <row r="824" spans="1:10" x14ac:dyDescent="0.25">
      <c r="A824" s="15" t="s">
        <v>4311</v>
      </c>
      <c r="B824" s="15" t="s">
        <v>4313</v>
      </c>
      <c r="C824" s="40">
        <v>1.67</v>
      </c>
      <c r="D824" s="29">
        <v>4.1666666666666666E-3</v>
      </c>
      <c r="E824" s="41">
        <v>-12.074909999999999</v>
      </c>
      <c r="F824" s="41">
        <v>-77.039073999999999</v>
      </c>
      <c r="G824" s="41">
        <v>-12.074818</v>
      </c>
      <c r="H824" s="41">
        <v>-77.043881999999996</v>
      </c>
      <c r="I824" s="41">
        <v>-12.075018999999999</v>
      </c>
      <c r="J824" s="41">
        <v>-77.047608999999994</v>
      </c>
    </row>
    <row r="825" spans="1:10" x14ac:dyDescent="0.25">
      <c r="A825" s="15" t="s">
        <v>4311</v>
      </c>
      <c r="B825" s="15" t="s">
        <v>4314</v>
      </c>
      <c r="C825" s="42">
        <v>6.1760000000000002</v>
      </c>
      <c r="D825" s="25">
        <v>1.2500000000000001E-2</v>
      </c>
      <c r="E825" s="43">
        <v>-12.078609999999999</v>
      </c>
      <c r="F825" s="43">
        <v>-77.056595999999999</v>
      </c>
      <c r="G825" s="43">
        <v>-12.085626</v>
      </c>
      <c r="H825" s="43">
        <v>-77.063993999999994</v>
      </c>
      <c r="I825" s="43">
        <v>-12.083834</v>
      </c>
      <c r="J825" s="43">
        <v>-77.065061999999998</v>
      </c>
    </row>
    <row r="826" spans="1:10" x14ac:dyDescent="0.25">
      <c r="A826" s="15" t="s">
        <v>4311</v>
      </c>
      <c r="B826" s="15" t="s">
        <v>4315</v>
      </c>
      <c r="C826" s="40">
        <v>11.795999999999999</v>
      </c>
      <c r="D826" s="29">
        <v>1.3194444444444444E-2</v>
      </c>
      <c r="E826" s="41">
        <v>-12.091184999999999</v>
      </c>
      <c r="F826" s="41">
        <v>-77.022919000000002</v>
      </c>
      <c r="G826" s="41">
        <v>-12.086795</v>
      </c>
      <c r="H826" s="41">
        <v>-76.997088000000005</v>
      </c>
      <c r="I826" s="41">
        <v>-12.102743</v>
      </c>
      <c r="J826" s="41">
        <v>-76.979485999999994</v>
      </c>
    </row>
    <row r="827" spans="1:10" x14ac:dyDescent="0.25">
      <c r="A827" s="15" t="s">
        <v>4311</v>
      </c>
      <c r="B827" s="15" t="s">
        <v>4316</v>
      </c>
      <c r="C827" s="42">
        <v>5.1260000000000003</v>
      </c>
      <c r="D827" s="25">
        <v>9.7222222222222224E-3</v>
      </c>
      <c r="E827" s="43">
        <v>-12.089472000000001</v>
      </c>
      <c r="F827" s="43">
        <v>-77.036591999999999</v>
      </c>
      <c r="G827" s="43">
        <v>-12.092435</v>
      </c>
      <c r="H827" s="43">
        <v>-77.036141999999998</v>
      </c>
      <c r="I827" s="43">
        <v>-12.095088000000001</v>
      </c>
      <c r="J827" s="43">
        <v>-77.054450000000003</v>
      </c>
    </row>
    <row r="828" spans="1:10" x14ac:dyDescent="0.25">
      <c r="A828" s="15" t="s">
        <v>4311</v>
      </c>
      <c r="B828" s="15" t="s">
        <v>4317</v>
      </c>
      <c r="C828" s="40">
        <v>18.533000000000001</v>
      </c>
      <c r="D828" s="29">
        <v>1.8055555555555554E-2</v>
      </c>
      <c r="E828" s="41">
        <v>-12.091872</v>
      </c>
      <c r="F828" s="41">
        <v>-77.023073999999994</v>
      </c>
      <c r="G828" s="41">
        <v>-12.085989</v>
      </c>
      <c r="H828" s="41">
        <v>-76.987696999999997</v>
      </c>
      <c r="I828" s="41">
        <v>-12.150119</v>
      </c>
      <c r="J828" s="41">
        <v>-76.983529000000004</v>
      </c>
    </row>
    <row r="829" spans="1:10" x14ac:dyDescent="0.25">
      <c r="A829" s="15" t="s">
        <v>4311</v>
      </c>
      <c r="B829" s="15" t="s">
        <v>4318</v>
      </c>
      <c r="C829" s="42">
        <v>5.36</v>
      </c>
      <c r="D829" s="25">
        <v>6.9444444444444441E-3</v>
      </c>
      <c r="E829" s="43">
        <v>-12.075085</v>
      </c>
      <c r="F829" s="43">
        <v>-77.029900999999995</v>
      </c>
      <c r="G829" s="43">
        <v>-12.091184999999999</v>
      </c>
      <c r="H829" s="43">
        <v>-77.022919000000002</v>
      </c>
      <c r="I829" s="43">
        <v>-12.091018999999999</v>
      </c>
      <c r="J829" s="43">
        <v>-77.023420000000002</v>
      </c>
    </row>
    <row r="830" spans="1:10" x14ac:dyDescent="0.25">
      <c r="A830" s="15" t="s">
        <v>4311</v>
      </c>
      <c r="B830" s="15" t="s">
        <v>4319</v>
      </c>
      <c r="C830" s="40">
        <v>8.0779999999999994</v>
      </c>
      <c r="D830" s="29">
        <v>1.0416666666666666E-2</v>
      </c>
      <c r="E830" s="41">
        <v>-12.076248</v>
      </c>
      <c r="F830" s="41">
        <v>-77.029278000000005</v>
      </c>
      <c r="G830" s="41">
        <v>-12.091872</v>
      </c>
      <c r="H830" s="41">
        <v>-77.023073999999994</v>
      </c>
      <c r="I830" s="41">
        <v>-12.090726</v>
      </c>
      <c r="J830" s="41">
        <v>-77.021277999999995</v>
      </c>
    </row>
    <row r="831" spans="1:10" x14ac:dyDescent="0.25">
      <c r="A831" s="15" t="s">
        <v>4311</v>
      </c>
      <c r="B831" s="15" t="s">
        <v>4279</v>
      </c>
      <c r="C831" s="42">
        <v>10.105</v>
      </c>
      <c r="D831" s="25">
        <v>1.7361111111111112E-2</v>
      </c>
      <c r="E831" s="43">
        <v>-12.070622999999999</v>
      </c>
      <c r="F831" s="43">
        <v>-77.040377000000007</v>
      </c>
      <c r="G831" s="43">
        <v>-12.060627</v>
      </c>
      <c r="H831" s="43">
        <v>-77.041165000000007</v>
      </c>
      <c r="I831" s="43">
        <v>-12.046448</v>
      </c>
      <c r="J831" s="43">
        <v>-77.042338000000001</v>
      </c>
    </row>
    <row r="832" spans="1:10" x14ac:dyDescent="0.25">
      <c r="A832" s="15" t="s">
        <v>4311</v>
      </c>
      <c r="B832" s="15" t="s">
        <v>4320</v>
      </c>
      <c r="C832" s="40">
        <v>12.19</v>
      </c>
      <c r="D832" s="29">
        <v>1.3194444444444444E-2</v>
      </c>
      <c r="E832" s="41">
        <v>-12.092001</v>
      </c>
      <c r="F832" s="41">
        <v>-77.023199000000005</v>
      </c>
      <c r="G832" s="41">
        <v>-12.085035</v>
      </c>
      <c r="H832" s="41">
        <v>-76.981905999999995</v>
      </c>
      <c r="I832" s="41">
        <v>-12.067546999999999</v>
      </c>
      <c r="J832" s="41">
        <v>-76.971515999999994</v>
      </c>
    </row>
    <row r="833" spans="1:10" x14ac:dyDescent="0.25">
      <c r="A833" s="15" t="s">
        <v>4311</v>
      </c>
      <c r="B833" s="15" t="s">
        <v>4321</v>
      </c>
      <c r="C833" s="42">
        <v>25.640999999999998</v>
      </c>
      <c r="D833" s="25">
        <v>3.0555555555555555E-2</v>
      </c>
      <c r="E833" s="43">
        <v>-12.060627</v>
      </c>
      <c r="F833" s="43">
        <v>-77.041165000000007</v>
      </c>
      <c r="G833" s="43">
        <v>-12.036057</v>
      </c>
      <c r="H833" s="43">
        <v>-77.045051999999998</v>
      </c>
      <c r="I833" s="43">
        <v>-11.914884000000001</v>
      </c>
      <c r="J833" s="43">
        <v>-77.073864</v>
      </c>
    </row>
    <row r="834" spans="1:10" x14ac:dyDescent="0.25">
      <c r="A834" s="15" t="s">
        <v>4311</v>
      </c>
      <c r="B834" s="15" t="s">
        <v>4322</v>
      </c>
      <c r="C834" s="40">
        <v>15.677</v>
      </c>
      <c r="D834" s="29">
        <v>1.7361111111111112E-2</v>
      </c>
      <c r="E834" s="41">
        <v>-12.105117</v>
      </c>
      <c r="F834" s="41">
        <v>-77.027518999999998</v>
      </c>
      <c r="G834" s="41">
        <v>-12.135997</v>
      </c>
      <c r="H834" s="41">
        <v>-77.025216</v>
      </c>
      <c r="I834" s="41">
        <v>-12.161906</v>
      </c>
      <c r="J834" s="41">
        <v>-77.025818000000001</v>
      </c>
    </row>
    <row r="835" spans="1:10" x14ac:dyDescent="0.25">
      <c r="A835" s="15" t="s">
        <v>4311</v>
      </c>
      <c r="B835" s="15" t="s">
        <v>4323</v>
      </c>
      <c r="C835" s="42">
        <v>16.187000000000001</v>
      </c>
      <c r="D835" s="25">
        <v>1.8055555555555554E-2</v>
      </c>
      <c r="E835" s="43">
        <v>-12.106316</v>
      </c>
      <c r="F835" s="43">
        <v>-77.027315999999999</v>
      </c>
      <c r="G835" s="43">
        <v>-12.136607</v>
      </c>
      <c r="H835" s="43">
        <v>-77.026020000000003</v>
      </c>
      <c r="I835" s="43">
        <v>-12.161996</v>
      </c>
      <c r="J835" s="43">
        <v>-77.025426999999993</v>
      </c>
    </row>
    <row r="836" spans="1:10" x14ac:dyDescent="0.25">
      <c r="A836" s="15" t="s">
        <v>4311</v>
      </c>
      <c r="B836" s="15" t="s">
        <v>4324</v>
      </c>
      <c r="C836" s="40">
        <v>3.6720000000000002</v>
      </c>
      <c r="D836" s="29">
        <v>8.3333333333333332E-3</v>
      </c>
      <c r="E836" s="41">
        <v>-12.075839</v>
      </c>
      <c r="F836" s="41">
        <v>-77.037634999999995</v>
      </c>
      <c r="G836" s="41">
        <v>-12.078642</v>
      </c>
      <c r="H836" s="41">
        <v>-77.056788999999995</v>
      </c>
      <c r="I836" s="41">
        <v>-12.080444</v>
      </c>
      <c r="J836" s="41">
        <v>-77.058479000000005</v>
      </c>
    </row>
    <row r="837" spans="1:10" x14ac:dyDescent="0.25">
      <c r="A837" s="15" t="s">
        <v>4311</v>
      </c>
      <c r="B837" s="15" t="s">
        <v>4325</v>
      </c>
      <c r="C837" s="42">
        <v>18.773</v>
      </c>
      <c r="D837" s="25">
        <v>2.2916666666666665E-2</v>
      </c>
      <c r="E837" s="43">
        <v>-12.091010000000001</v>
      </c>
      <c r="F837" s="43">
        <v>-77.023359999999997</v>
      </c>
      <c r="G837" s="43">
        <v>-12.126426</v>
      </c>
      <c r="H837" s="43">
        <v>-76.977197000000004</v>
      </c>
      <c r="I837" s="43">
        <v>-12.143687</v>
      </c>
      <c r="J837" s="43">
        <v>-76.959457</v>
      </c>
    </row>
    <row r="838" spans="1:10" x14ac:dyDescent="0.25">
      <c r="A838" s="15" t="s">
        <v>4311</v>
      </c>
      <c r="B838" s="15" t="s">
        <v>4268</v>
      </c>
      <c r="C838" s="40">
        <v>8.8119999999999994</v>
      </c>
      <c r="D838" s="29">
        <v>1.5277777777777777E-2</v>
      </c>
      <c r="E838" s="41">
        <v>-12.064525</v>
      </c>
      <c r="F838" s="41">
        <v>-77.038871999999998</v>
      </c>
      <c r="G838" s="41">
        <v>-12.054682</v>
      </c>
      <c r="H838" s="41">
        <v>-77.030240000000006</v>
      </c>
      <c r="I838" s="41">
        <v>-12.042202</v>
      </c>
      <c r="J838" s="41">
        <v>-77.02037</v>
      </c>
    </row>
    <row r="839" spans="1:10" x14ac:dyDescent="0.25">
      <c r="A839" s="15" t="s">
        <v>4312</v>
      </c>
      <c r="B839" s="15" t="s">
        <v>4267</v>
      </c>
      <c r="C839" s="42">
        <v>4.1349999999999998</v>
      </c>
      <c r="D839" s="25">
        <v>9.7222222222222224E-3</v>
      </c>
      <c r="E839" s="43">
        <v>-12.061332999999999</v>
      </c>
      <c r="F839" s="43">
        <v>-77.015548999999993</v>
      </c>
      <c r="G839" s="43">
        <v>-12.058225</v>
      </c>
      <c r="H839" s="43">
        <v>-77.024417</v>
      </c>
      <c r="I839" s="43">
        <v>-12.048838999999999</v>
      </c>
      <c r="J839" s="43">
        <v>-77.033327999999997</v>
      </c>
    </row>
    <row r="840" spans="1:10" x14ac:dyDescent="0.25">
      <c r="A840" s="15" t="s">
        <v>4312</v>
      </c>
      <c r="B840" s="15" t="s">
        <v>4280</v>
      </c>
      <c r="C840" s="40">
        <v>16.731999999999999</v>
      </c>
      <c r="D840" s="29">
        <v>1.8055555555555554E-2</v>
      </c>
      <c r="E840" s="41">
        <v>-12.092161000000001</v>
      </c>
      <c r="F840" s="41">
        <v>-77.023083</v>
      </c>
      <c r="G840" s="41">
        <v>-12.135997</v>
      </c>
      <c r="H840" s="41">
        <v>-77.025216</v>
      </c>
      <c r="I840" s="41">
        <v>-12.161996</v>
      </c>
      <c r="J840" s="41">
        <v>-77.025426999999993</v>
      </c>
    </row>
    <row r="841" spans="1:10" x14ac:dyDescent="0.25">
      <c r="A841" s="15" t="s">
        <v>4312</v>
      </c>
      <c r="B841" s="15" t="s">
        <v>4281</v>
      </c>
      <c r="C841" s="42">
        <v>11.561</v>
      </c>
      <c r="D841" s="25">
        <v>1.5972222222222221E-2</v>
      </c>
      <c r="E841" s="43">
        <v>-12.081789000000001</v>
      </c>
      <c r="F841" s="43">
        <v>-77.005088000000001</v>
      </c>
      <c r="G841" s="43">
        <v>-12.086672</v>
      </c>
      <c r="H841" s="43">
        <v>-76.992756999999997</v>
      </c>
      <c r="I841" s="43">
        <v>-12.073943</v>
      </c>
      <c r="J841" s="43">
        <v>-76.961647999999997</v>
      </c>
    </row>
    <row r="842" spans="1:10" x14ac:dyDescent="0.25">
      <c r="A842" s="15" t="s">
        <v>4312</v>
      </c>
      <c r="B842" s="15" t="s">
        <v>4296</v>
      </c>
      <c r="C842" s="40">
        <v>5.7969999999999997</v>
      </c>
      <c r="D842" s="29">
        <v>1.1111111111111112E-2</v>
      </c>
      <c r="E842" s="41">
        <v>-12.058263</v>
      </c>
      <c r="F842" s="41">
        <v>-77.017124999999993</v>
      </c>
      <c r="G842" s="41">
        <v>-12.059433</v>
      </c>
      <c r="H842" s="41">
        <v>-77.036101000000002</v>
      </c>
      <c r="I842" s="41">
        <v>-12.063814000000001</v>
      </c>
      <c r="J842" s="41">
        <v>-77.034717999999998</v>
      </c>
    </row>
    <row r="843" spans="1:10" x14ac:dyDescent="0.25">
      <c r="A843" s="15" t="s">
        <v>4312</v>
      </c>
      <c r="B843" s="15" t="s">
        <v>4297</v>
      </c>
      <c r="C843" s="42">
        <v>0.20799999999999999</v>
      </c>
      <c r="D843" s="25">
        <v>6.9444444444444447E-4</v>
      </c>
      <c r="E843" s="43">
        <v>-12.064054</v>
      </c>
      <c r="F843" s="43">
        <v>-77.014819000000003</v>
      </c>
      <c r="G843" s="43">
        <v>-12.064054</v>
      </c>
      <c r="H843" s="43">
        <v>-77.014819000000003</v>
      </c>
      <c r="I843" s="43">
        <v>-12.064054</v>
      </c>
      <c r="J843" s="43">
        <v>-77.014819000000003</v>
      </c>
    </row>
    <row r="844" spans="1:10" x14ac:dyDescent="0.25">
      <c r="A844" s="15" t="s">
        <v>4312</v>
      </c>
      <c r="B844" s="15" t="s">
        <v>4298</v>
      </c>
      <c r="C844" s="40">
        <v>8.8689999999999998</v>
      </c>
      <c r="D844" s="29">
        <v>1.1111111111111112E-2</v>
      </c>
      <c r="E844" s="41">
        <v>-12.076866000000001</v>
      </c>
      <c r="F844" s="41">
        <v>-77.029426999999998</v>
      </c>
      <c r="G844" s="41">
        <v>-12.088837</v>
      </c>
      <c r="H844" s="41">
        <v>-77.024019999999993</v>
      </c>
      <c r="I844" s="41">
        <v>-12.106316</v>
      </c>
      <c r="J844" s="41">
        <v>-77.027315999999999</v>
      </c>
    </row>
    <row r="845" spans="1:10" x14ac:dyDescent="0.25">
      <c r="A845" s="15" t="s">
        <v>4312</v>
      </c>
      <c r="B845" s="15" t="s">
        <v>4299</v>
      </c>
      <c r="C845" s="42">
        <v>9.0239999999999991</v>
      </c>
      <c r="D845" s="25">
        <v>1.1805555555555555E-2</v>
      </c>
      <c r="E845" s="43">
        <v>-12.076632999999999</v>
      </c>
      <c r="F845" s="43">
        <v>-77.029916</v>
      </c>
      <c r="G845" s="43">
        <v>-12.092161000000001</v>
      </c>
      <c r="H845" s="43">
        <v>-77.023083</v>
      </c>
      <c r="I845" s="43">
        <v>-12.112401999999999</v>
      </c>
      <c r="J845" s="43">
        <v>-77.026313000000002</v>
      </c>
    </row>
    <row r="846" spans="1:10" x14ac:dyDescent="0.25">
      <c r="A846" s="15" t="s">
        <v>4312</v>
      </c>
      <c r="B846" s="15" t="s">
        <v>4300</v>
      </c>
      <c r="C846" s="40">
        <v>8.4290000000000003</v>
      </c>
      <c r="D846" s="29">
        <v>1.1805555555555555E-2</v>
      </c>
      <c r="E846" s="41">
        <v>-12.080121999999999</v>
      </c>
      <c r="F846" s="41">
        <v>-77.008591999999993</v>
      </c>
      <c r="G846" s="41">
        <v>-12.087815000000001</v>
      </c>
      <c r="H846" s="41">
        <v>-77.001070999999996</v>
      </c>
      <c r="I846" s="41">
        <v>-12.08907</v>
      </c>
      <c r="J846" s="41">
        <v>-76.981326999999993</v>
      </c>
    </row>
    <row r="847" spans="1:10" x14ac:dyDescent="0.25">
      <c r="A847" s="15" t="s">
        <v>4312</v>
      </c>
      <c r="B847" s="15" t="s">
        <v>4301</v>
      </c>
      <c r="C847" s="42">
        <v>20.45</v>
      </c>
      <c r="D847" s="25">
        <v>2.013888888888889E-2</v>
      </c>
      <c r="E847" s="43">
        <v>-12.045296</v>
      </c>
      <c r="F847" s="43">
        <v>-77.019583999999995</v>
      </c>
      <c r="G847" s="43">
        <v>-12.043023</v>
      </c>
      <c r="H847" s="43">
        <v>-77.022886999999997</v>
      </c>
      <c r="I847" s="43">
        <v>-12.033492000000001</v>
      </c>
      <c r="J847" s="43">
        <v>-77.053096999999994</v>
      </c>
    </row>
    <row r="848" spans="1:10" x14ac:dyDescent="0.25">
      <c r="A848" s="15" t="s">
        <v>4312</v>
      </c>
      <c r="B848" s="15" t="s">
        <v>4302</v>
      </c>
      <c r="C848" s="40">
        <v>4.4729999999999999</v>
      </c>
      <c r="D848" s="29">
        <v>8.3333333333333332E-3</v>
      </c>
      <c r="E848" s="41">
        <v>-12.077209999999999</v>
      </c>
      <c r="F848" s="41">
        <v>-77.010907000000003</v>
      </c>
      <c r="G848" s="41">
        <v>-12.078115</v>
      </c>
      <c r="H848" s="41">
        <v>-77.010765000000006</v>
      </c>
      <c r="I848" s="41">
        <v>-12.079831</v>
      </c>
      <c r="J848" s="41">
        <v>-77.009242</v>
      </c>
    </row>
    <row r="849" spans="1:10" x14ac:dyDescent="0.25">
      <c r="A849" s="15" t="s">
        <v>4312</v>
      </c>
      <c r="B849" s="15" t="s">
        <v>4303</v>
      </c>
      <c r="C849" s="42">
        <v>0.30399999999999999</v>
      </c>
      <c r="D849" s="25">
        <v>1.3888888888888889E-3</v>
      </c>
      <c r="E849" s="43">
        <v>-12.064054</v>
      </c>
      <c r="F849" s="43">
        <v>-77.014819000000003</v>
      </c>
      <c r="G849" s="43">
        <v>-12.064029</v>
      </c>
      <c r="H849" s="43">
        <v>-77.014640999999997</v>
      </c>
      <c r="I849" s="43">
        <v>-12.064012</v>
      </c>
      <c r="J849" s="43">
        <v>-77.014512999999994</v>
      </c>
    </row>
    <row r="850" spans="1:10" x14ac:dyDescent="0.25">
      <c r="A850" s="15" t="s">
        <v>4312</v>
      </c>
      <c r="B850" s="15" t="s">
        <v>4304</v>
      </c>
      <c r="C850" s="40">
        <v>0.95899999999999996</v>
      </c>
      <c r="D850" s="29">
        <v>1.3888888888888889E-3</v>
      </c>
      <c r="E850" s="41">
        <v>-12.064054</v>
      </c>
      <c r="F850" s="41">
        <v>-77.014819000000003</v>
      </c>
      <c r="G850" s="41">
        <v>-12.063763</v>
      </c>
      <c r="H850" s="41">
        <v>-77.012708000000003</v>
      </c>
      <c r="I850" s="41">
        <v>-12.065009</v>
      </c>
      <c r="J850" s="41">
        <v>-77.012545000000003</v>
      </c>
    </row>
    <row r="851" spans="1:10" x14ac:dyDescent="0.25">
      <c r="A851" s="15" t="s">
        <v>4312</v>
      </c>
      <c r="B851" s="15" t="s">
        <v>4269</v>
      </c>
      <c r="C851" s="42">
        <v>21.018000000000001</v>
      </c>
      <c r="D851" s="25">
        <v>1.9444444444444445E-2</v>
      </c>
      <c r="E851" s="43">
        <v>-12.117158</v>
      </c>
      <c r="F851" s="43">
        <v>-77.026318000000003</v>
      </c>
      <c r="G851" s="43">
        <v>-12.130725999999999</v>
      </c>
      <c r="H851" s="43">
        <v>-77.034313999999995</v>
      </c>
      <c r="I851" s="43">
        <v>-12.102793999999999</v>
      </c>
      <c r="J851" s="43">
        <v>-77.064740999999998</v>
      </c>
    </row>
    <row r="852" spans="1:10" x14ac:dyDescent="0.25">
      <c r="A852" s="15" t="s">
        <v>4312</v>
      </c>
      <c r="B852" s="15" t="s">
        <v>4305</v>
      </c>
      <c r="C852" s="40">
        <v>4.7880000000000003</v>
      </c>
      <c r="D852" s="29">
        <v>1.0416666666666666E-2</v>
      </c>
      <c r="E852" s="41">
        <v>-12.059612</v>
      </c>
      <c r="F852" s="41">
        <v>-77.035128</v>
      </c>
      <c r="G852" s="41">
        <v>-12.059704999999999</v>
      </c>
      <c r="H852" s="41">
        <v>-77.041415999999998</v>
      </c>
      <c r="I852" s="41">
        <v>-12.060233</v>
      </c>
      <c r="J852" s="41">
        <v>-77.046893999999995</v>
      </c>
    </row>
    <row r="853" spans="1:10" x14ac:dyDescent="0.25">
      <c r="A853" s="15" t="s">
        <v>4312</v>
      </c>
      <c r="B853" s="15" t="s">
        <v>4306</v>
      </c>
      <c r="C853" s="42">
        <v>11.087</v>
      </c>
      <c r="D853" s="25">
        <v>1.2500000000000001E-2</v>
      </c>
      <c r="E853" s="43">
        <v>-12.079706</v>
      </c>
      <c r="F853" s="43">
        <v>-77.009442000000007</v>
      </c>
      <c r="G853" s="43">
        <v>-12.087927000000001</v>
      </c>
      <c r="H853" s="43">
        <v>-77.001481999999996</v>
      </c>
      <c r="I853" s="43">
        <v>-12.086126999999999</v>
      </c>
      <c r="J853" s="43">
        <v>-76.984513000000007</v>
      </c>
    </row>
    <row r="854" spans="1:10" x14ac:dyDescent="0.25">
      <c r="A854" s="15" t="s">
        <v>4312</v>
      </c>
      <c r="B854" s="15" t="s">
        <v>4277</v>
      </c>
      <c r="C854" s="40">
        <v>6.2690000000000001</v>
      </c>
      <c r="D854" s="29">
        <v>9.0277777777777769E-3</v>
      </c>
      <c r="E854" s="41">
        <v>-12.077472</v>
      </c>
      <c r="F854" s="41">
        <v>-77.01097</v>
      </c>
      <c r="G854" s="41">
        <v>-12.088051999999999</v>
      </c>
      <c r="H854" s="41">
        <v>-77.016462000000004</v>
      </c>
      <c r="I854" s="41">
        <v>-12.092250999999999</v>
      </c>
      <c r="J854" s="41">
        <v>-77.033615999999995</v>
      </c>
    </row>
    <row r="855" spans="1:10" x14ac:dyDescent="0.25">
      <c r="A855" s="15" t="s">
        <v>4312</v>
      </c>
      <c r="B855" s="15" t="s">
        <v>4307</v>
      </c>
      <c r="C855" s="42">
        <v>6.8339999999999996</v>
      </c>
      <c r="D855" s="25">
        <v>1.3194444444444444E-2</v>
      </c>
      <c r="E855" s="43">
        <v>-12.060231999999999</v>
      </c>
      <c r="F855" s="43">
        <v>-77.007740999999996</v>
      </c>
      <c r="G855" s="43">
        <v>-12.042738999999999</v>
      </c>
      <c r="H855" s="43">
        <v>-76.997456</v>
      </c>
      <c r="I855" s="43">
        <v>-12.039835</v>
      </c>
      <c r="J855" s="43">
        <v>-76.989652000000007</v>
      </c>
    </row>
    <row r="856" spans="1:10" x14ac:dyDescent="0.25">
      <c r="A856" s="15" t="s">
        <v>4312</v>
      </c>
      <c r="B856" s="15" t="s">
        <v>4308</v>
      </c>
      <c r="C856" s="40">
        <v>12.231999999999999</v>
      </c>
      <c r="D856" s="29">
        <v>1.9444444444444445E-2</v>
      </c>
      <c r="E856" s="41">
        <v>-12.08074</v>
      </c>
      <c r="F856" s="41">
        <v>-77.012994000000006</v>
      </c>
      <c r="G856" s="41">
        <v>-12.092278</v>
      </c>
      <c r="H856" s="41">
        <v>-77.033850999999999</v>
      </c>
      <c r="I856" s="41">
        <v>-12.084317</v>
      </c>
      <c r="J856" s="41">
        <v>-77.064580000000007</v>
      </c>
    </row>
    <row r="857" spans="1:10" x14ac:dyDescent="0.25">
      <c r="A857" s="15" t="s">
        <v>4312</v>
      </c>
      <c r="B857" s="15" t="s">
        <v>4309</v>
      </c>
      <c r="C857" s="42">
        <v>2.66</v>
      </c>
      <c r="D857" s="25">
        <v>4.8611111111111112E-3</v>
      </c>
      <c r="E857" s="43">
        <v>-12.063763</v>
      </c>
      <c r="F857" s="43">
        <v>-77.012708000000003</v>
      </c>
      <c r="G857" s="43">
        <v>-12.071923999999999</v>
      </c>
      <c r="H857" s="43">
        <v>-77.011618999999996</v>
      </c>
      <c r="I857" s="43">
        <v>-12.073734</v>
      </c>
      <c r="J857" s="43">
        <v>-77.018263000000005</v>
      </c>
    </row>
    <row r="858" spans="1:10" x14ac:dyDescent="0.25">
      <c r="A858" s="15" t="s">
        <v>4312</v>
      </c>
      <c r="B858" s="15" t="s">
        <v>4278</v>
      </c>
      <c r="C858" s="40">
        <v>11.999000000000001</v>
      </c>
      <c r="D858" s="29">
        <v>1.3888888888888888E-2</v>
      </c>
      <c r="E858" s="41">
        <v>-12.043741000000001</v>
      </c>
      <c r="F858" s="41">
        <v>-77.019284999999996</v>
      </c>
      <c r="G858" s="41">
        <v>-12.042907</v>
      </c>
      <c r="H858" s="41">
        <v>-77.029464000000004</v>
      </c>
      <c r="I858" s="41">
        <v>-12.027426</v>
      </c>
      <c r="J858" s="41">
        <v>-77.058207999999993</v>
      </c>
    </row>
    <row r="859" spans="1:10" x14ac:dyDescent="0.25">
      <c r="A859" s="15" t="s">
        <v>4312</v>
      </c>
      <c r="B859" s="15" t="s">
        <v>4310</v>
      </c>
      <c r="C859" s="42">
        <v>6.2960000000000003</v>
      </c>
      <c r="D859" s="25">
        <v>1.0416666666666666E-2</v>
      </c>
      <c r="E859" s="43">
        <v>-12.053165</v>
      </c>
      <c r="F859" s="43">
        <v>-77.018840999999995</v>
      </c>
      <c r="G859" s="43">
        <v>-12.042422999999999</v>
      </c>
      <c r="H859" s="43">
        <v>-77.019042999999996</v>
      </c>
      <c r="I859" s="43">
        <v>-12.031154000000001</v>
      </c>
      <c r="J859" s="43">
        <v>-77.002589</v>
      </c>
    </row>
    <row r="860" spans="1:10" x14ac:dyDescent="0.25">
      <c r="A860" s="15" t="s">
        <v>4312</v>
      </c>
      <c r="B860" s="15" t="s">
        <v>4311</v>
      </c>
      <c r="C860" s="40">
        <v>4.5019999999999998</v>
      </c>
      <c r="D860" s="29">
        <v>9.0277777777777769E-3</v>
      </c>
      <c r="E860" s="41">
        <v>-12.061332999999999</v>
      </c>
      <c r="F860" s="41">
        <v>-77.015548999999993</v>
      </c>
      <c r="G860" s="41">
        <v>-12.059535</v>
      </c>
      <c r="H860" s="41">
        <v>-77.035432</v>
      </c>
      <c r="I860" s="41">
        <v>-12.059813999999999</v>
      </c>
      <c r="J860" s="41">
        <v>-77.037841</v>
      </c>
    </row>
    <row r="861" spans="1:10" x14ac:dyDescent="0.25">
      <c r="A861" s="15" t="s">
        <v>4312</v>
      </c>
      <c r="B861" s="15" t="s">
        <v>4312</v>
      </c>
      <c r="C861" s="42">
        <v>0</v>
      </c>
      <c r="D861" s="25">
        <v>0</v>
      </c>
      <c r="E861" s="43" t="e">
        <f>'1 ubicaciones'!#REF!</f>
        <v>#REF!</v>
      </c>
      <c r="F861" s="43" t="e">
        <f>'1 ubicaciones'!#REF!</f>
        <v>#REF!</v>
      </c>
      <c r="G861" s="43" t="e">
        <f>'1 ubicaciones'!#REF!</f>
        <v>#REF!</v>
      </c>
      <c r="H861" s="43" t="e">
        <f>'1 ubicaciones'!#REF!</f>
        <v>#REF!</v>
      </c>
      <c r="I861" s="43" t="e">
        <f>'1 ubicaciones'!#REF!</f>
        <v>#REF!</v>
      </c>
      <c r="J861" s="43" t="e">
        <f>'1 ubicaciones'!#REF!</f>
        <v>#REF!</v>
      </c>
    </row>
    <row r="862" spans="1:10" x14ac:dyDescent="0.25">
      <c r="A862" s="15" t="s">
        <v>4312</v>
      </c>
      <c r="B862" s="15" t="s">
        <v>4313</v>
      </c>
      <c r="C862" s="40">
        <v>5.9089999999999998</v>
      </c>
      <c r="D862" s="29">
        <v>1.1111111111111112E-2</v>
      </c>
      <c r="E862" s="41">
        <v>-12.057376</v>
      </c>
      <c r="F862" s="41">
        <v>-77.017562999999996</v>
      </c>
      <c r="G862" s="41">
        <v>-12.061806000000001</v>
      </c>
      <c r="H862" s="41">
        <v>-77.034867000000006</v>
      </c>
      <c r="I862" s="41">
        <v>-12.065194</v>
      </c>
      <c r="J862" s="41">
        <v>-77.039789999999996</v>
      </c>
    </row>
    <row r="863" spans="1:10" x14ac:dyDescent="0.25">
      <c r="A863" s="15" t="s">
        <v>4312</v>
      </c>
      <c r="B863" s="15" t="s">
        <v>4314</v>
      </c>
      <c r="C863" s="42">
        <v>11.092000000000001</v>
      </c>
      <c r="D863" s="25">
        <v>1.8055555555555554E-2</v>
      </c>
      <c r="E863" s="43">
        <v>-12.079288</v>
      </c>
      <c r="F863" s="43">
        <v>-77.012179000000003</v>
      </c>
      <c r="G863" s="43">
        <v>-12.090173</v>
      </c>
      <c r="H863" s="43">
        <v>-77.018933000000004</v>
      </c>
      <c r="I863" s="43">
        <v>-12.085433</v>
      </c>
      <c r="J863" s="43">
        <v>-77.064278000000002</v>
      </c>
    </row>
    <row r="864" spans="1:10" x14ac:dyDescent="0.25">
      <c r="A864" s="15" t="s">
        <v>4312</v>
      </c>
      <c r="B864" s="15" t="s">
        <v>4315</v>
      </c>
      <c r="C864" s="40">
        <v>9.6359999999999992</v>
      </c>
      <c r="D864" s="29">
        <v>1.3194444444444444E-2</v>
      </c>
      <c r="E864" s="41">
        <v>-12.080859</v>
      </c>
      <c r="F864" s="41">
        <v>-77.006247000000002</v>
      </c>
      <c r="G864" s="41">
        <v>-12.087429999999999</v>
      </c>
      <c r="H864" s="41">
        <v>-76.998507000000004</v>
      </c>
      <c r="I864" s="41">
        <v>-12.102423999999999</v>
      </c>
      <c r="J864" s="41">
        <v>-76.979438000000002</v>
      </c>
    </row>
    <row r="865" spans="1:10" x14ac:dyDescent="0.25">
      <c r="A865" s="15" t="s">
        <v>4312</v>
      </c>
      <c r="B865" s="15" t="s">
        <v>4316</v>
      </c>
      <c r="C865" s="42">
        <v>8.0169999999999995</v>
      </c>
      <c r="D865" s="25">
        <v>1.2500000000000001E-2</v>
      </c>
      <c r="E865" s="43">
        <v>-12.077472</v>
      </c>
      <c r="F865" s="43">
        <v>-77.01097</v>
      </c>
      <c r="G865" s="43">
        <v>-12.088051999999999</v>
      </c>
      <c r="H865" s="43">
        <v>-77.016462000000004</v>
      </c>
      <c r="I865" s="43">
        <v>-12.092250999999999</v>
      </c>
      <c r="J865" s="43">
        <v>-77.033615999999995</v>
      </c>
    </row>
    <row r="866" spans="1:10" x14ac:dyDescent="0.25">
      <c r="A866" s="15" t="s">
        <v>4312</v>
      </c>
      <c r="B866" s="15" t="s">
        <v>4317</v>
      </c>
      <c r="C866" s="40">
        <v>16.373000000000001</v>
      </c>
      <c r="D866" s="29">
        <v>1.8055555555555554E-2</v>
      </c>
      <c r="E866" s="41">
        <v>-12.082642999999999</v>
      </c>
      <c r="F866" s="41">
        <v>-77.004598999999999</v>
      </c>
      <c r="G866" s="41">
        <v>-12.085888000000001</v>
      </c>
      <c r="H866" s="41">
        <v>-76.985515000000007</v>
      </c>
      <c r="I866" s="41">
        <v>-12.150332000000001</v>
      </c>
      <c r="J866" s="41">
        <v>-76.983688999999998</v>
      </c>
    </row>
    <row r="867" spans="1:10" x14ac:dyDescent="0.25">
      <c r="A867" s="15" t="s">
        <v>4312</v>
      </c>
      <c r="B867" s="15" t="s">
        <v>4318</v>
      </c>
      <c r="C867" s="42">
        <v>4.0380000000000003</v>
      </c>
      <c r="D867" s="25">
        <v>8.3333333333333332E-3</v>
      </c>
      <c r="E867" s="43">
        <v>-12.077907</v>
      </c>
      <c r="F867" s="43">
        <v>-77.010986000000003</v>
      </c>
      <c r="G867" s="43">
        <v>-12.079706</v>
      </c>
      <c r="H867" s="43">
        <v>-77.009442000000007</v>
      </c>
      <c r="I867" s="43">
        <v>-12.083446</v>
      </c>
      <c r="J867" s="43">
        <v>-77.004374999999996</v>
      </c>
    </row>
    <row r="868" spans="1:10" x14ac:dyDescent="0.25">
      <c r="A868" s="15" t="s">
        <v>4312</v>
      </c>
      <c r="B868" s="15" t="s">
        <v>4319</v>
      </c>
      <c r="C868" s="40">
        <v>5.9180000000000001</v>
      </c>
      <c r="D868" s="29">
        <v>1.1111111111111112E-2</v>
      </c>
      <c r="E868" s="41">
        <v>-12.078147</v>
      </c>
      <c r="F868" s="41">
        <v>-77.010727000000003</v>
      </c>
      <c r="G868" s="41">
        <v>-12.083446</v>
      </c>
      <c r="H868" s="41">
        <v>-77.004374999999996</v>
      </c>
      <c r="I868" s="41">
        <v>-12.087759</v>
      </c>
      <c r="J868" s="41">
        <v>-77.000658999999999</v>
      </c>
    </row>
    <row r="869" spans="1:10" x14ac:dyDescent="0.25">
      <c r="A869" s="15" t="s">
        <v>4312</v>
      </c>
      <c r="B869" s="15" t="s">
        <v>4279</v>
      </c>
      <c r="C869" s="42">
        <v>13.717000000000001</v>
      </c>
      <c r="D869" s="25">
        <v>1.6666666666666666E-2</v>
      </c>
      <c r="E869" s="43">
        <v>-12.042989</v>
      </c>
      <c r="F869" s="43">
        <v>-77.019486999999998</v>
      </c>
      <c r="G869" s="43">
        <v>-12.038448000000001</v>
      </c>
      <c r="H869" s="43">
        <v>-77.042108999999996</v>
      </c>
      <c r="I869" s="43">
        <v>-12.035653</v>
      </c>
      <c r="J869" s="43">
        <v>-77.077625999999995</v>
      </c>
    </row>
    <row r="870" spans="1:10" x14ac:dyDescent="0.25">
      <c r="A870" s="15" t="s">
        <v>4312</v>
      </c>
      <c r="B870" s="15" t="s">
        <v>4320</v>
      </c>
      <c r="C870" s="40">
        <v>7.2409999999999997</v>
      </c>
      <c r="D870" s="29">
        <v>1.1111111111111112E-2</v>
      </c>
      <c r="E870" s="41">
        <v>-12.077982</v>
      </c>
      <c r="F870" s="41">
        <v>-77.010959999999997</v>
      </c>
      <c r="G870" s="41">
        <v>-12.075881000000001</v>
      </c>
      <c r="H870" s="41">
        <v>-77.009200000000007</v>
      </c>
      <c r="I870" s="41">
        <v>-12.063489000000001</v>
      </c>
      <c r="J870" s="41">
        <v>-76.983271999999999</v>
      </c>
    </row>
    <row r="871" spans="1:10" x14ac:dyDescent="0.25">
      <c r="A871" s="15" t="s">
        <v>4312</v>
      </c>
      <c r="B871" s="15" t="s">
        <v>4321</v>
      </c>
      <c r="C871" s="42">
        <v>26.341999999999999</v>
      </c>
      <c r="D871" s="25">
        <v>2.7777777777777776E-2</v>
      </c>
      <c r="E871" s="43">
        <v>-12.041791999999999</v>
      </c>
      <c r="F871" s="43">
        <v>-77.020060999999998</v>
      </c>
      <c r="G871" s="43">
        <v>-12.038219</v>
      </c>
      <c r="H871" s="43">
        <v>-77.038023999999993</v>
      </c>
      <c r="I871" s="43">
        <v>-11.948202</v>
      </c>
      <c r="J871" s="43">
        <v>-77.070563000000007</v>
      </c>
    </row>
    <row r="872" spans="1:10" x14ac:dyDescent="0.25">
      <c r="A872" s="15" t="s">
        <v>4312</v>
      </c>
      <c r="B872" s="15" t="s">
        <v>4322</v>
      </c>
      <c r="C872" s="40">
        <v>17.692</v>
      </c>
      <c r="D872" s="29">
        <v>1.9444444444444445E-2</v>
      </c>
      <c r="E872" s="41">
        <v>-12.091638</v>
      </c>
      <c r="F872" s="41">
        <v>-77.022938999999994</v>
      </c>
      <c r="G872" s="41">
        <v>-12.134446000000001</v>
      </c>
      <c r="H872" s="41">
        <v>-77.021733999999995</v>
      </c>
      <c r="I872" s="41">
        <v>-12.161906</v>
      </c>
      <c r="J872" s="41">
        <v>-77.025818000000001</v>
      </c>
    </row>
    <row r="873" spans="1:10" x14ac:dyDescent="0.25">
      <c r="A873" s="15" t="s">
        <v>4312</v>
      </c>
      <c r="B873" s="15" t="s">
        <v>4323</v>
      </c>
      <c r="C873" s="42">
        <v>18.202000000000002</v>
      </c>
      <c r="D873" s="25">
        <v>2.0833333333333332E-2</v>
      </c>
      <c r="E873" s="43">
        <v>-12.091638</v>
      </c>
      <c r="F873" s="43">
        <v>-77.022938999999994</v>
      </c>
      <c r="G873" s="43">
        <v>-12.134446000000001</v>
      </c>
      <c r="H873" s="43">
        <v>-77.021733999999995</v>
      </c>
      <c r="I873" s="43">
        <v>-12.161906</v>
      </c>
      <c r="J873" s="43">
        <v>-77.025818000000001</v>
      </c>
    </row>
    <row r="874" spans="1:10" x14ac:dyDescent="0.25">
      <c r="A874" s="15" t="s">
        <v>4312</v>
      </c>
      <c r="B874" s="15" t="s">
        <v>4324</v>
      </c>
      <c r="C874" s="40">
        <v>7.33</v>
      </c>
      <c r="D874" s="29">
        <v>1.5277777777777777E-2</v>
      </c>
      <c r="E874" s="41">
        <v>-12.058263</v>
      </c>
      <c r="F874" s="41">
        <v>-77.017124999999993</v>
      </c>
      <c r="G874" s="41">
        <v>-12.059461000000001</v>
      </c>
      <c r="H874" s="41">
        <v>-77.036221999999995</v>
      </c>
      <c r="I874" s="41">
        <v>-12.059858999999999</v>
      </c>
      <c r="J874" s="41">
        <v>-77.041950999999997</v>
      </c>
    </row>
    <row r="875" spans="1:10" x14ac:dyDescent="0.25">
      <c r="A875" s="15" t="s">
        <v>4312</v>
      </c>
      <c r="B875" s="15" t="s">
        <v>4325</v>
      </c>
      <c r="C875" s="42">
        <v>16.613</v>
      </c>
      <c r="D875" s="25">
        <v>2.2916666666666665E-2</v>
      </c>
      <c r="E875" s="43">
        <v>-12.088219</v>
      </c>
      <c r="F875" s="43">
        <v>-77.003057999999996</v>
      </c>
      <c r="G875" s="43">
        <v>-12.124874999999999</v>
      </c>
      <c r="H875" s="43">
        <v>-76.977251999999993</v>
      </c>
      <c r="I875" s="43">
        <v>-12.144819999999999</v>
      </c>
      <c r="J875" s="43">
        <v>-76.959654999999998</v>
      </c>
    </row>
    <row r="876" spans="1:10" x14ac:dyDescent="0.25">
      <c r="A876" s="15" t="s">
        <v>4312</v>
      </c>
      <c r="B876" s="15" t="s">
        <v>4268</v>
      </c>
      <c r="C876" s="40">
        <v>5.7569999999999997</v>
      </c>
      <c r="D876" s="29">
        <v>9.7222222222222224E-3</v>
      </c>
      <c r="E876" s="41">
        <v>-12.053165</v>
      </c>
      <c r="F876" s="41">
        <v>-77.018840999999995</v>
      </c>
      <c r="G876" s="41">
        <v>-12.042422999999999</v>
      </c>
      <c r="H876" s="41">
        <v>-77.019042999999996</v>
      </c>
      <c r="I876" s="41">
        <v>-12.031154000000001</v>
      </c>
      <c r="J876" s="41">
        <v>-77.002589</v>
      </c>
    </row>
    <row r="877" spans="1:10" x14ac:dyDescent="0.25">
      <c r="A877" s="15" t="s">
        <v>4313</v>
      </c>
      <c r="B877" s="15" t="s">
        <v>4267</v>
      </c>
      <c r="C877" s="42">
        <v>4.0949999999999998</v>
      </c>
      <c r="D877" s="25">
        <v>9.7222222222222224E-3</v>
      </c>
      <c r="E877" s="43">
        <v>-12.065061</v>
      </c>
      <c r="F877" s="43">
        <v>-77.039614999999998</v>
      </c>
      <c r="G877" s="43">
        <v>-12.058019</v>
      </c>
      <c r="H877" s="43">
        <v>-77.039235000000005</v>
      </c>
      <c r="I877" s="43">
        <v>-12.055885999999999</v>
      </c>
      <c r="J877" s="43">
        <v>-77.038331999999997</v>
      </c>
    </row>
    <row r="878" spans="1:10" x14ac:dyDescent="0.25">
      <c r="A878" s="15" t="s">
        <v>4313</v>
      </c>
      <c r="B878" s="15" t="s">
        <v>4280</v>
      </c>
      <c r="C878" s="40">
        <v>16.952999999999999</v>
      </c>
      <c r="D878" s="29">
        <v>1.8055555555555554E-2</v>
      </c>
      <c r="E878" s="41">
        <v>-12.067409</v>
      </c>
      <c r="F878" s="41">
        <v>-77.032668000000001</v>
      </c>
      <c r="G878" s="41">
        <v>-12.13355</v>
      </c>
      <c r="H878" s="41">
        <v>-77.021257000000006</v>
      </c>
      <c r="I878" s="41">
        <v>-12.161678</v>
      </c>
      <c r="J878" s="41">
        <v>-77.025835999999998</v>
      </c>
    </row>
    <row r="879" spans="1:10" x14ac:dyDescent="0.25">
      <c r="A879" s="15" t="s">
        <v>4313</v>
      </c>
      <c r="B879" s="15" t="s">
        <v>4281</v>
      </c>
      <c r="C879" s="42">
        <v>15.957000000000001</v>
      </c>
      <c r="D879" s="25">
        <v>1.8055555555555554E-2</v>
      </c>
      <c r="E879" s="43">
        <v>-12.064708</v>
      </c>
      <c r="F879" s="43">
        <v>-77.033769000000007</v>
      </c>
      <c r="G879" s="43">
        <v>-12.090745999999999</v>
      </c>
      <c r="H879" s="43">
        <v>-77.021360999999999</v>
      </c>
      <c r="I879" s="43">
        <v>-12.079050000000001</v>
      </c>
      <c r="J879" s="43">
        <v>-76.965564000000001</v>
      </c>
    </row>
    <row r="880" spans="1:10" x14ac:dyDescent="0.25">
      <c r="A880" s="15" t="s">
        <v>4313</v>
      </c>
      <c r="B880" s="15" t="s">
        <v>4296</v>
      </c>
      <c r="C880" s="40">
        <v>0.623</v>
      </c>
      <c r="D880" s="29">
        <v>1.3888888888888889E-3</v>
      </c>
      <c r="E880" s="41">
        <v>-12.074512</v>
      </c>
      <c r="F880" s="41">
        <v>-77.047438</v>
      </c>
      <c r="G880" s="41">
        <v>-12.075028</v>
      </c>
      <c r="H880" s="41">
        <v>-77.047684000000004</v>
      </c>
      <c r="I880" s="41">
        <v>-12.074014</v>
      </c>
      <c r="J880" s="41">
        <v>-77.049846000000002</v>
      </c>
    </row>
    <row r="881" spans="1:10" x14ac:dyDescent="0.25">
      <c r="A881" s="15" t="s">
        <v>4313</v>
      </c>
      <c r="B881" s="15" t="s">
        <v>4297</v>
      </c>
      <c r="C881" s="42">
        <v>5.5490000000000004</v>
      </c>
      <c r="D881" s="25">
        <v>1.0416666666666666E-2</v>
      </c>
      <c r="E881" s="43">
        <v>-12.065524</v>
      </c>
      <c r="F881" s="43">
        <v>-77.040272999999999</v>
      </c>
      <c r="G881" s="43">
        <v>-12.064379000000001</v>
      </c>
      <c r="H881" s="43">
        <v>-77.038855999999996</v>
      </c>
      <c r="I881" s="43">
        <v>-12.060172</v>
      </c>
      <c r="J881" s="43">
        <v>-77.035402000000005</v>
      </c>
    </row>
    <row r="882" spans="1:10" x14ac:dyDescent="0.25">
      <c r="A882" s="15" t="s">
        <v>4313</v>
      </c>
      <c r="B882" s="15" t="s">
        <v>4298</v>
      </c>
      <c r="C882" s="40">
        <v>9.09</v>
      </c>
      <c r="D882" s="29">
        <v>1.1111111111111112E-2</v>
      </c>
      <c r="E882" s="41">
        <v>-12.06484</v>
      </c>
      <c r="F882" s="41">
        <v>-77.039022000000003</v>
      </c>
      <c r="G882" s="41">
        <v>-12.067409</v>
      </c>
      <c r="H882" s="41">
        <v>-77.032668000000001</v>
      </c>
      <c r="I882" s="41">
        <v>-12.105594999999999</v>
      </c>
      <c r="J882" s="41">
        <v>-77.027480999999995</v>
      </c>
    </row>
    <row r="883" spans="1:10" x14ac:dyDescent="0.25">
      <c r="A883" s="15" t="s">
        <v>4313</v>
      </c>
      <c r="B883" s="15" t="s">
        <v>4299</v>
      </c>
      <c r="C883" s="42">
        <v>9.2449999999999992</v>
      </c>
      <c r="D883" s="25">
        <v>1.1805555555555555E-2</v>
      </c>
      <c r="E883" s="43">
        <v>-12.064824</v>
      </c>
      <c r="F883" s="43">
        <v>-77.038954000000004</v>
      </c>
      <c r="G883" s="43">
        <v>-12.079181</v>
      </c>
      <c r="H883" s="43">
        <v>-77.028008</v>
      </c>
      <c r="I883" s="43">
        <v>-12.109499</v>
      </c>
      <c r="J883" s="43">
        <v>-77.026428999999993</v>
      </c>
    </row>
    <row r="884" spans="1:10" x14ac:dyDescent="0.25">
      <c r="A884" s="15" t="s">
        <v>4313</v>
      </c>
      <c r="B884" s="15" t="s">
        <v>4300</v>
      </c>
      <c r="C884" s="40">
        <v>12.824999999999999</v>
      </c>
      <c r="D884" s="29">
        <v>1.3888888888888888E-2</v>
      </c>
      <c r="E884" s="41">
        <v>-12.064242</v>
      </c>
      <c r="F884" s="41">
        <v>-77.03631</v>
      </c>
      <c r="G884" s="41">
        <v>-12.092001</v>
      </c>
      <c r="H884" s="41">
        <v>-77.023199000000005</v>
      </c>
      <c r="I884" s="41">
        <v>-12.085934999999999</v>
      </c>
      <c r="J884" s="41">
        <v>-76.985097999999994</v>
      </c>
    </row>
    <row r="885" spans="1:10" x14ac:dyDescent="0.25">
      <c r="A885" s="15" t="s">
        <v>4313</v>
      </c>
      <c r="B885" s="15" t="s">
        <v>4301</v>
      </c>
      <c r="C885" s="42">
        <v>19.963999999999999</v>
      </c>
      <c r="D885" s="25">
        <v>2.2916666666666665E-2</v>
      </c>
      <c r="E885" s="43">
        <v>-12.064505</v>
      </c>
      <c r="F885" s="43">
        <v>-77.039015000000006</v>
      </c>
      <c r="G885" s="43">
        <v>-12.036008000000001</v>
      </c>
      <c r="H885" s="43">
        <v>-77.043530000000004</v>
      </c>
      <c r="I885" s="43">
        <v>-12.032619</v>
      </c>
      <c r="J885" s="43">
        <v>-77.054616999999993</v>
      </c>
    </row>
    <row r="886" spans="1:10" x14ac:dyDescent="0.25">
      <c r="A886" s="15" t="s">
        <v>4313</v>
      </c>
      <c r="B886" s="15" t="s">
        <v>4302</v>
      </c>
      <c r="C886" s="40">
        <v>8.8689999999999998</v>
      </c>
      <c r="D886" s="29">
        <v>1.2500000000000001E-2</v>
      </c>
      <c r="E886" s="41">
        <v>-12.06484</v>
      </c>
      <c r="F886" s="41">
        <v>-77.039022000000003</v>
      </c>
      <c r="G886" s="41">
        <v>-12.067409</v>
      </c>
      <c r="H886" s="41">
        <v>-77.032668000000001</v>
      </c>
      <c r="I886" s="41">
        <v>-12.091913</v>
      </c>
      <c r="J886" s="41">
        <v>-77.023544999999999</v>
      </c>
    </row>
    <row r="887" spans="1:10" x14ac:dyDescent="0.25">
      <c r="A887" s="15" t="s">
        <v>4313</v>
      </c>
      <c r="B887" s="15" t="s">
        <v>4303</v>
      </c>
      <c r="C887" s="42">
        <v>5.7990000000000004</v>
      </c>
      <c r="D887" s="25">
        <v>1.1111111111111112E-2</v>
      </c>
      <c r="E887" s="43">
        <v>-12.065524</v>
      </c>
      <c r="F887" s="43">
        <v>-77.040272999999999</v>
      </c>
      <c r="G887" s="43">
        <v>-12.064379000000001</v>
      </c>
      <c r="H887" s="43">
        <v>-77.038855999999996</v>
      </c>
      <c r="I887" s="43">
        <v>-12.060172</v>
      </c>
      <c r="J887" s="43">
        <v>-77.035402000000005</v>
      </c>
    </row>
    <row r="888" spans="1:10" x14ac:dyDescent="0.25">
      <c r="A888" s="15" t="s">
        <v>4313</v>
      </c>
      <c r="B888" s="15" t="s">
        <v>4304</v>
      </c>
      <c r="C888" s="40">
        <v>6.2510000000000003</v>
      </c>
      <c r="D888" s="29">
        <v>1.1111111111111112E-2</v>
      </c>
      <c r="E888" s="41">
        <v>-12.06851</v>
      </c>
      <c r="F888" s="41">
        <v>-77.044303999999997</v>
      </c>
      <c r="G888" s="41">
        <v>-12.064601</v>
      </c>
      <c r="H888" s="41">
        <v>-77.038894999999997</v>
      </c>
      <c r="I888" s="41">
        <v>-12.060181</v>
      </c>
      <c r="J888" s="41">
        <v>-77.036090000000002</v>
      </c>
    </row>
    <row r="889" spans="1:10" x14ac:dyDescent="0.25">
      <c r="A889" s="15" t="s">
        <v>4313</v>
      </c>
      <c r="B889" s="15" t="s">
        <v>4269</v>
      </c>
      <c r="C889" s="42">
        <v>5.0309999999999997</v>
      </c>
      <c r="D889" s="25">
        <v>1.1111111111111112E-2</v>
      </c>
      <c r="E889" s="43">
        <v>-12.075023</v>
      </c>
      <c r="F889" s="43">
        <v>-77.047715999999994</v>
      </c>
      <c r="G889" s="43">
        <v>-12.075574</v>
      </c>
      <c r="H889" s="43">
        <v>-77.051124999999999</v>
      </c>
      <c r="I889" s="43">
        <v>-12.078628</v>
      </c>
      <c r="J889" s="43">
        <v>-77.056706000000005</v>
      </c>
    </row>
    <row r="890" spans="1:10" x14ac:dyDescent="0.25">
      <c r="A890" s="15" t="s">
        <v>4313</v>
      </c>
      <c r="B890" s="15" t="s">
        <v>4305</v>
      </c>
      <c r="C890" s="40">
        <v>3.4420000000000002</v>
      </c>
      <c r="D890" s="29">
        <v>6.9444444444444441E-3</v>
      </c>
      <c r="E890" s="41">
        <v>-12.06484</v>
      </c>
      <c r="F890" s="41">
        <v>-77.039022000000003</v>
      </c>
      <c r="G890" s="41">
        <v>-12.060002000000001</v>
      </c>
      <c r="H890" s="41">
        <v>-77.042052999999996</v>
      </c>
      <c r="I890" s="41">
        <v>-12.060233</v>
      </c>
      <c r="J890" s="41">
        <v>-77.046893999999995</v>
      </c>
    </row>
    <row r="891" spans="1:10" x14ac:dyDescent="0.25">
      <c r="A891" s="15" t="s">
        <v>4313</v>
      </c>
      <c r="B891" s="15" t="s">
        <v>4306</v>
      </c>
      <c r="C891" s="42">
        <v>15.483000000000001</v>
      </c>
      <c r="D891" s="25">
        <v>1.5277777777777777E-2</v>
      </c>
      <c r="E891" s="43">
        <v>-12.064311999999999</v>
      </c>
      <c r="F891" s="43">
        <v>-77.036323999999993</v>
      </c>
      <c r="G891" s="43">
        <v>-12.091602999999999</v>
      </c>
      <c r="H891" s="43">
        <v>-77.022992000000002</v>
      </c>
      <c r="I891" s="43">
        <v>-12.086</v>
      </c>
      <c r="J891" s="43">
        <v>-76.987904999999998</v>
      </c>
    </row>
    <row r="892" spans="1:10" x14ac:dyDescent="0.25">
      <c r="A892" s="15" t="s">
        <v>4313</v>
      </c>
      <c r="B892" s="15" t="s">
        <v>4277</v>
      </c>
      <c r="C892" s="40">
        <v>3.5960000000000001</v>
      </c>
      <c r="D892" s="29">
        <v>7.6388888888888886E-3</v>
      </c>
      <c r="E892" s="41">
        <v>-12.075483999999999</v>
      </c>
      <c r="F892" s="41">
        <v>-77.043953999999999</v>
      </c>
      <c r="G892" s="41">
        <v>-12.079031000000001</v>
      </c>
      <c r="H892" s="41">
        <v>-77.042373999999995</v>
      </c>
      <c r="I892" s="41">
        <v>-12.082435</v>
      </c>
      <c r="J892" s="41">
        <v>-77.045824999999994</v>
      </c>
    </row>
    <row r="893" spans="1:10" x14ac:dyDescent="0.25">
      <c r="A893" s="15" t="s">
        <v>4313</v>
      </c>
      <c r="B893" s="15" t="s">
        <v>4307</v>
      </c>
      <c r="C893" s="42">
        <v>18.486000000000001</v>
      </c>
      <c r="D893" s="25">
        <v>1.9444444444444445E-2</v>
      </c>
      <c r="E893" s="43">
        <v>-12.067119999999999</v>
      </c>
      <c r="F893" s="43">
        <v>-77.032776999999996</v>
      </c>
      <c r="G893" s="43">
        <v>-12.086715</v>
      </c>
      <c r="H893" s="43">
        <v>-76.995919999999998</v>
      </c>
      <c r="I893" s="43">
        <v>-12.067361999999999</v>
      </c>
      <c r="J893" s="43">
        <v>-76.971562000000006</v>
      </c>
    </row>
    <row r="894" spans="1:10" x14ac:dyDescent="0.25">
      <c r="A894" s="15" t="s">
        <v>4313</v>
      </c>
      <c r="B894" s="15" t="s">
        <v>4308</v>
      </c>
      <c r="C894" s="40">
        <v>6.2220000000000004</v>
      </c>
      <c r="D894" s="29">
        <v>1.2500000000000001E-2</v>
      </c>
      <c r="E894" s="41">
        <v>-12.076824</v>
      </c>
      <c r="F894" s="41">
        <v>-77.049565000000001</v>
      </c>
      <c r="G894" s="41">
        <v>-12.078659999999999</v>
      </c>
      <c r="H894" s="41">
        <v>-77.056904000000003</v>
      </c>
      <c r="I894" s="41">
        <v>-12.078427</v>
      </c>
      <c r="J894" s="41">
        <v>-77.079858000000002</v>
      </c>
    </row>
    <row r="895" spans="1:10" x14ac:dyDescent="0.25">
      <c r="A895" s="15" t="s">
        <v>4313</v>
      </c>
      <c r="B895" s="15" t="s">
        <v>4309</v>
      </c>
      <c r="C895" s="42">
        <v>5.3620000000000001</v>
      </c>
      <c r="D895" s="25">
        <v>8.3333333333333332E-3</v>
      </c>
      <c r="E895" s="43">
        <v>-12.065061</v>
      </c>
      <c r="F895" s="43">
        <v>-77.039614999999998</v>
      </c>
      <c r="G895" s="43">
        <v>-12.064086</v>
      </c>
      <c r="H895" s="43">
        <v>-77.03613</v>
      </c>
      <c r="I895" s="43">
        <v>-12.077666000000001</v>
      </c>
      <c r="J895" s="43">
        <v>-77.028722999999999</v>
      </c>
    </row>
    <row r="896" spans="1:10" x14ac:dyDescent="0.25">
      <c r="A896" s="15" t="s">
        <v>4313</v>
      </c>
      <c r="B896" s="15" t="s">
        <v>4278</v>
      </c>
      <c r="C896" s="40">
        <v>11.513</v>
      </c>
      <c r="D896" s="29">
        <v>1.7361111111111112E-2</v>
      </c>
      <c r="E896" s="41">
        <v>-12.064363999999999</v>
      </c>
      <c r="F896" s="41">
        <v>-77.039272999999994</v>
      </c>
      <c r="G896" s="41">
        <v>-12.036191000000001</v>
      </c>
      <c r="H896" s="41">
        <v>-77.042254999999997</v>
      </c>
      <c r="I896" s="41">
        <v>-12.013341</v>
      </c>
      <c r="J896" s="41">
        <v>-77.060385999999994</v>
      </c>
    </row>
    <row r="897" spans="1:10" x14ac:dyDescent="0.25">
      <c r="A897" s="15" t="s">
        <v>4313</v>
      </c>
      <c r="B897" s="15" t="s">
        <v>4310</v>
      </c>
      <c r="C897" s="42">
        <v>9.5660000000000007</v>
      </c>
      <c r="D897" s="25">
        <v>1.5972222222222221E-2</v>
      </c>
      <c r="E897" s="43">
        <v>-12.064259</v>
      </c>
      <c r="F897" s="43">
        <v>-77.038848999999999</v>
      </c>
      <c r="G897" s="43">
        <v>-12.043066</v>
      </c>
      <c r="H897" s="43">
        <v>-77.024162000000004</v>
      </c>
      <c r="I897" s="43">
        <v>-12.041202999999999</v>
      </c>
      <c r="J897" s="43">
        <v>-77.018199999999993</v>
      </c>
    </row>
    <row r="898" spans="1:10" x14ac:dyDescent="0.25">
      <c r="A898" s="15" t="s">
        <v>4313</v>
      </c>
      <c r="B898" s="15" t="s">
        <v>4311</v>
      </c>
      <c r="C898" s="40">
        <v>1.5449999999999999</v>
      </c>
      <c r="D898" s="29">
        <v>3.472222222222222E-3</v>
      </c>
      <c r="E898" s="41">
        <v>-12.073472000000001</v>
      </c>
      <c r="F898" s="41">
        <v>-77.047631999999993</v>
      </c>
      <c r="G898" s="41">
        <v>-12.073845</v>
      </c>
      <c r="H898" s="41">
        <v>-77.039620999999997</v>
      </c>
      <c r="I898" s="41">
        <v>-12.072384</v>
      </c>
      <c r="J898" s="41">
        <v>-77.039615999999995</v>
      </c>
    </row>
    <row r="899" spans="1:10" x14ac:dyDescent="0.25">
      <c r="A899" s="15" t="s">
        <v>4313</v>
      </c>
      <c r="B899" s="15" t="s">
        <v>4312</v>
      </c>
      <c r="C899" s="42">
        <v>5.758</v>
      </c>
      <c r="D899" s="25">
        <v>1.1111111111111112E-2</v>
      </c>
      <c r="E899" s="43">
        <v>-12.065524</v>
      </c>
      <c r="F899" s="43">
        <v>-77.040272999999999</v>
      </c>
      <c r="G899" s="43">
        <v>-12.064379000000001</v>
      </c>
      <c r="H899" s="43">
        <v>-77.038855999999996</v>
      </c>
      <c r="I899" s="43">
        <v>-12.060172</v>
      </c>
      <c r="J899" s="43">
        <v>-77.035402000000005</v>
      </c>
    </row>
    <row r="900" spans="1:10" x14ac:dyDescent="0.25">
      <c r="A900" s="15" t="s">
        <v>4313</v>
      </c>
      <c r="B900" s="15" t="s">
        <v>4313</v>
      </c>
      <c r="C900" s="40">
        <v>0</v>
      </c>
      <c r="D900" s="29">
        <v>0</v>
      </c>
      <c r="E900" s="41" t="e">
        <f>'1 ubicaciones'!#REF!</f>
        <v>#REF!</v>
      </c>
      <c r="F900" s="41" t="e">
        <f>'1 ubicaciones'!#REF!</f>
        <v>#REF!</v>
      </c>
      <c r="G900" s="41" t="e">
        <f>'1 ubicaciones'!#REF!</f>
        <v>#REF!</v>
      </c>
      <c r="H900" s="41" t="e">
        <f>'1 ubicaciones'!#REF!</f>
        <v>#REF!</v>
      </c>
      <c r="I900" s="41" t="e">
        <f>'1 ubicaciones'!#REF!</f>
        <v>#REF!</v>
      </c>
      <c r="J900" s="41" t="e">
        <f>'1 ubicaciones'!#REF!</f>
        <v>#REF!</v>
      </c>
    </row>
    <row r="901" spans="1:10" x14ac:dyDescent="0.25">
      <c r="A901" s="15" t="s">
        <v>4313</v>
      </c>
      <c r="B901" s="15" t="s">
        <v>4314</v>
      </c>
      <c r="C901" s="42">
        <v>5.0819999999999999</v>
      </c>
      <c r="D901" s="25">
        <v>1.1111111111111112E-2</v>
      </c>
      <c r="E901" s="43">
        <v>-12.075455</v>
      </c>
      <c r="F901" s="43">
        <v>-77.048439999999999</v>
      </c>
      <c r="G901" s="43">
        <v>-12.078609999999999</v>
      </c>
      <c r="H901" s="43">
        <v>-77.056595999999999</v>
      </c>
      <c r="I901" s="43">
        <v>-12.084206999999999</v>
      </c>
      <c r="J901" s="43">
        <v>-77.064653000000007</v>
      </c>
    </row>
    <row r="902" spans="1:10" x14ac:dyDescent="0.25">
      <c r="A902" s="15" t="s">
        <v>4313</v>
      </c>
      <c r="B902" s="15" t="s">
        <v>4315</v>
      </c>
      <c r="C902" s="40">
        <v>14.032</v>
      </c>
      <c r="D902" s="29">
        <v>1.5277777777777777E-2</v>
      </c>
      <c r="E902" s="41">
        <v>-12.064086</v>
      </c>
      <c r="F902" s="41">
        <v>-77.03613</v>
      </c>
      <c r="G902" s="41">
        <v>-12.091913</v>
      </c>
      <c r="H902" s="41">
        <v>-77.023544999999999</v>
      </c>
      <c r="I902" s="41">
        <v>-12.088449000000001</v>
      </c>
      <c r="J902" s="41">
        <v>-76.981604000000004</v>
      </c>
    </row>
    <row r="903" spans="1:10" x14ac:dyDescent="0.25">
      <c r="A903" s="15" t="s">
        <v>4313</v>
      </c>
      <c r="B903" s="15" t="s">
        <v>4316</v>
      </c>
      <c r="C903" s="42">
        <v>3.7320000000000002</v>
      </c>
      <c r="D903" s="25">
        <v>9.0277777777777769E-3</v>
      </c>
      <c r="E903" s="43">
        <v>-12.075455</v>
      </c>
      <c r="F903" s="43">
        <v>-77.048439999999999</v>
      </c>
      <c r="G903" s="43">
        <v>-12.081402000000001</v>
      </c>
      <c r="H903" s="43">
        <v>-77.054102</v>
      </c>
      <c r="I903" s="43">
        <v>-12.087163</v>
      </c>
      <c r="J903" s="43">
        <v>-77.056031000000004</v>
      </c>
    </row>
    <row r="904" spans="1:10" x14ac:dyDescent="0.25">
      <c r="A904" s="15" t="s">
        <v>4313</v>
      </c>
      <c r="B904" s="15" t="s">
        <v>4317</v>
      </c>
      <c r="C904" s="40">
        <v>20.768999999999998</v>
      </c>
      <c r="D904" s="29">
        <v>2.013888888888889E-2</v>
      </c>
      <c r="E904" s="41">
        <v>-12.065495</v>
      </c>
      <c r="F904" s="41">
        <v>-77.033478000000002</v>
      </c>
      <c r="G904" s="41">
        <v>-12.09061</v>
      </c>
      <c r="H904" s="41">
        <v>-77.020977000000002</v>
      </c>
      <c r="I904" s="41">
        <v>-12.146424</v>
      </c>
      <c r="J904" s="41">
        <v>-76.982213999999999</v>
      </c>
    </row>
    <row r="905" spans="1:10" x14ac:dyDescent="0.25">
      <c r="A905" s="15" t="s">
        <v>4313</v>
      </c>
      <c r="B905" s="15" t="s">
        <v>4318</v>
      </c>
      <c r="C905" s="42">
        <v>7.5960000000000001</v>
      </c>
      <c r="D905" s="25">
        <v>9.7222222222222224E-3</v>
      </c>
      <c r="E905" s="43">
        <v>-12.064916</v>
      </c>
      <c r="F905" s="43">
        <v>-77.039197999999999</v>
      </c>
      <c r="G905" s="43">
        <v>-12.065747999999999</v>
      </c>
      <c r="H905" s="43">
        <v>-77.033345999999995</v>
      </c>
      <c r="I905" s="43">
        <v>-12.091872</v>
      </c>
      <c r="J905" s="43">
        <v>-77.023073999999994</v>
      </c>
    </row>
    <row r="906" spans="1:10" x14ac:dyDescent="0.25">
      <c r="A906" s="15" t="s">
        <v>4313</v>
      </c>
      <c r="B906" s="15" t="s">
        <v>4319</v>
      </c>
      <c r="C906" s="40">
        <v>10.314</v>
      </c>
      <c r="D906" s="29">
        <v>1.3194444444444444E-2</v>
      </c>
      <c r="E906" s="41">
        <v>-12.064824</v>
      </c>
      <c r="F906" s="41">
        <v>-77.038954000000004</v>
      </c>
      <c r="G906" s="41">
        <v>-12.079181</v>
      </c>
      <c r="H906" s="41">
        <v>-77.028008</v>
      </c>
      <c r="I906" s="41">
        <v>-12.091010000000001</v>
      </c>
      <c r="J906" s="41">
        <v>-77.023359999999997</v>
      </c>
    </row>
    <row r="907" spans="1:10" x14ac:dyDescent="0.25">
      <c r="A907" s="15" t="s">
        <v>4313</v>
      </c>
      <c r="B907" s="15" t="s">
        <v>4279</v>
      </c>
      <c r="C907" s="42">
        <v>8.1929999999999996</v>
      </c>
      <c r="D907" s="25">
        <v>1.5972222222222221E-2</v>
      </c>
      <c r="E907" s="43">
        <v>-12.06995</v>
      </c>
      <c r="F907" s="43">
        <v>-77.055004999999994</v>
      </c>
      <c r="G907" s="43">
        <v>-12.066796</v>
      </c>
      <c r="H907" s="43">
        <v>-77.061278999999999</v>
      </c>
      <c r="I907" s="43">
        <v>-12.059946999999999</v>
      </c>
      <c r="J907" s="43">
        <v>-77.079126000000002</v>
      </c>
    </row>
    <row r="908" spans="1:10" x14ac:dyDescent="0.25">
      <c r="A908" s="15" t="s">
        <v>4313</v>
      </c>
      <c r="B908" s="15" t="s">
        <v>4320</v>
      </c>
      <c r="C908" s="40">
        <v>14.426</v>
      </c>
      <c r="D908" s="29">
        <v>1.5277777777777777E-2</v>
      </c>
      <c r="E908" s="41">
        <v>-12.065495</v>
      </c>
      <c r="F908" s="41">
        <v>-77.033478000000002</v>
      </c>
      <c r="G908" s="41">
        <v>-12.09061</v>
      </c>
      <c r="H908" s="41">
        <v>-77.020977000000002</v>
      </c>
      <c r="I908" s="41">
        <v>-12.084611000000001</v>
      </c>
      <c r="J908" s="41">
        <v>-76.981786999999997</v>
      </c>
    </row>
    <row r="909" spans="1:10" x14ac:dyDescent="0.25">
      <c r="A909" s="15" t="s">
        <v>4313</v>
      </c>
      <c r="B909" s="15" t="s">
        <v>4321</v>
      </c>
      <c r="C909" s="42">
        <v>25.856000000000002</v>
      </c>
      <c r="D909" s="25">
        <v>3.125E-2</v>
      </c>
      <c r="E909" s="43">
        <v>-12.060362</v>
      </c>
      <c r="F909" s="43">
        <v>-77.04101</v>
      </c>
      <c r="G909" s="43">
        <v>-12.036057</v>
      </c>
      <c r="H909" s="43">
        <v>-77.045051999999998</v>
      </c>
      <c r="I909" s="43">
        <v>-11.944969</v>
      </c>
      <c r="J909" s="43">
        <v>-77.070972999999995</v>
      </c>
    </row>
    <row r="910" spans="1:10" x14ac:dyDescent="0.25">
      <c r="A910" s="15" t="s">
        <v>4313</v>
      </c>
      <c r="B910" s="15" t="s">
        <v>4322</v>
      </c>
      <c r="C910" s="40">
        <v>17.913</v>
      </c>
      <c r="D910" s="29">
        <v>1.9444444444444445E-2</v>
      </c>
      <c r="E910" s="41">
        <v>-12.067119999999999</v>
      </c>
      <c r="F910" s="41">
        <v>-77.032776999999996</v>
      </c>
      <c r="G910" s="41">
        <v>-12.133087</v>
      </c>
      <c r="H910" s="41">
        <v>-77.021458999999993</v>
      </c>
      <c r="I910" s="41">
        <v>-12.152922</v>
      </c>
      <c r="J910" s="41">
        <v>-77.024518999999998</v>
      </c>
    </row>
    <row r="911" spans="1:10" x14ac:dyDescent="0.25">
      <c r="A911" s="15" t="s">
        <v>4313</v>
      </c>
      <c r="B911" s="15" t="s">
        <v>4323</v>
      </c>
      <c r="C911" s="42">
        <v>18.422999999999998</v>
      </c>
      <c r="D911" s="25">
        <v>2.0833333333333332E-2</v>
      </c>
      <c r="E911" s="43">
        <v>-12.067409</v>
      </c>
      <c r="F911" s="43">
        <v>-77.032668000000001</v>
      </c>
      <c r="G911" s="43">
        <v>-12.13355</v>
      </c>
      <c r="H911" s="43">
        <v>-77.021257000000006</v>
      </c>
      <c r="I911" s="43">
        <v>-12.161678</v>
      </c>
      <c r="J911" s="43">
        <v>-77.025835999999998</v>
      </c>
    </row>
    <row r="912" spans="1:10" x14ac:dyDescent="0.25">
      <c r="A912" s="15" t="s">
        <v>4313</v>
      </c>
      <c r="B912" s="15" t="s">
        <v>4324</v>
      </c>
      <c r="C912" s="40">
        <v>2.5779999999999998</v>
      </c>
      <c r="D912" s="29">
        <v>6.9444444444444441E-3</v>
      </c>
      <c r="E912" s="41">
        <v>-12.074854</v>
      </c>
      <c r="F912" s="41">
        <v>-77.047939</v>
      </c>
      <c r="G912" s="41">
        <v>-12.078129000000001</v>
      </c>
      <c r="H912" s="41">
        <v>-77.053235999999998</v>
      </c>
      <c r="I912" s="41">
        <v>-12.080494</v>
      </c>
      <c r="J912" s="41">
        <v>-77.058418000000003</v>
      </c>
    </row>
    <row r="913" spans="1:10" x14ac:dyDescent="0.25">
      <c r="A913" s="15" t="s">
        <v>4313</v>
      </c>
      <c r="B913" s="15" t="s">
        <v>4325</v>
      </c>
      <c r="C913" s="42">
        <v>21.009</v>
      </c>
      <c r="D913" s="25">
        <v>2.5000000000000001E-2</v>
      </c>
      <c r="E913" s="43">
        <v>-12.079181</v>
      </c>
      <c r="F913" s="43">
        <v>-77.028008</v>
      </c>
      <c r="G913" s="43">
        <v>-12.086126999999999</v>
      </c>
      <c r="H913" s="43">
        <v>-76.984513000000007</v>
      </c>
      <c r="I913" s="43">
        <v>-12.143389000000001</v>
      </c>
      <c r="J913" s="43">
        <v>-76.964511999999999</v>
      </c>
    </row>
    <row r="914" spans="1:10" x14ac:dyDescent="0.25">
      <c r="A914" s="15" t="s">
        <v>4313</v>
      </c>
      <c r="B914" s="15" t="s">
        <v>4268</v>
      </c>
      <c r="C914" s="40">
        <v>9.0269999999999992</v>
      </c>
      <c r="D914" s="29">
        <v>1.5277777777777777E-2</v>
      </c>
      <c r="E914" s="41">
        <v>-12.064259</v>
      </c>
      <c r="F914" s="41">
        <v>-77.038848999999999</v>
      </c>
      <c r="G914" s="41">
        <v>-12.043066</v>
      </c>
      <c r="H914" s="41">
        <v>-77.024162000000004</v>
      </c>
      <c r="I914" s="41">
        <v>-12.041202999999999</v>
      </c>
      <c r="J914" s="41">
        <v>-77.018199999999993</v>
      </c>
    </row>
    <row r="915" spans="1:10" x14ac:dyDescent="0.25">
      <c r="A915" s="15" t="s">
        <v>4314</v>
      </c>
      <c r="B915" s="15" t="s">
        <v>4267</v>
      </c>
      <c r="C915" s="42">
        <v>8.8070000000000004</v>
      </c>
      <c r="D915" s="25">
        <v>1.7361111111111112E-2</v>
      </c>
      <c r="E915" s="43">
        <v>-12.068403</v>
      </c>
      <c r="F915" s="43">
        <v>-77.081778999999997</v>
      </c>
      <c r="G915" s="43">
        <v>-12.056521</v>
      </c>
      <c r="H915" s="43">
        <v>-77.080264999999997</v>
      </c>
      <c r="I915" s="43">
        <v>-12.046891</v>
      </c>
      <c r="J915" s="43">
        <v>-77.047606999999999</v>
      </c>
    </row>
    <row r="916" spans="1:10" x14ac:dyDescent="0.25">
      <c r="A916" s="15" t="s">
        <v>4314</v>
      </c>
      <c r="B916" s="15" t="s">
        <v>4280</v>
      </c>
      <c r="C916" s="40">
        <v>16.725000000000001</v>
      </c>
      <c r="D916" s="29">
        <v>1.9444444444444445E-2</v>
      </c>
      <c r="E916" s="41">
        <v>-12.091856</v>
      </c>
      <c r="F916" s="41">
        <v>-77.085295000000002</v>
      </c>
      <c r="G916" s="41">
        <v>-12.121097000000001</v>
      </c>
      <c r="H916" s="41">
        <v>-77.045184000000006</v>
      </c>
      <c r="I916" s="41">
        <v>-12.151467999999999</v>
      </c>
      <c r="J916" s="41">
        <v>-77.024715</v>
      </c>
    </row>
    <row r="917" spans="1:10" x14ac:dyDescent="0.25">
      <c r="A917" s="15" t="s">
        <v>4314</v>
      </c>
      <c r="B917" s="15" t="s">
        <v>4281</v>
      </c>
      <c r="C917" s="42">
        <v>18.079000000000001</v>
      </c>
      <c r="D917" s="25">
        <v>2.4305555555555556E-2</v>
      </c>
      <c r="E917" s="43">
        <v>-12.086558</v>
      </c>
      <c r="F917" s="43">
        <v>-77.063126999999994</v>
      </c>
      <c r="G917" s="43">
        <v>-12.085157000000001</v>
      </c>
      <c r="H917" s="43">
        <v>-76.985114999999993</v>
      </c>
      <c r="I917" s="43">
        <v>-12.073943</v>
      </c>
      <c r="J917" s="43">
        <v>-76.961647999999997</v>
      </c>
    </row>
    <row r="918" spans="1:10" x14ac:dyDescent="0.25">
      <c r="A918" s="15" t="s">
        <v>4314</v>
      </c>
      <c r="B918" s="15" t="s">
        <v>4296</v>
      </c>
      <c r="C918" s="40">
        <v>4.8010000000000002</v>
      </c>
      <c r="D918" s="29">
        <v>1.1111111111111112E-2</v>
      </c>
      <c r="E918" s="41">
        <v>-12.076548000000001</v>
      </c>
      <c r="F918" s="41">
        <v>-77.084249</v>
      </c>
      <c r="G918" s="41">
        <v>-12.073606</v>
      </c>
      <c r="H918" s="41">
        <v>-77.078584000000006</v>
      </c>
      <c r="I918" s="41">
        <v>-12.072163</v>
      </c>
      <c r="J918" s="41">
        <v>-77.064199000000002</v>
      </c>
    </row>
    <row r="919" spans="1:10" x14ac:dyDescent="0.25">
      <c r="A919" s="15" t="s">
        <v>4314</v>
      </c>
      <c r="B919" s="15" t="s">
        <v>4297</v>
      </c>
      <c r="C919" s="42">
        <v>15.252000000000001</v>
      </c>
      <c r="D919" s="25">
        <v>1.8749999999999999E-2</v>
      </c>
      <c r="E919" s="43">
        <v>-12.057228</v>
      </c>
      <c r="F919" s="43">
        <v>-77.079847999999998</v>
      </c>
      <c r="G919" s="43">
        <v>-12.036973</v>
      </c>
      <c r="H919" s="43">
        <v>-77.052271000000005</v>
      </c>
      <c r="I919" s="43">
        <v>-12.04213</v>
      </c>
      <c r="J919" s="43">
        <v>-77.015142999999995</v>
      </c>
    </row>
    <row r="920" spans="1:10" x14ac:dyDescent="0.25">
      <c r="A920" s="15" t="s">
        <v>4314</v>
      </c>
      <c r="B920" s="15" t="s">
        <v>4298</v>
      </c>
      <c r="C920" s="40">
        <v>15.893000000000001</v>
      </c>
      <c r="D920" s="29">
        <v>1.7361111111111112E-2</v>
      </c>
      <c r="E920" s="41">
        <v>-12.091618</v>
      </c>
      <c r="F920" s="41">
        <v>-77.085443999999995</v>
      </c>
      <c r="G920" s="41">
        <v>-12.119182</v>
      </c>
      <c r="H920" s="41">
        <v>-77.046054999999996</v>
      </c>
      <c r="I920" s="41">
        <v>-12.135825000000001</v>
      </c>
      <c r="J920" s="41">
        <v>-77.024100000000004</v>
      </c>
    </row>
    <row r="921" spans="1:10" x14ac:dyDescent="0.25">
      <c r="A921" s="15" t="s">
        <v>4314</v>
      </c>
      <c r="B921" s="15" t="s">
        <v>4299</v>
      </c>
      <c r="C921" s="42">
        <v>10.241</v>
      </c>
      <c r="D921" s="25">
        <v>1.4583333333333334E-2</v>
      </c>
      <c r="E921" s="43">
        <v>-12.091474</v>
      </c>
      <c r="F921" s="43">
        <v>-77.083775000000003</v>
      </c>
      <c r="G921" s="43">
        <v>-12.108695000000001</v>
      </c>
      <c r="H921" s="43">
        <v>-77.058077999999995</v>
      </c>
      <c r="I921" s="43">
        <v>-12.109621000000001</v>
      </c>
      <c r="J921" s="43">
        <v>-77.052154000000002</v>
      </c>
    </row>
    <row r="922" spans="1:10" x14ac:dyDescent="0.25">
      <c r="A922" s="15" t="s">
        <v>4314</v>
      </c>
      <c r="B922" s="15" t="s">
        <v>4300</v>
      </c>
      <c r="C922" s="40">
        <v>14.946999999999999</v>
      </c>
      <c r="D922" s="29">
        <v>2.013888888888889E-2</v>
      </c>
      <c r="E922" s="41">
        <v>-12.084447000000001</v>
      </c>
      <c r="F922" s="41">
        <v>-77.064701999999997</v>
      </c>
      <c r="G922" s="41">
        <v>-12.087278</v>
      </c>
      <c r="H922" s="41">
        <v>-76.998057000000003</v>
      </c>
      <c r="I922" s="41">
        <v>-12.08907</v>
      </c>
      <c r="J922" s="41">
        <v>-76.981326999999993</v>
      </c>
    </row>
    <row r="923" spans="1:10" x14ac:dyDescent="0.25">
      <c r="A923" s="15" t="s">
        <v>4314</v>
      </c>
      <c r="B923" s="15" t="s">
        <v>4301</v>
      </c>
      <c r="C923" s="42">
        <v>21.309000000000001</v>
      </c>
      <c r="D923" s="25">
        <v>2.5694444444444443E-2</v>
      </c>
      <c r="E923" s="43">
        <v>-12.061032000000001</v>
      </c>
      <c r="F923" s="43">
        <v>-77.082498999999999</v>
      </c>
      <c r="G923" s="43">
        <v>-12.034762000000001</v>
      </c>
      <c r="H923" s="43">
        <v>-77.078241000000006</v>
      </c>
      <c r="I923" s="43">
        <v>-12.029057</v>
      </c>
      <c r="J923" s="43">
        <v>-77.057777999999999</v>
      </c>
    </row>
    <row r="924" spans="1:10" x14ac:dyDescent="0.25">
      <c r="A924" s="15" t="s">
        <v>4314</v>
      </c>
      <c r="B924" s="15" t="s">
        <v>4302</v>
      </c>
      <c r="C924" s="40">
        <v>10.991</v>
      </c>
      <c r="D924" s="29">
        <v>1.8055555555555554E-2</v>
      </c>
      <c r="E924" s="41">
        <v>-12.078192</v>
      </c>
      <c r="F924" s="41">
        <v>-77.085196999999994</v>
      </c>
      <c r="G924" s="41">
        <v>-12.085309000000001</v>
      </c>
      <c r="H924" s="41">
        <v>-77.064458999999999</v>
      </c>
      <c r="I924" s="41">
        <v>-12.095056</v>
      </c>
      <c r="J924" s="41">
        <v>-77.052756000000002</v>
      </c>
    </row>
    <row r="925" spans="1:10" x14ac:dyDescent="0.25">
      <c r="A925" s="15" t="s">
        <v>4314</v>
      </c>
      <c r="B925" s="15" t="s">
        <v>4303</v>
      </c>
      <c r="C925" s="42">
        <v>12.39</v>
      </c>
      <c r="D925" s="25">
        <v>1.9444444444444445E-2</v>
      </c>
      <c r="E925" s="43">
        <v>-12.085309000000001</v>
      </c>
      <c r="F925" s="43">
        <v>-77.064458999999999</v>
      </c>
      <c r="G925" s="43">
        <v>-12.090885</v>
      </c>
      <c r="H925" s="43">
        <v>-77.022401000000002</v>
      </c>
      <c r="I925" s="43">
        <v>-12.077412000000001</v>
      </c>
      <c r="J925" s="43">
        <v>-77.028380999999996</v>
      </c>
    </row>
    <row r="926" spans="1:10" x14ac:dyDescent="0.25">
      <c r="A926" s="15" t="s">
        <v>4314</v>
      </c>
      <c r="B926" s="15" t="s">
        <v>4304</v>
      </c>
      <c r="C926" s="40">
        <v>12.122999999999999</v>
      </c>
      <c r="D926" s="29">
        <v>1.8749999999999999E-2</v>
      </c>
      <c r="E926" s="41">
        <v>-12.085309000000001</v>
      </c>
      <c r="F926" s="41">
        <v>-77.064458999999999</v>
      </c>
      <c r="G926" s="41">
        <v>-12.090885</v>
      </c>
      <c r="H926" s="41">
        <v>-77.022401000000002</v>
      </c>
      <c r="I926" s="41">
        <v>-12.077412000000001</v>
      </c>
      <c r="J926" s="41">
        <v>-77.028380999999996</v>
      </c>
    </row>
    <row r="927" spans="1:10" x14ac:dyDescent="0.25">
      <c r="A927" s="15" t="s">
        <v>4314</v>
      </c>
      <c r="B927" s="15" t="s">
        <v>4269</v>
      </c>
      <c r="C927" s="42">
        <v>2.21</v>
      </c>
      <c r="D927" s="25">
        <v>5.5555555555555558E-3</v>
      </c>
      <c r="E927" s="43">
        <v>-12.077953000000001</v>
      </c>
      <c r="F927" s="43">
        <v>-77.085194000000001</v>
      </c>
      <c r="G927" s="43">
        <v>-12.078272</v>
      </c>
      <c r="H927" s="43">
        <v>-77.082538999999997</v>
      </c>
      <c r="I927" s="43">
        <v>-12.084681</v>
      </c>
      <c r="J927" s="43">
        <v>-77.082958000000005</v>
      </c>
    </row>
    <row r="928" spans="1:10" x14ac:dyDescent="0.25">
      <c r="A928" s="15" t="s">
        <v>4314</v>
      </c>
      <c r="B928" s="15" t="s">
        <v>4305</v>
      </c>
      <c r="C928" s="40">
        <v>6.0090000000000003</v>
      </c>
      <c r="D928" s="29">
        <v>1.2500000000000001E-2</v>
      </c>
      <c r="E928" s="41">
        <v>-12.074907</v>
      </c>
      <c r="F928" s="41">
        <v>-77.080078</v>
      </c>
      <c r="G928" s="41">
        <v>-12.068108000000001</v>
      </c>
      <c r="H928" s="41">
        <v>-77.061588</v>
      </c>
      <c r="I928" s="41">
        <v>-12.061987</v>
      </c>
      <c r="J928" s="41">
        <v>-77.048394000000002</v>
      </c>
    </row>
    <row r="929" spans="1:10" x14ac:dyDescent="0.25">
      <c r="A929" s="15" t="s">
        <v>4314</v>
      </c>
      <c r="B929" s="15" t="s">
        <v>4306</v>
      </c>
      <c r="C929" s="42">
        <v>17.605</v>
      </c>
      <c r="D929" s="25">
        <v>2.0833333333333332E-2</v>
      </c>
      <c r="E929" s="43">
        <v>-12.084447000000001</v>
      </c>
      <c r="F929" s="43">
        <v>-77.064701999999997</v>
      </c>
      <c r="G929" s="43">
        <v>-12.087278</v>
      </c>
      <c r="H929" s="43">
        <v>-76.998057000000003</v>
      </c>
      <c r="I929" s="43">
        <v>-12.08907</v>
      </c>
      <c r="J929" s="43">
        <v>-76.981326999999993</v>
      </c>
    </row>
    <row r="930" spans="1:10" x14ac:dyDescent="0.25">
      <c r="A930" s="15" t="s">
        <v>4314</v>
      </c>
      <c r="B930" s="15" t="s">
        <v>4277</v>
      </c>
      <c r="C930" s="40">
        <v>5.5940000000000003</v>
      </c>
      <c r="D930" s="29">
        <v>1.1111111111111112E-2</v>
      </c>
      <c r="E930" s="41">
        <v>-12.078192</v>
      </c>
      <c r="F930" s="41">
        <v>-77.085196999999994</v>
      </c>
      <c r="G930" s="41">
        <v>-12.085309000000001</v>
      </c>
      <c r="H930" s="41">
        <v>-77.064458999999999</v>
      </c>
      <c r="I930" s="41">
        <v>-12.094777000000001</v>
      </c>
      <c r="J930" s="41">
        <v>-77.050758000000002</v>
      </c>
    </row>
    <row r="931" spans="1:10" x14ac:dyDescent="0.25">
      <c r="A931" s="15" t="s">
        <v>4314</v>
      </c>
      <c r="B931" s="15" t="s">
        <v>4307</v>
      </c>
      <c r="C931" s="42">
        <v>19.021999999999998</v>
      </c>
      <c r="D931" s="25">
        <v>2.361111111111111E-2</v>
      </c>
      <c r="E931" s="43">
        <v>-12.055681999999999</v>
      </c>
      <c r="F931" s="43">
        <v>-77.080866999999998</v>
      </c>
      <c r="G931" s="43">
        <v>-12.03848</v>
      </c>
      <c r="H931" s="43">
        <v>-77.046390000000002</v>
      </c>
      <c r="I931" s="43">
        <v>-12.031910999999999</v>
      </c>
      <c r="J931" s="43">
        <v>-77.004946000000004</v>
      </c>
    </row>
    <row r="932" spans="1:10" x14ac:dyDescent="0.25">
      <c r="A932" s="15" t="s">
        <v>4314</v>
      </c>
      <c r="B932" s="15" t="s">
        <v>4308</v>
      </c>
      <c r="C932" s="40">
        <v>1.1419999999999999</v>
      </c>
      <c r="D932" s="29">
        <v>3.472222222222222E-3</v>
      </c>
      <c r="E932" s="41">
        <v>-12.077776999999999</v>
      </c>
      <c r="F932" s="41">
        <v>-77.083661000000006</v>
      </c>
      <c r="G932" s="41">
        <v>-12.077667999999999</v>
      </c>
      <c r="H932" s="41">
        <v>-77.088607999999994</v>
      </c>
      <c r="I932" s="41">
        <v>-12.077806000000001</v>
      </c>
      <c r="J932" s="41">
        <v>-77.089008000000007</v>
      </c>
    </row>
    <row r="933" spans="1:10" x14ac:dyDescent="0.25">
      <c r="A933" s="15" t="s">
        <v>4314</v>
      </c>
      <c r="B933" s="15" t="s">
        <v>4309</v>
      </c>
      <c r="C933" s="42">
        <v>10.676</v>
      </c>
      <c r="D933" s="25">
        <v>1.6666666666666666E-2</v>
      </c>
      <c r="E933" s="43">
        <v>-12.084199999999999</v>
      </c>
      <c r="F933" s="43">
        <v>-77.064874000000003</v>
      </c>
      <c r="G933" s="43">
        <v>-12.092343</v>
      </c>
      <c r="H933" s="43">
        <v>-77.033406999999997</v>
      </c>
      <c r="I933" s="43">
        <v>-12.090747</v>
      </c>
      <c r="J933" s="43">
        <v>-77.022698000000005</v>
      </c>
    </row>
    <row r="934" spans="1:10" x14ac:dyDescent="0.25">
      <c r="A934" s="15" t="s">
        <v>4314</v>
      </c>
      <c r="B934" s="15" t="s">
        <v>4278</v>
      </c>
      <c r="C934" s="40">
        <v>12.858000000000001</v>
      </c>
      <c r="D934" s="29">
        <v>2.013888888888889E-2</v>
      </c>
      <c r="E934" s="41">
        <v>-12.060936999999999</v>
      </c>
      <c r="F934" s="41">
        <v>-77.081582999999995</v>
      </c>
      <c r="G934" s="41">
        <v>-12.033780999999999</v>
      </c>
      <c r="H934" s="41">
        <v>-77.078235000000006</v>
      </c>
      <c r="I934" s="41">
        <v>-12.028442999999999</v>
      </c>
      <c r="J934" s="41">
        <v>-77.057480999999996</v>
      </c>
    </row>
    <row r="935" spans="1:10" x14ac:dyDescent="0.25">
      <c r="A935" s="15" t="s">
        <v>4314</v>
      </c>
      <c r="B935" s="15" t="s">
        <v>4310</v>
      </c>
      <c r="C935" s="42">
        <v>15.865</v>
      </c>
      <c r="D935" s="25">
        <v>1.9444444444444445E-2</v>
      </c>
      <c r="E935" s="43">
        <v>-12.059946999999999</v>
      </c>
      <c r="F935" s="43">
        <v>-77.079126000000002</v>
      </c>
      <c r="G935" s="43">
        <v>-12.036757</v>
      </c>
      <c r="H935" s="43">
        <v>-77.055087999999998</v>
      </c>
      <c r="I935" s="43">
        <v>-12.043358</v>
      </c>
      <c r="J935" s="43">
        <v>-77.017360999999994</v>
      </c>
    </row>
    <row r="936" spans="1:10" x14ac:dyDescent="0.25">
      <c r="A936" s="15" t="s">
        <v>4314</v>
      </c>
      <c r="B936" s="15" t="s">
        <v>4311</v>
      </c>
      <c r="C936" s="40">
        <v>7.4610000000000003</v>
      </c>
      <c r="D936" s="29">
        <v>1.5277777777777777E-2</v>
      </c>
      <c r="E936" s="41">
        <v>-12.084447000000001</v>
      </c>
      <c r="F936" s="41">
        <v>-77.064701999999997</v>
      </c>
      <c r="G936" s="41">
        <v>-12.08812</v>
      </c>
      <c r="H936" s="41">
        <v>-77.050629000000001</v>
      </c>
      <c r="I936" s="41">
        <v>-12.075194</v>
      </c>
      <c r="J936" s="41">
        <v>-77.041995</v>
      </c>
    </row>
    <row r="937" spans="1:10" x14ac:dyDescent="0.25">
      <c r="A937" s="15" t="s">
        <v>4314</v>
      </c>
      <c r="B937" s="15" t="s">
        <v>4312</v>
      </c>
      <c r="C937" s="42">
        <v>12.382999999999999</v>
      </c>
      <c r="D937" s="25">
        <v>1.8749999999999999E-2</v>
      </c>
      <c r="E937" s="43">
        <v>-12.085309000000001</v>
      </c>
      <c r="F937" s="43">
        <v>-77.064458999999999</v>
      </c>
      <c r="G937" s="43">
        <v>-12.090885</v>
      </c>
      <c r="H937" s="43">
        <v>-77.022401000000002</v>
      </c>
      <c r="I937" s="43">
        <v>-12.077412000000001</v>
      </c>
      <c r="J937" s="43">
        <v>-77.028380999999996</v>
      </c>
    </row>
    <row r="938" spans="1:10" x14ac:dyDescent="0.25">
      <c r="A938" s="15" t="s">
        <v>4314</v>
      </c>
      <c r="B938" s="15" t="s">
        <v>4313</v>
      </c>
      <c r="C938" s="40">
        <v>5.08</v>
      </c>
      <c r="D938" s="29">
        <v>1.1805555555555555E-2</v>
      </c>
      <c r="E938" s="41">
        <v>-12.076548000000001</v>
      </c>
      <c r="F938" s="41">
        <v>-77.084249</v>
      </c>
      <c r="G938" s="41">
        <v>-12.073606</v>
      </c>
      <c r="H938" s="41">
        <v>-77.078584000000006</v>
      </c>
      <c r="I938" s="41">
        <v>-12.072163</v>
      </c>
      <c r="J938" s="41">
        <v>-77.064199000000002</v>
      </c>
    </row>
    <row r="939" spans="1:10" x14ac:dyDescent="0.25">
      <c r="A939" s="15" t="s">
        <v>4314</v>
      </c>
      <c r="B939" s="15" t="s">
        <v>4314</v>
      </c>
      <c r="C939" s="42">
        <v>0</v>
      </c>
      <c r="D939" s="25">
        <v>0</v>
      </c>
      <c r="E939" s="43" t="e">
        <f>'1 ubicaciones'!#REF!</f>
        <v>#REF!</v>
      </c>
      <c r="F939" s="43" t="e">
        <f>'1 ubicaciones'!#REF!</f>
        <v>#REF!</v>
      </c>
      <c r="G939" s="43" t="e">
        <f>'1 ubicaciones'!#REF!</f>
        <v>#REF!</v>
      </c>
      <c r="H939" s="43" t="e">
        <f>'1 ubicaciones'!#REF!</f>
        <v>#REF!</v>
      </c>
      <c r="I939" s="43" t="e">
        <f>'1 ubicaciones'!#REF!</f>
        <v>#REF!</v>
      </c>
      <c r="J939" s="43" t="e">
        <f>'1 ubicaciones'!#REF!</f>
        <v>#REF!</v>
      </c>
    </row>
    <row r="940" spans="1:10" x14ac:dyDescent="0.25">
      <c r="A940" s="15" t="s">
        <v>4314</v>
      </c>
      <c r="B940" s="15" t="s">
        <v>4315</v>
      </c>
      <c r="C940" s="40">
        <v>16.154</v>
      </c>
      <c r="D940" s="29">
        <v>2.1527777777777778E-2</v>
      </c>
      <c r="E940" s="41">
        <v>-12.085309000000001</v>
      </c>
      <c r="F940" s="41">
        <v>-77.064458999999999</v>
      </c>
      <c r="G940" s="41">
        <v>-12.086715</v>
      </c>
      <c r="H940" s="41">
        <v>-76.995919999999998</v>
      </c>
      <c r="I940" s="41">
        <v>-12.102423999999999</v>
      </c>
      <c r="J940" s="41">
        <v>-76.979438000000002</v>
      </c>
    </row>
    <row r="941" spans="1:10" x14ac:dyDescent="0.25">
      <c r="A941" s="15" t="s">
        <v>4314</v>
      </c>
      <c r="B941" s="15" t="s">
        <v>4316</v>
      </c>
      <c r="C941" s="42">
        <v>4.6660000000000004</v>
      </c>
      <c r="D941" s="25">
        <v>9.0277777777777769E-3</v>
      </c>
      <c r="E941" s="43">
        <v>-12.077953000000001</v>
      </c>
      <c r="F941" s="43">
        <v>-77.085194000000001</v>
      </c>
      <c r="G941" s="43">
        <v>-12.078536</v>
      </c>
      <c r="H941" s="43">
        <v>-77.080081000000007</v>
      </c>
      <c r="I941" s="43">
        <v>-12.085309000000001</v>
      </c>
      <c r="J941" s="43">
        <v>-77.064458999999999</v>
      </c>
    </row>
    <row r="942" spans="1:10" x14ac:dyDescent="0.25">
      <c r="A942" s="15" t="s">
        <v>4314</v>
      </c>
      <c r="B942" s="15" t="s">
        <v>4317</v>
      </c>
      <c r="C942" s="40">
        <v>22.890999999999998</v>
      </c>
      <c r="D942" s="29">
        <v>2.6388888888888889E-2</v>
      </c>
      <c r="E942" s="41">
        <v>-12.086696</v>
      </c>
      <c r="F942" s="41">
        <v>-77.062949000000003</v>
      </c>
      <c r="G942" s="41">
        <v>-12.086126999999999</v>
      </c>
      <c r="H942" s="41">
        <v>-76.984513000000007</v>
      </c>
      <c r="I942" s="41">
        <v>-12.150332000000001</v>
      </c>
      <c r="J942" s="41">
        <v>-76.983688999999998</v>
      </c>
    </row>
    <row r="943" spans="1:10" x14ac:dyDescent="0.25">
      <c r="A943" s="15" t="s">
        <v>4314</v>
      </c>
      <c r="B943" s="15" t="s">
        <v>4318</v>
      </c>
      <c r="C943" s="42">
        <v>9.718</v>
      </c>
      <c r="D943" s="25">
        <v>1.5277777777777777E-2</v>
      </c>
      <c r="E943" s="43">
        <v>-12.078192</v>
      </c>
      <c r="F943" s="43">
        <v>-77.085196999999994</v>
      </c>
      <c r="G943" s="43">
        <v>-12.085309000000001</v>
      </c>
      <c r="H943" s="43">
        <v>-77.064458999999999</v>
      </c>
      <c r="I943" s="43">
        <v>-12.095056</v>
      </c>
      <c r="J943" s="43">
        <v>-77.052756000000002</v>
      </c>
    </row>
    <row r="944" spans="1:10" x14ac:dyDescent="0.25">
      <c r="A944" s="15" t="s">
        <v>4314</v>
      </c>
      <c r="B944" s="15" t="s">
        <v>4319</v>
      </c>
      <c r="C944" s="40">
        <v>12.436</v>
      </c>
      <c r="D944" s="29">
        <v>1.8749999999999999E-2</v>
      </c>
      <c r="E944" s="41">
        <v>-12.078283000000001</v>
      </c>
      <c r="F944" s="41">
        <v>-77.081761999999998</v>
      </c>
      <c r="G944" s="41">
        <v>-12.086558</v>
      </c>
      <c r="H944" s="41">
        <v>-77.063126999999994</v>
      </c>
      <c r="I944" s="41">
        <v>-12.08774</v>
      </c>
      <c r="J944" s="41">
        <v>-77.000512999999998</v>
      </c>
    </row>
    <row r="945" spans="1:10" x14ac:dyDescent="0.25">
      <c r="A945" s="15" t="s">
        <v>4314</v>
      </c>
      <c r="B945" s="15" t="s">
        <v>4279</v>
      </c>
      <c r="C945" s="42">
        <v>5.0629999999999997</v>
      </c>
      <c r="D945" s="25">
        <v>9.7222222222222224E-3</v>
      </c>
      <c r="E945" s="43">
        <v>-12.078037999999999</v>
      </c>
      <c r="F945" s="43">
        <v>-77.084721999999999</v>
      </c>
      <c r="G945" s="43">
        <v>-12.074093</v>
      </c>
      <c r="H945" s="43">
        <v>-77.098994000000005</v>
      </c>
      <c r="I945" s="43">
        <v>-12.052765000000001</v>
      </c>
      <c r="J945" s="43">
        <v>-77.098063999999994</v>
      </c>
    </row>
    <row r="946" spans="1:10" x14ac:dyDescent="0.25">
      <c r="A946" s="15" t="s">
        <v>4314</v>
      </c>
      <c r="B946" s="15" t="s">
        <v>4320</v>
      </c>
      <c r="C946" s="40">
        <v>16.547999999999998</v>
      </c>
      <c r="D946" s="29">
        <v>2.1527777777777778E-2</v>
      </c>
      <c r="E946" s="41">
        <v>-12.086696</v>
      </c>
      <c r="F946" s="41">
        <v>-77.062949000000003</v>
      </c>
      <c r="G946" s="41">
        <v>-12.085058</v>
      </c>
      <c r="H946" s="41">
        <v>-76.981831999999997</v>
      </c>
      <c r="I946" s="41">
        <v>-12.073001</v>
      </c>
      <c r="J946" s="41">
        <v>-76.973752000000005</v>
      </c>
    </row>
    <row r="947" spans="1:10" x14ac:dyDescent="0.25">
      <c r="A947" s="15" t="s">
        <v>4314</v>
      </c>
      <c r="B947" s="15" t="s">
        <v>4321</v>
      </c>
      <c r="C947" s="42">
        <v>27.201000000000001</v>
      </c>
      <c r="D947" s="25">
        <v>3.4027777777777775E-2</v>
      </c>
      <c r="E947" s="43">
        <v>-12.057228</v>
      </c>
      <c r="F947" s="43">
        <v>-77.079847999999998</v>
      </c>
      <c r="G947" s="43">
        <v>-12.028202</v>
      </c>
      <c r="H947" s="43">
        <v>-77.069072000000006</v>
      </c>
      <c r="I947" s="43">
        <v>-12.009463999999999</v>
      </c>
      <c r="J947" s="43">
        <v>-77.060941999999997</v>
      </c>
    </row>
    <row r="948" spans="1:10" x14ac:dyDescent="0.25">
      <c r="A948" s="15" t="s">
        <v>4314</v>
      </c>
      <c r="B948" s="15" t="s">
        <v>4322</v>
      </c>
      <c r="C948" s="40">
        <v>17.684999999999999</v>
      </c>
      <c r="D948" s="29">
        <v>2.0833333333333332E-2</v>
      </c>
      <c r="E948" s="41">
        <v>-12.091618</v>
      </c>
      <c r="F948" s="41">
        <v>-77.085443999999995</v>
      </c>
      <c r="G948" s="41">
        <v>-12.119182</v>
      </c>
      <c r="H948" s="41">
        <v>-77.046054999999996</v>
      </c>
      <c r="I948" s="41">
        <v>-12.147320000000001</v>
      </c>
      <c r="J948" s="41">
        <v>-77.024918</v>
      </c>
    </row>
    <row r="949" spans="1:10" x14ac:dyDescent="0.25">
      <c r="A949" s="15" t="s">
        <v>4314</v>
      </c>
      <c r="B949" s="15" t="s">
        <v>4323</v>
      </c>
      <c r="C949" s="42">
        <v>18.195</v>
      </c>
      <c r="D949" s="25">
        <v>2.2222222222222223E-2</v>
      </c>
      <c r="E949" s="43">
        <v>-12.091856</v>
      </c>
      <c r="F949" s="43">
        <v>-77.085295000000002</v>
      </c>
      <c r="G949" s="43">
        <v>-12.121097000000001</v>
      </c>
      <c r="H949" s="43">
        <v>-77.045184000000006</v>
      </c>
      <c r="I949" s="43">
        <v>-12.151467999999999</v>
      </c>
      <c r="J949" s="43">
        <v>-77.024715</v>
      </c>
    </row>
    <row r="950" spans="1:10" x14ac:dyDescent="0.25">
      <c r="A950" s="15" t="s">
        <v>4314</v>
      </c>
      <c r="B950" s="15" t="s">
        <v>4324</v>
      </c>
      <c r="C950" s="40">
        <v>2.9710000000000001</v>
      </c>
      <c r="D950" s="29">
        <v>6.9444444444444441E-3</v>
      </c>
      <c r="E950" s="41">
        <v>-12.076548000000001</v>
      </c>
      <c r="F950" s="41">
        <v>-77.084249</v>
      </c>
      <c r="G950" s="41">
        <v>-12.076271999999999</v>
      </c>
      <c r="H950" s="41">
        <v>-77.074156000000002</v>
      </c>
      <c r="I950" s="41">
        <v>-12.075701</v>
      </c>
      <c r="J950" s="41">
        <v>-77.065292999999997</v>
      </c>
    </row>
    <row r="951" spans="1:10" x14ac:dyDescent="0.25">
      <c r="A951" s="15" t="s">
        <v>4314</v>
      </c>
      <c r="B951" s="15" t="s">
        <v>4325</v>
      </c>
      <c r="C951" s="42">
        <v>23.131</v>
      </c>
      <c r="D951" s="25">
        <v>3.125E-2</v>
      </c>
      <c r="E951" s="43">
        <v>-12.087486999999999</v>
      </c>
      <c r="F951" s="43">
        <v>-76.998773999999997</v>
      </c>
      <c r="G951" s="43">
        <v>-12.12786</v>
      </c>
      <c r="H951" s="43">
        <v>-76.976710999999995</v>
      </c>
      <c r="I951" s="43">
        <v>-12.142108</v>
      </c>
      <c r="J951" s="43">
        <v>-76.958974999999995</v>
      </c>
    </row>
    <row r="952" spans="1:10" x14ac:dyDescent="0.25">
      <c r="A952" s="15" t="s">
        <v>4314</v>
      </c>
      <c r="B952" s="15" t="s">
        <v>4268</v>
      </c>
      <c r="C952" s="40">
        <v>15.326000000000001</v>
      </c>
      <c r="D952" s="29">
        <v>1.8055555555555554E-2</v>
      </c>
      <c r="E952" s="41">
        <v>-12.059946999999999</v>
      </c>
      <c r="F952" s="41">
        <v>-77.079126000000002</v>
      </c>
      <c r="G952" s="41">
        <v>-12.036757</v>
      </c>
      <c r="H952" s="41">
        <v>-77.055087999999998</v>
      </c>
      <c r="I952" s="41">
        <v>-12.043358</v>
      </c>
      <c r="J952" s="41">
        <v>-77.017360999999994</v>
      </c>
    </row>
    <row r="953" spans="1:10" x14ac:dyDescent="0.25">
      <c r="A953" s="15" t="s">
        <v>4315</v>
      </c>
      <c r="B953" s="15" t="s">
        <v>4267</v>
      </c>
      <c r="C953" s="42">
        <v>14.679</v>
      </c>
      <c r="D953" s="25">
        <v>1.5972222222222221E-2</v>
      </c>
      <c r="E953" s="43">
        <v>-12.088260999999999</v>
      </c>
      <c r="F953" s="43">
        <v>-76.981106999999994</v>
      </c>
      <c r="G953" s="43">
        <v>-12.086589</v>
      </c>
      <c r="H953" s="43">
        <v>-76.996032</v>
      </c>
      <c r="I953" s="43">
        <v>-12.079159000000001</v>
      </c>
      <c r="J953" s="43">
        <v>-77.027724000000006</v>
      </c>
    </row>
    <row r="954" spans="1:10" x14ac:dyDescent="0.25">
      <c r="A954" s="15" t="s">
        <v>4315</v>
      </c>
      <c r="B954" s="15" t="s">
        <v>4280</v>
      </c>
      <c r="C954" s="40">
        <v>13.728</v>
      </c>
      <c r="D954" s="29">
        <v>1.6666666666666666E-2</v>
      </c>
      <c r="E954" s="41">
        <v>-12.135344999999999</v>
      </c>
      <c r="F954" s="41">
        <v>-76.979939000000002</v>
      </c>
      <c r="G954" s="41">
        <v>-12.172192000000001</v>
      </c>
      <c r="H954" s="41">
        <v>-76.981688000000005</v>
      </c>
      <c r="I954" s="41">
        <v>-12.183571000000001</v>
      </c>
      <c r="J954" s="41">
        <v>-77.000992999999994</v>
      </c>
    </row>
    <row r="955" spans="1:10" x14ac:dyDescent="0.25">
      <c r="A955" s="15" t="s">
        <v>4315</v>
      </c>
      <c r="B955" s="15" t="s">
        <v>4281</v>
      </c>
      <c r="C955" s="42">
        <v>9.4670000000000005</v>
      </c>
      <c r="D955" s="25">
        <v>1.1111111111111112E-2</v>
      </c>
      <c r="E955" s="43">
        <v>-12.108392</v>
      </c>
      <c r="F955" s="43">
        <v>-76.978335000000001</v>
      </c>
      <c r="G955" s="43">
        <v>-12.084008000000001</v>
      </c>
      <c r="H955" s="43">
        <v>-76.973605000000006</v>
      </c>
      <c r="I955" s="43">
        <v>-12.070800999999999</v>
      </c>
      <c r="J955" s="43">
        <v>-76.954203000000007</v>
      </c>
    </row>
    <row r="956" spans="1:10" x14ac:dyDescent="0.25">
      <c r="A956" s="15" t="s">
        <v>4315</v>
      </c>
      <c r="B956" s="15" t="s">
        <v>4296</v>
      </c>
      <c r="C956" s="40">
        <v>15.401</v>
      </c>
      <c r="D956" s="29">
        <v>1.5277777777777777E-2</v>
      </c>
      <c r="E956" s="41">
        <v>-12.085869000000001</v>
      </c>
      <c r="F956" s="41">
        <v>-76.982176999999993</v>
      </c>
      <c r="G956" s="41">
        <v>-12.09027</v>
      </c>
      <c r="H956" s="41">
        <v>-77.019615000000002</v>
      </c>
      <c r="I956" s="41">
        <v>-12.059372</v>
      </c>
      <c r="J956" s="41">
        <v>-77.036098999999993</v>
      </c>
    </row>
    <row r="957" spans="1:10" x14ac:dyDescent="0.25">
      <c r="A957" s="15" t="s">
        <v>4315</v>
      </c>
      <c r="B957" s="15" t="s">
        <v>4297</v>
      </c>
      <c r="C957" s="42">
        <v>9.6950000000000003</v>
      </c>
      <c r="D957" s="25">
        <v>1.1111111111111112E-2</v>
      </c>
      <c r="E957" s="43">
        <v>-12.090525</v>
      </c>
      <c r="F957" s="43">
        <v>-76.980827000000005</v>
      </c>
      <c r="G957" s="43">
        <v>-12.085720999999999</v>
      </c>
      <c r="H957" s="43">
        <v>-76.987510999999998</v>
      </c>
      <c r="I957" s="43">
        <v>-12.081877</v>
      </c>
      <c r="J957" s="43">
        <v>-77.004642000000004</v>
      </c>
    </row>
    <row r="958" spans="1:10" x14ac:dyDescent="0.25">
      <c r="A958" s="15" t="s">
        <v>4315</v>
      </c>
      <c r="B958" s="15" t="s">
        <v>4298</v>
      </c>
      <c r="C958" s="40">
        <v>5.6680000000000001</v>
      </c>
      <c r="D958" s="29">
        <v>9.0277777777777769E-3</v>
      </c>
      <c r="E958" s="41">
        <v>-12.108363000000001</v>
      </c>
      <c r="F958" s="41">
        <v>-76.969813000000002</v>
      </c>
      <c r="G958" s="41">
        <v>-12.109249</v>
      </c>
      <c r="H958" s="41">
        <v>-76.971228999999994</v>
      </c>
      <c r="I958" s="41">
        <v>-12.109735000000001</v>
      </c>
      <c r="J958" s="41">
        <v>-76.972589999999997</v>
      </c>
    </row>
    <row r="959" spans="1:10" x14ac:dyDescent="0.25">
      <c r="A959" s="15" t="s">
        <v>4315</v>
      </c>
      <c r="B959" s="15" t="s">
        <v>4299</v>
      </c>
      <c r="C959" s="42">
        <v>12.878</v>
      </c>
      <c r="D959" s="25">
        <v>1.3194444444444444E-2</v>
      </c>
      <c r="E959" s="43">
        <v>-12.087759</v>
      </c>
      <c r="F959" s="43">
        <v>-76.981299000000007</v>
      </c>
      <c r="G959" s="43">
        <v>-12.08681</v>
      </c>
      <c r="H959" s="43">
        <v>-76.997433999999998</v>
      </c>
      <c r="I959" s="43">
        <v>-12.102895999999999</v>
      </c>
      <c r="J959" s="43">
        <v>-77.027494000000004</v>
      </c>
    </row>
    <row r="960" spans="1:10" x14ac:dyDescent="0.25">
      <c r="A960" s="15" t="s">
        <v>4315</v>
      </c>
      <c r="B960" s="15" t="s">
        <v>4300</v>
      </c>
      <c r="C960" s="40">
        <v>1.5409999999999999</v>
      </c>
      <c r="D960" s="29">
        <v>3.472222222222222E-3</v>
      </c>
      <c r="E960" s="41">
        <v>-12.109249</v>
      </c>
      <c r="F960" s="41">
        <v>-76.971228999999994</v>
      </c>
      <c r="G960" s="41">
        <v>-12.108738000000001</v>
      </c>
      <c r="H960" s="41">
        <v>-76.972275999999994</v>
      </c>
      <c r="I960" s="41">
        <v>-12.101623</v>
      </c>
      <c r="J960" s="41">
        <v>-76.970088000000004</v>
      </c>
    </row>
    <row r="961" spans="1:10" x14ac:dyDescent="0.25">
      <c r="A961" s="15" t="s">
        <v>4315</v>
      </c>
      <c r="B961" s="15" t="s">
        <v>4301</v>
      </c>
      <c r="C961" s="42">
        <v>31.984999999999999</v>
      </c>
      <c r="D961" s="25">
        <v>2.5000000000000001E-2</v>
      </c>
      <c r="E961" s="43">
        <v>-12.080475</v>
      </c>
      <c r="F961" s="43">
        <v>-76.977480999999997</v>
      </c>
      <c r="G961" s="43">
        <v>-12.029512</v>
      </c>
      <c r="H961" s="43">
        <v>-76.995079000000004</v>
      </c>
      <c r="I961" s="43">
        <v>-12.038017999999999</v>
      </c>
      <c r="J961" s="43">
        <v>-77.038489999999996</v>
      </c>
    </row>
    <row r="962" spans="1:10" x14ac:dyDescent="0.25">
      <c r="A962" s="15" t="s">
        <v>4315</v>
      </c>
      <c r="B962" s="15" t="s">
        <v>4302</v>
      </c>
      <c r="C962" s="40">
        <v>4.907</v>
      </c>
      <c r="D962" s="29">
        <v>7.6388888888888886E-3</v>
      </c>
      <c r="E962" s="41">
        <v>-12.109249</v>
      </c>
      <c r="F962" s="41">
        <v>-76.971228999999994</v>
      </c>
      <c r="G962" s="41">
        <v>-12.110989</v>
      </c>
      <c r="H962" s="41">
        <v>-76.990447000000003</v>
      </c>
      <c r="I962" s="41">
        <v>-12.111495</v>
      </c>
      <c r="J962" s="41">
        <v>-76.999229</v>
      </c>
    </row>
    <row r="963" spans="1:10" x14ac:dyDescent="0.25">
      <c r="A963" s="15" t="s">
        <v>4315</v>
      </c>
      <c r="B963" s="15" t="s">
        <v>4303</v>
      </c>
      <c r="C963" s="42">
        <v>9.5960000000000001</v>
      </c>
      <c r="D963" s="25">
        <v>1.1111111111111112E-2</v>
      </c>
      <c r="E963" s="43">
        <v>-12.088260999999999</v>
      </c>
      <c r="F963" s="43">
        <v>-76.981106999999994</v>
      </c>
      <c r="G963" s="43">
        <v>-12.086589</v>
      </c>
      <c r="H963" s="43">
        <v>-76.996032</v>
      </c>
      <c r="I963" s="43">
        <v>-12.079836</v>
      </c>
      <c r="J963" s="43">
        <v>-77.008672000000004</v>
      </c>
    </row>
    <row r="964" spans="1:10" x14ac:dyDescent="0.25">
      <c r="A964" s="15" t="s">
        <v>4315</v>
      </c>
      <c r="B964" s="15" t="s">
        <v>4304</v>
      </c>
      <c r="C964" s="40">
        <v>9.1790000000000003</v>
      </c>
      <c r="D964" s="29">
        <v>1.0416666666666666E-2</v>
      </c>
      <c r="E964" s="41">
        <v>-12.090525</v>
      </c>
      <c r="F964" s="41">
        <v>-76.980827000000005</v>
      </c>
      <c r="G964" s="41">
        <v>-12.085720999999999</v>
      </c>
      <c r="H964" s="41">
        <v>-76.987510999999998</v>
      </c>
      <c r="I964" s="41">
        <v>-12.081877</v>
      </c>
      <c r="J964" s="41">
        <v>-77.004642000000004</v>
      </c>
    </row>
    <row r="965" spans="1:10" x14ac:dyDescent="0.25">
      <c r="A965" s="15" t="s">
        <v>4315</v>
      </c>
      <c r="B965" s="15" t="s">
        <v>4269</v>
      </c>
      <c r="C965" s="42">
        <v>15.545</v>
      </c>
      <c r="D965" s="25">
        <v>1.8749999999999999E-2</v>
      </c>
      <c r="E965" s="43">
        <v>-12.108392</v>
      </c>
      <c r="F965" s="43">
        <v>-76.978335000000001</v>
      </c>
      <c r="G965" s="43">
        <v>-12.084255000000001</v>
      </c>
      <c r="H965" s="43">
        <v>-76.980714000000006</v>
      </c>
      <c r="I965" s="43">
        <v>-12.087743</v>
      </c>
      <c r="J965" s="43">
        <v>-77.001643999999999</v>
      </c>
    </row>
    <row r="966" spans="1:10" x14ac:dyDescent="0.25">
      <c r="A966" s="15" t="s">
        <v>4315</v>
      </c>
      <c r="B966" s="15" t="s">
        <v>4305</v>
      </c>
      <c r="C966" s="40">
        <v>14.391999999999999</v>
      </c>
      <c r="D966" s="29">
        <v>1.4583333333333334E-2</v>
      </c>
      <c r="E966" s="41">
        <v>-12.084977</v>
      </c>
      <c r="F966" s="41">
        <v>-76.982032000000004</v>
      </c>
      <c r="G966" s="41">
        <v>-12.090422999999999</v>
      </c>
      <c r="H966" s="41">
        <v>-77.022125000000003</v>
      </c>
      <c r="I966" s="41">
        <v>-12.059982</v>
      </c>
      <c r="J966" s="41">
        <v>-77.041065000000003</v>
      </c>
    </row>
    <row r="967" spans="1:10" x14ac:dyDescent="0.25">
      <c r="A967" s="15" t="s">
        <v>4315</v>
      </c>
      <c r="B967" s="15" t="s">
        <v>4306</v>
      </c>
      <c r="C967" s="42">
        <v>4.0750000000000002</v>
      </c>
      <c r="D967" s="25">
        <v>4.8611111111111112E-3</v>
      </c>
      <c r="E967" s="43">
        <v>-12.110170999999999</v>
      </c>
      <c r="F967" s="43">
        <v>-76.978758999999997</v>
      </c>
      <c r="G967" s="43">
        <v>-12.109344</v>
      </c>
      <c r="H967" s="43">
        <v>-76.978605000000002</v>
      </c>
      <c r="I967" s="43">
        <v>-12.128666000000001</v>
      </c>
      <c r="J967" s="43">
        <v>-76.977340999999996</v>
      </c>
    </row>
    <row r="968" spans="1:10" x14ac:dyDescent="0.25">
      <c r="A968" s="15" t="s">
        <v>4315</v>
      </c>
      <c r="B968" s="15" t="s">
        <v>4277</v>
      </c>
      <c r="C968" s="40">
        <v>11.084</v>
      </c>
      <c r="D968" s="29">
        <v>1.0416666666666666E-2</v>
      </c>
      <c r="E968" s="41">
        <v>-12.109783999999999</v>
      </c>
      <c r="F968" s="41">
        <v>-76.978012000000007</v>
      </c>
      <c r="G968" s="41">
        <v>-12.084977</v>
      </c>
      <c r="H968" s="41">
        <v>-76.982032000000004</v>
      </c>
      <c r="I968" s="41">
        <v>-12.086781</v>
      </c>
      <c r="J968" s="41">
        <v>-76.994743999999997</v>
      </c>
    </row>
    <row r="969" spans="1:10" x14ac:dyDescent="0.25">
      <c r="A969" s="15" t="s">
        <v>4315</v>
      </c>
      <c r="B969" s="15" t="s">
        <v>4307</v>
      </c>
      <c r="C969" s="42">
        <v>11.848000000000001</v>
      </c>
      <c r="D969" s="25">
        <v>1.2500000000000001E-2</v>
      </c>
      <c r="E969" s="43">
        <v>-12.108392</v>
      </c>
      <c r="F969" s="43">
        <v>-76.978335000000001</v>
      </c>
      <c r="G969" s="43">
        <v>-12.073001</v>
      </c>
      <c r="H969" s="43">
        <v>-76.973752000000005</v>
      </c>
      <c r="I969" s="43">
        <v>-12.042341</v>
      </c>
      <c r="J969" s="43">
        <v>-76.986366000000004</v>
      </c>
    </row>
    <row r="970" spans="1:10" x14ac:dyDescent="0.25">
      <c r="A970" s="15" t="s">
        <v>4315</v>
      </c>
      <c r="B970" s="15" t="s">
        <v>4308</v>
      </c>
      <c r="C970" s="40">
        <v>17.047000000000001</v>
      </c>
      <c r="D970" s="29">
        <v>2.0833333333333332E-2</v>
      </c>
      <c r="E970" s="41">
        <v>-12.091003000000001</v>
      </c>
      <c r="F970" s="41">
        <v>-76.980828000000002</v>
      </c>
      <c r="G970" s="41">
        <v>-12.084856</v>
      </c>
      <c r="H970" s="41">
        <v>-76.981634999999997</v>
      </c>
      <c r="I970" s="41">
        <v>-12.086340999999999</v>
      </c>
      <c r="J970" s="41">
        <v>-77.063238999999996</v>
      </c>
    </row>
    <row r="971" spans="1:10" x14ac:dyDescent="0.25">
      <c r="A971" s="15" t="s">
        <v>4315</v>
      </c>
      <c r="B971" s="15" t="s">
        <v>4309</v>
      </c>
      <c r="C971" s="42">
        <v>11.275</v>
      </c>
      <c r="D971" s="25">
        <v>9.7222222222222224E-3</v>
      </c>
      <c r="E971" s="43">
        <v>-12.107683</v>
      </c>
      <c r="F971" s="43">
        <v>-76.978523999999993</v>
      </c>
      <c r="G971" s="43">
        <v>-12.084635</v>
      </c>
      <c r="H971" s="43">
        <v>-76.980838000000006</v>
      </c>
      <c r="I971" s="43">
        <v>-12.090366</v>
      </c>
      <c r="J971" s="43">
        <v>-77.020895999999993</v>
      </c>
    </row>
    <row r="972" spans="1:10" x14ac:dyDescent="0.25">
      <c r="A972" s="15" t="s">
        <v>4315</v>
      </c>
      <c r="B972" s="15" t="s">
        <v>4278</v>
      </c>
      <c r="C972" s="40">
        <v>23.533999999999999</v>
      </c>
      <c r="D972" s="29">
        <v>1.9444444444444445E-2</v>
      </c>
      <c r="E972" s="41">
        <v>-12.080475</v>
      </c>
      <c r="F972" s="41">
        <v>-76.977480999999997</v>
      </c>
      <c r="G972" s="41">
        <v>-12.029382999999999</v>
      </c>
      <c r="H972" s="41">
        <v>-76.995318999999995</v>
      </c>
      <c r="I972" s="41">
        <v>-12.035731999999999</v>
      </c>
      <c r="J972" s="41">
        <v>-77.046904999999995</v>
      </c>
    </row>
    <row r="973" spans="1:10" x14ac:dyDescent="0.25">
      <c r="A973" s="15" t="s">
        <v>4315</v>
      </c>
      <c r="B973" s="15" t="s">
        <v>4310</v>
      </c>
      <c r="C973" s="42">
        <v>12.813000000000001</v>
      </c>
      <c r="D973" s="25">
        <v>1.2500000000000001E-2</v>
      </c>
      <c r="E973" s="43">
        <v>-12.091003000000001</v>
      </c>
      <c r="F973" s="43">
        <v>-76.980828000000002</v>
      </c>
      <c r="G973" s="43">
        <v>-12.065941</v>
      </c>
      <c r="H973" s="43">
        <v>-76.971232999999998</v>
      </c>
      <c r="I973" s="43">
        <v>-12.030612</v>
      </c>
      <c r="J973" s="43">
        <v>-76.993185999999994</v>
      </c>
    </row>
    <row r="974" spans="1:10" x14ac:dyDescent="0.25">
      <c r="A974" s="15" t="s">
        <v>4315</v>
      </c>
      <c r="B974" s="15" t="s">
        <v>4311</v>
      </c>
      <c r="C974" s="40">
        <v>13.17</v>
      </c>
      <c r="D974" s="29">
        <v>1.3194444444444444E-2</v>
      </c>
      <c r="E974" s="41">
        <v>-12.086551999999999</v>
      </c>
      <c r="F974" s="41">
        <v>-76.981955999999997</v>
      </c>
      <c r="G974" s="41">
        <v>-12.087396</v>
      </c>
      <c r="H974" s="41">
        <v>-76.998741999999993</v>
      </c>
      <c r="I974" s="41">
        <v>-12.065011999999999</v>
      </c>
      <c r="J974" s="41">
        <v>-77.033253000000002</v>
      </c>
    </row>
    <row r="975" spans="1:10" x14ac:dyDescent="0.25">
      <c r="A975" s="15" t="s">
        <v>4315</v>
      </c>
      <c r="B975" s="15" t="s">
        <v>4312</v>
      </c>
      <c r="C975" s="42">
        <v>9.9039999999999999</v>
      </c>
      <c r="D975" s="25">
        <v>1.1805555555555555E-2</v>
      </c>
      <c r="E975" s="43">
        <v>-12.090525</v>
      </c>
      <c r="F975" s="43">
        <v>-76.980827000000005</v>
      </c>
      <c r="G975" s="43">
        <v>-12.085720999999999</v>
      </c>
      <c r="H975" s="43">
        <v>-76.987510999999998</v>
      </c>
      <c r="I975" s="43">
        <v>-12.081877</v>
      </c>
      <c r="J975" s="43">
        <v>-77.004642000000004</v>
      </c>
    </row>
    <row r="976" spans="1:10" x14ac:dyDescent="0.25">
      <c r="A976" s="15" t="s">
        <v>4315</v>
      </c>
      <c r="B976" s="15" t="s">
        <v>4313</v>
      </c>
      <c r="C976" s="40">
        <v>15.513</v>
      </c>
      <c r="D976" s="29">
        <v>1.5972222222222221E-2</v>
      </c>
      <c r="E976" s="41">
        <v>-12.084977</v>
      </c>
      <c r="F976" s="41">
        <v>-76.982032000000004</v>
      </c>
      <c r="G976" s="41">
        <v>-12.090422999999999</v>
      </c>
      <c r="H976" s="41">
        <v>-77.022125000000003</v>
      </c>
      <c r="I976" s="41">
        <v>-12.063283</v>
      </c>
      <c r="J976" s="41">
        <v>-77.034310000000005</v>
      </c>
    </row>
    <row r="977" spans="1:10" x14ac:dyDescent="0.25">
      <c r="A977" s="15" t="s">
        <v>4315</v>
      </c>
      <c r="B977" s="15" t="s">
        <v>4314</v>
      </c>
      <c r="C977" s="42">
        <v>15.907</v>
      </c>
      <c r="D977" s="25">
        <v>1.9444444444444445E-2</v>
      </c>
      <c r="E977" s="43">
        <v>-12.107683</v>
      </c>
      <c r="F977" s="43">
        <v>-76.978523999999993</v>
      </c>
      <c r="G977" s="43">
        <v>-12.084635</v>
      </c>
      <c r="H977" s="43">
        <v>-76.980838000000006</v>
      </c>
      <c r="I977" s="43">
        <v>-12.094606000000001</v>
      </c>
      <c r="J977" s="43">
        <v>-77.050668000000002</v>
      </c>
    </row>
    <row r="978" spans="1:10" x14ac:dyDescent="0.25">
      <c r="A978" s="15" t="s">
        <v>4315</v>
      </c>
      <c r="B978" s="15" t="s">
        <v>4315</v>
      </c>
      <c r="C978" s="40">
        <v>0</v>
      </c>
      <c r="D978" s="29">
        <v>0</v>
      </c>
      <c r="E978" s="41" t="e">
        <f>'1 ubicaciones'!#REF!</f>
        <v>#REF!</v>
      </c>
      <c r="F978" s="41" t="e">
        <f>'1 ubicaciones'!#REF!</f>
        <v>#REF!</v>
      </c>
      <c r="G978" s="41" t="e">
        <f>'1 ubicaciones'!#REF!</f>
        <v>#REF!</v>
      </c>
      <c r="H978" s="41" t="e">
        <f>'1 ubicaciones'!#REF!</f>
        <v>#REF!</v>
      </c>
      <c r="I978" s="41" t="e">
        <f>'1 ubicaciones'!#REF!</f>
        <v>#REF!</v>
      </c>
      <c r="J978" s="41" t="e">
        <f>'1 ubicaciones'!#REF!</f>
        <v>#REF!</v>
      </c>
    </row>
    <row r="979" spans="1:10" x14ac:dyDescent="0.25">
      <c r="A979" s="15" t="s">
        <v>4315</v>
      </c>
      <c r="B979" s="15" t="s">
        <v>4316</v>
      </c>
      <c r="C979" s="42">
        <v>12.832000000000001</v>
      </c>
      <c r="D979" s="25">
        <v>1.3888888888888888E-2</v>
      </c>
      <c r="E979" s="43">
        <v>-12.109783999999999</v>
      </c>
      <c r="F979" s="43">
        <v>-76.978012000000007</v>
      </c>
      <c r="G979" s="43">
        <v>-12.084977</v>
      </c>
      <c r="H979" s="43">
        <v>-76.982032000000004</v>
      </c>
      <c r="I979" s="43">
        <v>-12.086781</v>
      </c>
      <c r="J979" s="43">
        <v>-76.994743999999997</v>
      </c>
    </row>
    <row r="980" spans="1:10" x14ac:dyDescent="0.25">
      <c r="A980" s="15" t="s">
        <v>4315</v>
      </c>
      <c r="B980" s="15" t="s">
        <v>4317</v>
      </c>
      <c r="C980" s="40">
        <v>9.3610000000000007</v>
      </c>
      <c r="D980" s="29">
        <v>1.0416666666666666E-2</v>
      </c>
      <c r="E980" s="41">
        <v>-12.109624</v>
      </c>
      <c r="F980" s="41">
        <v>-76.979099000000005</v>
      </c>
      <c r="G980" s="41">
        <v>-12.136835</v>
      </c>
      <c r="H980" s="41">
        <v>-76.980429000000001</v>
      </c>
      <c r="I980" s="41">
        <v>-12.149718</v>
      </c>
      <c r="J980" s="41">
        <v>-76.984601999999995</v>
      </c>
    </row>
    <row r="981" spans="1:10" x14ac:dyDescent="0.25">
      <c r="A981" s="15" t="s">
        <v>4315</v>
      </c>
      <c r="B981" s="15" t="s">
        <v>4318</v>
      </c>
      <c r="C981" s="42">
        <v>7.3550000000000004</v>
      </c>
      <c r="D981" s="25">
        <v>7.6388888888888886E-3</v>
      </c>
      <c r="E981" s="43">
        <v>-12.109783999999999</v>
      </c>
      <c r="F981" s="43">
        <v>-76.978012000000007</v>
      </c>
      <c r="G981" s="43">
        <v>-12.084977</v>
      </c>
      <c r="H981" s="43">
        <v>-76.982032000000004</v>
      </c>
      <c r="I981" s="43">
        <v>-12.086781</v>
      </c>
      <c r="J981" s="43">
        <v>-76.994743999999997</v>
      </c>
    </row>
    <row r="982" spans="1:10" x14ac:dyDescent="0.25">
      <c r="A982" s="15" t="s">
        <v>4315</v>
      </c>
      <c r="B982" s="15" t="s">
        <v>4319</v>
      </c>
      <c r="C982" s="40">
        <v>3.8410000000000002</v>
      </c>
      <c r="D982" s="29">
        <v>6.9444444444444441E-3</v>
      </c>
      <c r="E982" s="41">
        <v>-12.109249</v>
      </c>
      <c r="F982" s="41">
        <v>-76.971228999999994</v>
      </c>
      <c r="G982" s="41">
        <v>-12.110911</v>
      </c>
      <c r="H982" s="41">
        <v>-76.989825999999994</v>
      </c>
      <c r="I982" s="41">
        <v>-12.110613000000001</v>
      </c>
      <c r="J982" s="41">
        <v>-76.993491000000006</v>
      </c>
    </row>
    <row r="983" spans="1:10" x14ac:dyDescent="0.25">
      <c r="A983" s="15" t="s">
        <v>4315</v>
      </c>
      <c r="B983" s="15" t="s">
        <v>4279</v>
      </c>
      <c r="C983" s="42">
        <v>25.515000000000001</v>
      </c>
      <c r="D983" s="25">
        <v>2.1527777777777778E-2</v>
      </c>
      <c r="E983" s="43">
        <v>-12.067361999999999</v>
      </c>
      <c r="F983" s="43">
        <v>-76.971562000000006</v>
      </c>
      <c r="G983" s="43">
        <v>-12.036421000000001</v>
      </c>
      <c r="H983" s="43">
        <v>-77.012482000000006</v>
      </c>
      <c r="I983" s="43">
        <v>-12.036633</v>
      </c>
      <c r="J983" s="43">
        <v>-77.055385000000001</v>
      </c>
    </row>
    <row r="984" spans="1:10" x14ac:dyDescent="0.25">
      <c r="A984" s="15" t="s">
        <v>4315</v>
      </c>
      <c r="B984" s="15" t="s">
        <v>4320</v>
      </c>
      <c r="C984" s="40">
        <v>7.7880000000000003</v>
      </c>
      <c r="D984" s="29">
        <v>8.3333333333333332E-3</v>
      </c>
      <c r="E984" s="41">
        <v>-12.109783999999999</v>
      </c>
      <c r="F984" s="41">
        <v>-76.978012000000007</v>
      </c>
      <c r="G984" s="41">
        <v>-12.084611000000001</v>
      </c>
      <c r="H984" s="41">
        <v>-76.981786999999997</v>
      </c>
      <c r="I984" s="41">
        <v>-12.062859</v>
      </c>
      <c r="J984" s="41">
        <v>-76.971422000000004</v>
      </c>
    </row>
    <row r="985" spans="1:10" x14ac:dyDescent="0.25">
      <c r="A985" s="15" t="s">
        <v>4315</v>
      </c>
      <c r="B985" s="15" t="s">
        <v>4321</v>
      </c>
      <c r="C985" s="42">
        <v>37.877000000000002</v>
      </c>
      <c r="D985" s="25">
        <v>3.3333333333333333E-2</v>
      </c>
      <c r="E985" s="43">
        <v>-12.067546999999999</v>
      </c>
      <c r="F985" s="43">
        <v>-76.971515999999994</v>
      </c>
      <c r="G985" s="43">
        <v>-12.039085</v>
      </c>
      <c r="H985" s="43">
        <v>-77.015058999999994</v>
      </c>
      <c r="I985" s="43">
        <v>-12.009463999999999</v>
      </c>
      <c r="J985" s="43">
        <v>-77.060941999999997</v>
      </c>
    </row>
    <row r="986" spans="1:10" x14ac:dyDescent="0.25">
      <c r="A986" s="15" t="s">
        <v>4315</v>
      </c>
      <c r="B986" s="15" t="s">
        <v>4322</v>
      </c>
      <c r="C986" s="40">
        <v>18.683</v>
      </c>
      <c r="D986" s="29">
        <v>1.5972222222222221E-2</v>
      </c>
      <c r="E986" s="41">
        <v>-12.109344</v>
      </c>
      <c r="F986" s="41">
        <v>-76.978605000000002</v>
      </c>
      <c r="G986" s="41">
        <v>-12.155306</v>
      </c>
      <c r="H986" s="41">
        <v>-76.983779999999996</v>
      </c>
      <c r="I986" s="41">
        <v>-12.217385999999999</v>
      </c>
      <c r="J986" s="41">
        <v>-76.979371</v>
      </c>
    </row>
    <row r="987" spans="1:10" x14ac:dyDescent="0.25">
      <c r="A987" s="15" t="s">
        <v>4315</v>
      </c>
      <c r="B987" s="15" t="s">
        <v>4323</v>
      </c>
      <c r="C987" s="42">
        <v>11.557</v>
      </c>
      <c r="D987" s="25">
        <v>1.3194444444444444E-2</v>
      </c>
      <c r="E987" s="43">
        <v>-12.109885</v>
      </c>
      <c r="F987" s="43">
        <v>-76.978375</v>
      </c>
      <c r="G987" s="43">
        <v>-12.161180999999999</v>
      </c>
      <c r="H987" s="43">
        <v>-76.982354999999998</v>
      </c>
      <c r="I987" s="43">
        <v>-12.173778</v>
      </c>
      <c r="J987" s="43">
        <v>-76.988288999999995</v>
      </c>
    </row>
    <row r="988" spans="1:10" x14ac:dyDescent="0.25">
      <c r="A988" s="15" t="s">
        <v>4315</v>
      </c>
      <c r="B988" s="15" t="s">
        <v>4324</v>
      </c>
      <c r="C988" s="40">
        <v>14.837999999999999</v>
      </c>
      <c r="D988" s="29">
        <v>1.8055555555555554E-2</v>
      </c>
      <c r="E988" s="41">
        <v>-12.091003000000001</v>
      </c>
      <c r="F988" s="41">
        <v>-76.980828000000002</v>
      </c>
      <c r="G988" s="41">
        <v>-12.084856</v>
      </c>
      <c r="H988" s="41">
        <v>-76.981634999999997</v>
      </c>
      <c r="I988" s="41">
        <v>-12.086340999999999</v>
      </c>
      <c r="J988" s="41">
        <v>-77.063238999999996</v>
      </c>
    </row>
    <row r="989" spans="1:10" x14ac:dyDescent="0.25">
      <c r="A989" s="15" t="s">
        <v>4315</v>
      </c>
      <c r="B989" s="15" t="s">
        <v>4325</v>
      </c>
      <c r="C989" s="42">
        <v>9.6010000000000009</v>
      </c>
      <c r="D989" s="25">
        <v>1.5277777777777777E-2</v>
      </c>
      <c r="E989" s="43">
        <v>-12.123927</v>
      </c>
      <c r="F989" s="43">
        <v>-76.977121999999994</v>
      </c>
      <c r="G989" s="43">
        <v>-12.148364000000001</v>
      </c>
      <c r="H989" s="43">
        <v>-76.969571999999999</v>
      </c>
      <c r="I989" s="43">
        <v>-12.140488</v>
      </c>
      <c r="J989" s="43">
        <v>-76.955409000000003</v>
      </c>
    </row>
    <row r="990" spans="1:10" x14ac:dyDescent="0.25">
      <c r="A990" s="15" t="s">
        <v>4315</v>
      </c>
      <c r="B990" s="15" t="s">
        <v>4268</v>
      </c>
      <c r="C990" s="40">
        <v>12.273999999999999</v>
      </c>
      <c r="D990" s="29">
        <v>1.1111111111111112E-2</v>
      </c>
      <c r="E990" s="41">
        <v>-12.091003000000001</v>
      </c>
      <c r="F990" s="41">
        <v>-76.980828000000002</v>
      </c>
      <c r="G990" s="41">
        <v>-12.065941</v>
      </c>
      <c r="H990" s="41">
        <v>-76.971232999999998</v>
      </c>
      <c r="I990" s="41">
        <v>-12.030612</v>
      </c>
      <c r="J990" s="41">
        <v>-76.993185999999994</v>
      </c>
    </row>
    <row r="991" spans="1:10" x14ac:dyDescent="0.25">
      <c r="A991" s="15" t="s">
        <v>4316</v>
      </c>
      <c r="B991" s="15" t="s">
        <v>4267</v>
      </c>
      <c r="C991" s="42">
        <v>10.446999999999999</v>
      </c>
      <c r="D991" s="25">
        <v>1.5972222222222221E-2</v>
      </c>
      <c r="E991" s="43">
        <v>-12.095274</v>
      </c>
      <c r="F991" s="43">
        <v>-77.054299</v>
      </c>
      <c r="G991" s="43">
        <v>-12.091518000000001</v>
      </c>
      <c r="H991" s="43">
        <v>-77.022570000000002</v>
      </c>
      <c r="I991" s="43">
        <v>-12.059472</v>
      </c>
      <c r="J991" s="43">
        <v>-77.035437000000002</v>
      </c>
    </row>
    <row r="992" spans="1:10" x14ac:dyDescent="0.25">
      <c r="A992" s="15" t="s">
        <v>4316</v>
      </c>
      <c r="B992" s="15" t="s">
        <v>4280</v>
      </c>
      <c r="C992" s="40">
        <v>12.97</v>
      </c>
      <c r="D992" s="29">
        <v>1.4583333333333334E-2</v>
      </c>
      <c r="E992" s="41">
        <v>-12.108349</v>
      </c>
      <c r="F992" s="41">
        <v>-77.058456000000007</v>
      </c>
      <c r="G992" s="41">
        <v>-12.131237</v>
      </c>
      <c r="H992" s="41">
        <v>-77.033829999999995</v>
      </c>
      <c r="I992" s="41">
        <v>-12.161906</v>
      </c>
      <c r="J992" s="41">
        <v>-77.025818000000001</v>
      </c>
    </row>
    <row r="993" spans="1:10" x14ac:dyDescent="0.25">
      <c r="A993" s="15" t="s">
        <v>4316</v>
      </c>
      <c r="B993" s="15" t="s">
        <v>4281</v>
      </c>
      <c r="C993" s="42">
        <v>14.446</v>
      </c>
      <c r="D993" s="25">
        <v>1.8055555555555554E-2</v>
      </c>
      <c r="E993" s="43">
        <v>-12.092366999999999</v>
      </c>
      <c r="F993" s="43">
        <v>-77.033585000000002</v>
      </c>
      <c r="G993" s="43">
        <v>-12.084008000000001</v>
      </c>
      <c r="H993" s="43">
        <v>-76.973605000000006</v>
      </c>
      <c r="I993" s="43">
        <v>-12.071040999999999</v>
      </c>
      <c r="J993" s="43">
        <v>-76.955347000000003</v>
      </c>
    </row>
    <row r="994" spans="1:10" x14ac:dyDescent="0.25">
      <c r="A994" s="15" t="s">
        <v>4316</v>
      </c>
      <c r="B994" s="15" t="s">
        <v>4296</v>
      </c>
      <c r="C994" s="40">
        <v>4.383</v>
      </c>
      <c r="D994" s="29">
        <v>9.0277777777777769E-3</v>
      </c>
      <c r="E994" s="41">
        <v>-12.093562</v>
      </c>
      <c r="F994" s="41">
        <v>-77.059252000000001</v>
      </c>
      <c r="G994" s="41">
        <v>-12.088573999999999</v>
      </c>
      <c r="H994" s="41">
        <v>-77.063016000000005</v>
      </c>
      <c r="I994" s="41">
        <v>-12.075123</v>
      </c>
      <c r="J994" s="41">
        <v>-77.053808000000004</v>
      </c>
    </row>
    <row r="995" spans="1:10" x14ac:dyDescent="0.25">
      <c r="A995" s="15" t="s">
        <v>4316</v>
      </c>
      <c r="B995" s="15" t="s">
        <v>4297</v>
      </c>
      <c r="C995" s="42">
        <v>9.0180000000000007</v>
      </c>
      <c r="D995" s="25">
        <v>1.3888888888888888E-2</v>
      </c>
      <c r="E995" s="43">
        <v>-12.095274</v>
      </c>
      <c r="F995" s="43">
        <v>-77.054299</v>
      </c>
      <c r="G995" s="43">
        <v>-12.091443999999999</v>
      </c>
      <c r="H995" s="43">
        <v>-77.022609000000003</v>
      </c>
      <c r="I995" s="43">
        <v>-12.076449999999999</v>
      </c>
      <c r="J995" s="43">
        <v>-77.027393000000004</v>
      </c>
    </row>
    <row r="996" spans="1:10" x14ac:dyDescent="0.25">
      <c r="A996" s="15" t="s">
        <v>4316</v>
      </c>
      <c r="B996" s="15" t="s">
        <v>4298</v>
      </c>
      <c r="C996" s="40">
        <v>6.5529999999999999</v>
      </c>
      <c r="D996" s="29">
        <v>1.1805555555555555E-2</v>
      </c>
      <c r="E996" s="41">
        <v>-12.094809</v>
      </c>
      <c r="F996" s="41">
        <v>-77.055408999999997</v>
      </c>
      <c r="G996" s="41">
        <v>-12.093985</v>
      </c>
      <c r="H996" s="41">
        <v>-77.026661000000004</v>
      </c>
      <c r="I996" s="41">
        <v>-12.094775</v>
      </c>
      <c r="J996" s="41">
        <v>-77.023775000000001</v>
      </c>
    </row>
    <row r="997" spans="1:10" x14ac:dyDescent="0.25">
      <c r="A997" s="15" t="s">
        <v>4316</v>
      </c>
      <c r="B997" s="15" t="s">
        <v>4299</v>
      </c>
      <c r="C997" s="42">
        <v>4.1660000000000004</v>
      </c>
      <c r="D997" s="25">
        <v>7.6388888888888886E-3</v>
      </c>
      <c r="E997" s="43">
        <v>-12.09897</v>
      </c>
      <c r="F997" s="43">
        <v>-77.053426000000002</v>
      </c>
      <c r="G997" s="43">
        <v>-12.100737000000001</v>
      </c>
      <c r="H997" s="43">
        <v>-77.038066000000001</v>
      </c>
      <c r="I997" s="43">
        <v>-12.107758</v>
      </c>
      <c r="J997" s="43">
        <v>-77.039410000000004</v>
      </c>
    </row>
    <row r="998" spans="1:10" x14ac:dyDescent="0.25">
      <c r="A998" s="15" t="s">
        <v>4316</v>
      </c>
      <c r="B998" s="15" t="s">
        <v>4300</v>
      </c>
      <c r="C998" s="40">
        <v>11.314</v>
      </c>
      <c r="D998" s="29">
        <v>1.3888888888888888E-2</v>
      </c>
      <c r="E998" s="41">
        <v>-12.095238</v>
      </c>
      <c r="F998" s="41">
        <v>-77.054525999999996</v>
      </c>
      <c r="G998" s="41">
        <v>-12.085989</v>
      </c>
      <c r="H998" s="41">
        <v>-76.987696999999997</v>
      </c>
      <c r="I998" s="41">
        <v>-12.098379</v>
      </c>
      <c r="J998" s="41">
        <v>-76.980193999999997</v>
      </c>
    </row>
    <row r="999" spans="1:10" x14ac:dyDescent="0.25">
      <c r="A999" s="15" t="s">
        <v>4316</v>
      </c>
      <c r="B999" s="15" t="s">
        <v>4301</v>
      </c>
      <c r="C999" s="42">
        <v>26.681999999999999</v>
      </c>
      <c r="D999" s="25">
        <v>3.125E-2</v>
      </c>
      <c r="E999" s="43">
        <v>-12.091398999999999</v>
      </c>
      <c r="F999" s="43">
        <v>-77.022058999999999</v>
      </c>
      <c r="G999" s="43">
        <v>-12.059748000000001</v>
      </c>
      <c r="H999" s="43">
        <v>-77.037045000000006</v>
      </c>
      <c r="I999" s="43">
        <v>-12.03608</v>
      </c>
      <c r="J999" s="43">
        <v>-77.044940999999994</v>
      </c>
    </row>
    <row r="1000" spans="1:10" x14ac:dyDescent="0.25">
      <c r="A1000" s="15" t="s">
        <v>4316</v>
      </c>
      <c r="B1000" s="15" t="s">
        <v>4302</v>
      </c>
      <c r="C1000" s="40">
        <v>7.3579999999999997</v>
      </c>
      <c r="D1000" s="29">
        <v>1.2500000000000001E-2</v>
      </c>
      <c r="E1000" s="41">
        <v>-12.096539</v>
      </c>
      <c r="F1000" s="41">
        <v>-77.056298999999996</v>
      </c>
      <c r="G1000" s="41">
        <v>-12.095238</v>
      </c>
      <c r="H1000" s="41">
        <v>-77.054525999999996</v>
      </c>
      <c r="I1000" s="41">
        <v>-12.089136</v>
      </c>
      <c r="J1000" s="41">
        <v>-77.010501000000005</v>
      </c>
    </row>
    <row r="1001" spans="1:10" x14ac:dyDescent="0.25">
      <c r="A1001" s="15" t="s">
        <v>4316</v>
      </c>
      <c r="B1001" s="15" t="s">
        <v>4303</v>
      </c>
      <c r="C1001" s="42">
        <v>8.7569999999999997</v>
      </c>
      <c r="D1001" s="25">
        <v>1.3888888888888888E-2</v>
      </c>
      <c r="E1001" s="43">
        <v>-12.095274</v>
      </c>
      <c r="F1001" s="43">
        <v>-77.054299</v>
      </c>
      <c r="G1001" s="43">
        <v>-12.091443999999999</v>
      </c>
      <c r="H1001" s="43">
        <v>-77.022609000000003</v>
      </c>
      <c r="I1001" s="43">
        <v>-12.076449999999999</v>
      </c>
      <c r="J1001" s="43">
        <v>-77.027393000000004</v>
      </c>
    </row>
    <row r="1002" spans="1:10" x14ac:dyDescent="0.25">
      <c r="A1002" s="15" t="s">
        <v>4316</v>
      </c>
      <c r="B1002" s="15" t="s">
        <v>4304</v>
      </c>
      <c r="C1002" s="40">
        <v>8.49</v>
      </c>
      <c r="D1002" s="29">
        <v>1.2500000000000001E-2</v>
      </c>
      <c r="E1002" s="41">
        <v>-12.095238</v>
      </c>
      <c r="F1002" s="41">
        <v>-77.054525999999996</v>
      </c>
      <c r="G1002" s="41">
        <v>-12.091606000000001</v>
      </c>
      <c r="H1002" s="41">
        <v>-77.022238000000002</v>
      </c>
      <c r="I1002" s="41">
        <v>-12.07709</v>
      </c>
      <c r="J1002" s="41">
        <v>-77.028385999999998</v>
      </c>
    </row>
    <row r="1003" spans="1:10" x14ac:dyDescent="0.25">
      <c r="A1003" s="15" t="s">
        <v>4316</v>
      </c>
      <c r="B1003" s="15" t="s">
        <v>4269</v>
      </c>
      <c r="C1003" s="42">
        <v>3.6880000000000002</v>
      </c>
      <c r="D1003" s="25">
        <v>8.3333333333333332E-3</v>
      </c>
      <c r="E1003" s="43">
        <v>-12.096031999999999</v>
      </c>
      <c r="F1003" s="43">
        <v>-77.059563999999995</v>
      </c>
      <c r="G1003" s="43">
        <v>-12.093056000000001</v>
      </c>
      <c r="H1003" s="43">
        <v>-77.061063000000004</v>
      </c>
      <c r="I1003" s="43">
        <v>-12.093954999999999</v>
      </c>
      <c r="J1003" s="43">
        <v>-77.069489000000004</v>
      </c>
    </row>
    <row r="1004" spans="1:10" x14ac:dyDescent="0.25">
      <c r="A1004" s="15" t="s">
        <v>4316</v>
      </c>
      <c r="B1004" s="15" t="s">
        <v>4305</v>
      </c>
      <c r="C1004" s="40">
        <v>6.4649999999999999</v>
      </c>
      <c r="D1004" s="29">
        <v>1.3888888888888888E-2</v>
      </c>
      <c r="E1004" s="41">
        <v>-12.093056000000001</v>
      </c>
      <c r="F1004" s="41">
        <v>-77.061063000000004</v>
      </c>
      <c r="G1004" s="41">
        <v>-12.081389</v>
      </c>
      <c r="H1004" s="41">
        <v>-77.058982</v>
      </c>
      <c r="I1004" s="41">
        <v>-12.061502000000001</v>
      </c>
      <c r="J1004" s="41">
        <v>-77.047954000000004</v>
      </c>
    </row>
    <row r="1005" spans="1:10" x14ac:dyDescent="0.25">
      <c r="A1005" s="15" t="s">
        <v>4316</v>
      </c>
      <c r="B1005" s="15" t="s">
        <v>4306</v>
      </c>
      <c r="C1005" s="42">
        <v>13.972</v>
      </c>
      <c r="D1005" s="25">
        <v>1.4583333333333334E-2</v>
      </c>
      <c r="E1005" s="43">
        <v>-12.094837999999999</v>
      </c>
      <c r="F1005" s="43">
        <v>-77.055351000000002</v>
      </c>
      <c r="G1005" s="43">
        <v>-12.086880000000001</v>
      </c>
      <c r="H1005" s="43">
        <v>-76.994710999999995</v>
      </c>
      <c r="I1005" s="43">
        <v>-12.090748</v>
      </c>
      <c r="J1005" s="43">
        <v>-76.981072999999995</v>
      </c>
    </row>
    <row r="1006" spans="1:10" x14ac:dyDescent="0.25">
      <c r="A1006" s="15" t="s">
        <v>4316</v>
      </c>
      <c r="B1006" s="15" t="s">
        <v>4277</v>
      </c>
      <c r="C1006" s="40">
        <v>2.1659999999999999</v>
      </c>
      <c r="D1006" s="29">
        <v>4.8611111111111112E-3</v>
      </c>
      <c r="E1006" s="41">
        <v>-12.097416000000001</v>
      </c>
      <c r="F1006" s="41">
        <v>-77.056748999999996</v>
      </c>
      <c r="G1006" s="41">
        <v>-12.094809</v>
      </c>
      <c r="H1006" s="41">
        <v>-77.055408999999997</v>
      </c>
      <c r="I1006" s="41">
        <v>-12.094296999999999</v>
      </c>
      <c r="J1006" s="41">
        <v>-77.047291999999999</v>
      </c>
    </row>
    <row r="1007" spans="1:10" x14ac:dyDescent="0.25">
      <c r="A1007" s="15" t="s">
        <v>4316</v>
      </c>
      <c r="B1007" s="15" t="s">
        <v>4307</v>
      </c>
      <c r="C1007" s="42">
        <v>16.975000000000001</v>
      </c>
      <c r="D1007" s="25">
        <v>1.8749999999999999E-2</v>
      </c>
      <c r="E1007" s="43">
        <v>-12.086795</v>
      </c>
      <c r="F1007" s="43">
        <v>-76.997088000000005</v>
      </c>
      <c r="G1007" s="43">
        <v>-12.085383</v>
      </c>
      <c r="H1007" s="43">
        <v>-76.982168999999999</v>
      </c>
      <c r="I1007" s="43">
        <v>-12.050679000000001</v>
      </c>
      <c r="J1007" s="43">
        <v>-76.977222999999995</v>
      </c>
    </row>
    <row r="1008" spans="1:10" x14ac:dyDescent="0.25">
      <c r="A1008" s="15" t="s">
        <v>4316</v>
      </c>
      <c r="B1008" s="15" t="s">
        <v>4308</v>
      </c>
      <c r="C1008" s="40">
        <v>7.798</v>
      </c>
      <c r="D1008" s="29">
        <v>1.1111111111111112E-2</v>
      </c>
      <c r="E1008" s="41">
        <v>-12.101017000000001</v>
      </c>
      <c r="F1008" s="41">
        <v>-77.060608000000002</v>
      </c>
      <c r="G1008" s="41">
        <v>-12.105710999999999</v>
      </c>
      <c r="H1008" s="41">
        <v>-77.061318999999997</v>
      </c>
      <c r="I1008" s="41">
        <v>-12.091759</v>
      </c>
      <c r="J1008" s="41">
        <v>-77.084706999999995</v>
      </c>
    </row>
    <row r="1009" spans="1:10" x14ac:dyDescent="0.25">
      <c r="A1009" s="15" t="s">
        <v>4316</v>
      </c>
      <c r="B1009" s="15" t="s">
        <v>4309</v>
      </c>
      <c r="C1009" s="42">
        <v>7.0430000000000001</v>
      </c>
      <c r="D1009" s="25">
        <v>1.0416666666666666E-2</v>
      </c>
      <c r="E1009" s="43">
        <v>-12.094809</v>
      </c>
      <c r="F1009" s="43">
        <v>-77.055408999999997</v>
      </c>
      <c r="G1009" s="43">
        <v>-12.091060000000001</v>
      </c>
      <c r="H1009" s="43">
        <v>-77.023769000000001</v>
      </c>
      <c r="I1009" s="43">
        <v>-12.090064</v>
      </c>
      <c r="J1009" s="43">
        <v>-77.022889000000006</v>
      </c>
    </row>
    <row r="1010" spans="1:10" x14ac:dyDescent="0.25">
      <c r="A1010" s="15" t="s">
        <v>4316</v>
      </c>
      <c r="B1010" s="15" t="s">
        <v>4278</v>
      </c>
      <c r="C1010" s="40">
        <v>18.231000000000002</v>
      </c>
      <c r="D1010" s="29">
        <v>2.5000000000000001E-2</v>
      </c>
      <c r="E1010" s="41">
        <v>-12.091628</v>
      </c>
      <c r="F1010" s="41">
        <v>-77.022411000000005</v>
      </c>
      <c r="G1010" s="41">
        <v>-12.059704999999999</v>
      </c>
      <c r="H1010" s="41">
        <v>-77.041415999999998</v>
      </c>
      <c r="I1010" s="41">
        <v>-12.032260000000001</v>
      </c>
      <c r="J1010" s="41">
        <v>-77.055102000000005</v>
      </c>
    </row>
    <row r="1011" spans="1:10" x14ac:dyDescent="0.25">
      <c r="A1011" s="15" t="s">
        <v>4316</v>
      </c>
      <c r="B1011" s="15" t="s">
        <v>4310</v>
      </c>
      <c r="C1011" s="42">
        <v>17.940000000000001</v>
      </c>
      <c r="D1011" s="25">
        <v>1.9444444444444445E-2</v>
      </c>
      <c r="E1011" s="43">
        <v>-12.086880000000001</v>
      </c>
      <c r="F1011" s="43">
        <v>-76.994710999999995</v>
      </c>
      <c r="G1011" s="43">
        <v>-12.07887</v>
      </c>
      <c r="H1011" s="43">
        <v>-76.976319000000004</v>
      </c>
      <c r="I1011" s="43">
        <v>-12.034238999999999</v>
      </c>
      <c r="J1011" s="43">
        <v>-76.989767999999998</v>
      </c>
    </row>
    <row r="1012" spans="1:10" x14ac:dyDescent="0.25">
      <c r="A1012" s="15" t="s">
        <v>4316</v>
      </c>
      <c r="B1012" s="15" t="s">
        <v>4311</v>
      </c>
      <c r="C1012" s="40">
        <v>4.9420000000000002</v>
      </c>
      <c r="D1012" s="29">
        <v>1.1111111111111112E-2</v>
      </c>
      <c r="E1012" s="41">
        <v>-12.095238</v>
      </c>
      <c r="F1012" s="41">
        <v>-77.054525999999996</v>
      </c>
      <c r="G1012" s="41">
        <v>-12.082763999999999</v>
      </c>
      <c r="H1012" s="41">
        <v>-77.045902999999996</v>
      </c>
      <c r="I1012" s="41">
        <v>-12.075049999999999</v>
      </c>
      <c r="J1012" s="41">
        <v>-77.041977000000003</v>
      </c>
    </row>
    <row r="1013" spans="1:10" x14ac:dyDescent="0.25">
      <c r="A1013" s="15" t="s">
        <v>4316</v>
      </c>
      <c r="B1013" s="15" t="s">
        <v>4312</v>
      </c>
      <c r="C1013" s="42">
        <v>8.75</v>
      </c>
      <c r="D1013" s="25">
        <v>1.2500000000000001E-2</v>
      </c>
      <c r="E1013" s="43">
        <v>-12.095238</v>
      </c>
      <c r="F1013" s="43">
        <v>-77.054525999999996</v>
      </c>
      <c r="G1013" s="43">
        <v>-12.091606000000001</v>
      </c>
      <c r="H1013" s="43">
        <v>-77.022238000000002</v>
      </c>
      <c r="I1013" s="43">
        <v>-12.07709</v>
      </c>
      <c r="J1013" s="43">
        <v>-77.028385999999998</v>
      </c>
    </row>
    <row r="1014" spans="1:10" x14ac:dyDescent="0.25">
      <c r="A1014" s="15" t="s">
        <v>4316</v>
      </c>
      <c r="B1014" s="15" t="s">
        <v>4313</v>
      </c>
      <c r="C1014" s="40">
        <v>4.6619999999999999</v>
      </c>
      <c r="D1014" s="29">
        <v>9.7222222222222224E-3</v>
      </c>
      <c r="E1014" s="41">
        <v>-12.095953</v>
      </c>
      <c r="F1014" s="41">
        <v>-77.059554000000006</v>
      </c>
      <c r="G1014" s="41">
        <v>-12.090700999999999</v>
      </c>
      <c r="H1014" s="41">
        <v>-77.064745000000002</v>
      </c>
      <c r="I1014" s="41">
        <v>-12.086762999999999</v>
      </c>
      <c r="J1014" s="41">
        <v>-77.063281000000003</v>
      </c>
    </row>
    <row r="1015" spans="1:10" x14ac:dyDescent="0.25">
      <c r="A1015" s="15" t="s">
        <v>4316</v>
      </c>
      <c r="B1015" s="15" t="s">
        <v>4314</v>
      </c>
      <c r="C1015" s="42">
        <v>4.6879999999999997</v>
      </c>
      <c r="D1015" s="25">
        <v>9.7222222222222224E-3</v>
      </c>
      <c r="E1015" s="43">
        <v>-12.095717</v>
      </c>
      <c r="F1015" s="43">
        <v>-77.057969</v>
      </c>
      <c r="G1015" s="43">
        <v>-12.086482999999999</v>
      </c>
      <c r="H1015" s="43">
        <v>-77.063063</v>
      </c>
      <c r="I1015" s="43">
        <v>-12.083834</v>
      </c>
      <c r="J1015" s="43">
        <v>-77.065061999999998</v>
      </c>
    </row>
    <row r="1016" spans="1:10" x14ac:dyDescent="0.25">
      <c r="A1016" s="15" t="s">
        <v>4316</v>
      </c>
      <c r="B1016" s="15" t="s">
        <v>4315</v>
      </c>
      <c r="C1016" s="40">
        <v>12.521000000000001</v>
      </c>
      <c r="D1016" s="29">
        <v>1.5277777777777777E-2</v>
      </c>
      <c r="E1016" s="41">
        <v>-12.095274</v>
      </c>
      <c r="F1016" s="41">
        <v>-77.054299</v>
      </c>
      <c r="G1016" s="41">
        <v>-12.085934999999999</v>
      </c>
      <c r="H1016" s="41">
        <v>-76.985097999999994</v>
      </c>
      <c r="I1016" s="41">
        <v>-12.103052</v>
      </c>
      <c r="J1016" s="41">
        <v>-76.980279999999993</v>
      </c>
    </row>
    <row r="1017" spans="1:10" x14ac:dyDescent="0.25">
      <c r="A1017" s="15" t="s">
        <v>4316</v>
      </c>
      <c r="B1017" s="15" t="s">
        <v>4316</v>
      </c>
      <c r="C1017" s="42">
        <v>0</v>
      </c>
      <c r="D1017" s="25">
        <v>0</v>
      </c>
      <c r="E1017" s="43" t="e">
        <f>'1 ubicaciones'!#REF!</f>
        <v>#REF!</v>
      </c>
      <c r="F1017" s="43" t="e">
        <f>'1 ubicaciones'!#REF!</f>
        <v>#REF!</v>
      </c>
      <c r="G1017" s="43" t="e">
        <f>'1 ubicaciones'!#REF!</f>
        <v>#REF!</v>
      </c>
      <c r="H1017" s="43" t="e">
        <f>'1 ubicaciones'!#REF!</f>
        <v>#REF!</v>
      </c>
      <c r="I1017" s="43" t="e">
        <f>'1 ubicaciones'!#REF!</f>
        <v>#REF!</v>
      </c>
      <c r="J1017" s="43" t="e">
        <f>'1 ubicaciones'!#REF!</f>
        <v>#REF!</v>
      </c>
    </row>
    <row r="1018" spans="1:10" x14ac:dyDescent="0.25">
      <c r="A1018" s="15" t="s">
        <v>4316</v>
      </c>
      <c r="B1018" s="15" t="s">
        <v>4317</v>
      </c>
      <c r="C1018" s="40">
        <v>19.257999999999999</v>
      </c>
      <c r="D1018" s="29">
        <v>2.013888888888889E-2</v>
      </c>
      <c r="E1018" s="41">
        <v>-12.092343</v>
      </c>
      <c r="F1018" s="41">
        <v>-77.033406999999997</v>
      </c>
      <c r="G1018" s="41">
        <v>-12.08907</v>
      </c>
      <c r="H1018" s="41">
        <v>-76.981326999999993</v>
      </c>
      <c r="I1018" s="41">
        <v>-12.150461</v>
      </c>
      <c r="J1018" s="41">
        <v>-76.983980000000003</v>
      </c>
    </row>
    <row r="1019" spans="1:10" x14ac:dyDescent="0.25">
      <c r="A1019" s="15" t="s">
        <v>4316</v>
      </c>
      <c r="B1019" s="15" t="s">
        <v>4318</v>
      </c>
      <c r="C1019" s="42">
        <v>6.085</v>
      </c>
      <c r="D1019" s="25">
        <v>9.0277777777777769E-3</v>
      </c>
      <c r="E1019" s="43">
        <v>-12.097416000000001</v>
      </c>
      <c r="F1019" s="43">
        <v>-77.056748999999996</v>
      </c>
      <c r="G1019" s="43">
        <v>-12.094809</v>
      </c>
      <c r="H1019" s="43">
        <v>-77.055408999999997</v>
      </c>
      <c r="I1019" s="43">
        <v>-12.092366999999999</v>
      </c>
      <c r="J1019" s="43">
        <v>-77.033585000000002</v>
      </c>
    </row>
    <row r="1020" spans="1:10" x14ac:dyDescent="0.25">
      <c r="A1020" s="15" t="s">
        <v>4316</v>
      </c>
      <c r="B1020" s="15" t="s">
        <v>4319</v>
      </c>
      <c r="C1020" s="40">
        <v>8.8030000000000008</v>
      </c>
      <c r="D1020" s="29">
        <v>1.2500000000000001E-2</v>
      </c>
      <c r="E1020" s="41">
        <v>-12.096539</v>
      </c>
      <c r="F1020" s="41">
        <v>-77.056298999999996</v>
      </c>
      <c r="G1020" s="41">
        <v>-12.095238</v>
      </c>
      <c r="H1020" s="41">
        <v>-77.054525999999996</v>
      </c>
      <c r="I1020" s="41">
        <v>-12.087712</v>
      </c>
      <c r="J1020" s="41">
        <v>-77.000078999999999</v>
      </c>
    </row>
    <row r="1021" spans="1:10" x14ac:dyDescent="0.25">
      <c r="A1021" s="15" t="s">
        <v>4316</v>
      </c>
      <c r="B1021" s="15" t="s">
        <v>4279</v>
      </c>
      <c r="C1021" s="42">
        <v>15.253</v>
      </c>
      <c r="D1021" s="25">
        <v>1.6666666666666666E-2</v>
      </c>
      <c r="E1021" s="43">
        <v>-12.106074</v>
      </c>
      <c r="F1021" s="43">
        <v>-77.060709000000003</v>
      </c>
      <c r="G1021" s="43">
        <v>-12.086226999999999</v>
      </c>
      <c r="H1021" s="43">
        <v>-77.097588999999999</v>
      </c>
      <c r="I1021" s="43">
        <v>-12.065664</v>
      </c>
      <c r="J1021" s="43">
        <v>-77.118859</v>
      </c>
    </row>
    <row r="1022" spans="1:10" x14ac:dyDescent="0.25">
      <c r="A1022" s="15" t="s">
        <v>4316</v>
      </c>
      <c r="B1022" s="15" t="s">
        <v>4320</v>
      </c>
      <c r="C1022" s="40">
        <v>12.914999999999999</v>
      </c>
      <c r="D1022" s="29">
        <v>1.5277777777777777E-2</v>
      </c>
      <c r="E1022" s="41">
        <v>-12.087486999999999</v>
      </c>
      <c r="F1022" s="41">
        <v>-76.998773999999997</v>
      </c>
      <c r="G1022" s="41">
        <v>-12.085900000000001</v>
      </c>
      <c r="H1022" s="41">
        <v>-76.981693000000007</v>
      </c>
      <c r="I1022" s="41">
        <v>-12.065941</v>
      </c>
      <c r="J1022" s="41">
        <v>-76.971232999999998</v>
      </c>
    </row>
    <row r="1023" spans="1:10" x14ac:dyDescent="0.25">
      <c r="A1023" s="15" t="s">
        <v>4316</v>
      </c>
      <c r="B1023" s="15" t="s">
        <v>4321</v>
      </c>
      <c r="C1023" s="42">
        <v>32.573999999999998</v>
      </c>
      <c r="D1023" s="25">
        <v>3.888888888888889E-2</v>
      </c>
      <c r="E1023" s="43">
        <v>-12.088846</v>
      </c>
      <c r="F1023" s="43">
        <v>-77.023703999999995</v>
      </c>
      <c r="G1023" s="43">
        <v>-12.036008000000001</v>
      </c>
      <c r="H1023" s="43">
        <v>-77.043530000000004</v>
      </c>
      <c r="I1023" s="43">
        <v>-12.002938</v>
      </c>
      <c r="J1023" s="43">
        <v>-77.061993000000001</v>
      </c>
    </row>
    <row r="1024" spans="1:10" x14ac:dyDescent="0.25">
      <c r="A1024" s="15" t="s">
        <v>4316</v>
      </c>
      <c r="B1024" s="15" t="s">
        <v>4322</v>
      </c>
      <c r="C1024" s="40">
        <v>13.93</v>
      </c>
      <c r="D1024" s="29">
        <v>1.5972222222222221E-2</v>
      </c>
      <c r="E1024" s="41">
        <v>-12.107495</v>
      </c>
      <c r="F1024" s="41">
        <v>-77.059691999999998</v>
      </c>
      <c r="G1024" s="41">
        <v>-12.128379000000001</v>
      </c>
      <c r="H1024" s="41">
        <v>-77.036841999999993</v>
      </c>
      <c r="I1024" s="41">
        <v>-12.155326000000001</v>
      </c>
      <c r="J1024" s="41">
        <v>-77.025108000000003</v>
      </c>
    </row>
    <row r="1025" spans="1:10" x14ac:dyDescent="0.25">
      <c r="A1025" s="15" t="s">
        <v>4316</v>
      </c>
      <c r="B1025" s="15" t="s">
        <v>4323</v>
      </c>
      <c r="C1025" s="42">
        <v>14.44</v>
      </c>
      <c r="D1025" s="25">
        <v>1.7361111111111112E-2</v>
      </c>
      <c r="E1025" s="43">
        <v>-12.107495</v>
      </c>
      <c r="F1025" s="43">
        <v>-77.059691999999998</v>
      </c>
      <c r="G1025" s="43">
        <v>-12.128379000000001</v>
      </c>
      <c r="H1025" s="43">
        <v>-77.036841999999993</v>
      </c>
      <c r="I1025" s="43">
        <v>-12.155326000000001</v>
      </c>
      <c r="J1025" s="43">
        <v>-77.025108000000003</v>
      </c>
    </row>
    <row r="1026" spans="1:10" x14ac:dyDescent="0.25">
      <c r="A1026" s="15" t="s">
        <v>4316</v>
      </c>
      <c r="B1026" s="15" t="s">
        <v>4324</v>
      </c>
      <c r="C1026" s="40">
        <v>3.86</v>
      </c>
      <c r="D1026" s="29">
        <v>8.3333333333333332E-3</v>
      </c>
      <c r="E1026" s="41">
        <v>-12.093562</v>
      </c>
      <c r="F1026" s="41">
        <v>-77.059252000000001</v>
      </c>
      <c r="G1026" s="41">
        <v>-12.088573999999999</v>
      </c>
      <c r="H1026" s="41">
        <v>-77.063016000000005</v>
      </c>
      <c r="I1026" s="41">
        <v>-12.080541</v>
      </c>
      <c r="J1026" s="41">
        <v>-77.058355000000006</v>
      </c>
    </row>
    <row r="1027" spans="1:10" x14ac:dyDescent="0.25">
      <c r="A1027" s="15" t="s">
        <v>4316</v>
      </c>
      <c r="B1027" s="15" t="s">
        <v>4325</v>
      </c>
      <c r="C1027" s="42">
        <v>19.498000000000001</v>
      </c>
      <c r="D1027" s="25">
        <v>2.5000000000000001E-2</v>
      </c>
      <c r="E1027" s="43">
        <v>-12.086</v>
      </c>
      <c r="F1027" s="43">
        <v>-76.987904999999998</v>
      </c>
      <c r="G1027" s="43">
        <v>-12.135672</v>
      </c>
      <c r="H1027" s="43">
        <v>-76.976173000000003</v>
      </c>
      <c r="I1027" s="43">
        <v>-12.141921999999999</v>
      </c>
      <c r="J1027" s="43">
        <v>-76.958815000000001</v>
      </c>
    </row>
    <row r="1028" spans="1:10" x14ac:dyDescent="0.25">
      <c r="A1028" s="15" t="s">
        <v>4316</v>
      </c>
      <c r="B1028" s="15" t="s">
        <v>4268</v>
      </c>
      <c r="C1028" s="40">
        <v>17.401</v>
      </c>
      <c r="D1028" s="29">
        <v>1.8055555555555554E-2</v>
      </c>
      <c r="E1028" s="41">
        <v>-12.086880000000001</v>
      </c>
      <c r="F1028" s="41">
        <v>-76.994710999999995</v>
      </c>
      <c r="G1028" s="41">
        <v>-12.07887</v>
      </c>
      <c r="H1028" s="41">
        <v>-76.976319000000004</v>
      </c>
      <c r="I1028" s="41">
        <v>-12.034238999999999</v>
      </c>
      <c r="J1028" s="41">
        <v>-76.989767999999998</v>
      </c>
    </row>
    <row r="1029" spans="1:10" x14ac:dyDescent="0.25">
      <c r="A1029" s="15" t="s">
        <v>4317</v>
      </c>
      <c r="B1029" s="15" t="s">
        <v>4267</v>
      </c>
      <c r="C1029" s="42">
        <v>21.143000000000001</v>
      </c>
      <c r="D1029" s="25">
        <v>2.0833333333333332E-2</v>
      </c>
      <c r="E1029" s="43">
        <v>-12.147328999999999</v>
      </c>
      <c r="F1029" s="43">
        <v>-76.982316999999995</v>
      </c>
      <c r="G1029" s="43">
        <v>-12.084255000000001</v>
      </c>
      <c r="H1029" s="43">
        <v>-76.980714000000006</v>
      </c>
      <c r="I1029" s="43">
        <v>-12.089695000000001</v>
      </c>
      <c r="J1029" s="43">
        <v>-77.022923000000006</v>
      </c>
    </row>
    <row r="1030" spans="1:10" x14ac:dyDescent="0.25">
      <c r="A1030" s="15" t="s">
        <v>4317</v>
      </c>
      <c r="B1030" s="15" t="s">
        <v>4280</v>
      </c>
      <c r="C1030" s="40">
        <v>9.1340000000000003</v>
      </c>
      <c r="D1030" s="29">
        <v>1.5972222222222221E-2</v>
      </c>
      <c r="E1030" s="41">
        <v>-12.160409</v>
      </c>
      <c r="F1030" s="41">
        <v>-76.967920000000007</v>
      </c>
      <c r="G1030" s="41">
        <v>-12.171934</v>
      </c>
      <c r="H1030" s="41">
        <v>-76.985809000000003</v>
      </c>
      <c r="I1030" s="41">
        <v>-12.184751</v>
      </c>
      <c r="J1030" s="41">
        <v>-77.006997999999996</v>
      </c>
    </row>
    <row r="1031" spans="1:10" x14ac:dyDescent="0.25">
      <c r="A1031" s="15" t="s">
        <v>4317</v>
      </c>
      <c r="B1031" s="15" t="s">
        <v>4281</v>
      </c>
      <c r="C1031" s="42">
        <v>15.930999999999999</v>
      </c>
      <c r="D1031" s="25">
        <v>1.6666666666666666E-2</v>
      </c>
      <c r="E1031" s="43">
        <v>-12.150191</v>
      </c>
      <c r="F1031" s="43">
        <v>-76.980697000000006</v>
      </c>
      <c r="G1031" s="43">
        <v>-12.086781999999999</v>
      </c>
      <c r="H1031" s="43">
        <v>-76.981280999999996</v>
      </c>
      <c r="I1031" s="43">
        <v>-12.074628000000001</v>
      </c>
      <c r="J1031" s="43">
        <v>-76.96266</v>
      </c>
    </row>
    <row r="1032" spans="1:10" x14ac:dyDescent="0.25">
      <c r="A1032" s="15" t="s">
        <v>4317</v>
      </c>
      <c r="B1032" s="15" t="s">
        <v>4296</v>
      </c>
      <c r="C1032" s="40">
        <v>21.864999999999998</v>
      </c>
      <c r="D1032" s="29">
        <v>2.0833333333333332E-2</v>
      </c>
      <c r="E1032" s="41">
        <v>-12.136862000000001</v>
      </c>
      <c r="F1032" s="41">
        <v>-76.980290999999994</v>
      </c>
      <c r="G1032" s="41">
        <v>-12.085720999999999</v>
      </c>
      <c r="H1032" s="41">
        <v>-76.987510999999998</v>
      </c>
      <c r="I1032" s="41">
        <v>-12.060078000000001</v>
      </c>
      <c r="J1032" s="41">
        <v>-77.035393999999997</v>
      </c>
    </row>
    <row r="1033" spans="1:10" x14ac:dyDescent="0.25">
      <c r="A1033" s="15" t="s">
        <v>4317</v>
      </c>
      <c r="B1033" s="15" t="s">
        <v>4297</v>
      </c>
      <c r="C1033" s="42">
        <v>16.158999999999999</v>
      </c>
      <c r="D1033" s="25">
        <v>1.5972222222222221E-2</v>
      </c>
      <c r="E1033" s="43">
        <v>-12.148478000000001</v>
      </c>
      <c r="F1033" s="43">
        <v>-76.982455000000002</v>
      </c>
      <c r="G1033" s="43">
        <v>-12.084199999999999</v>
      </c>
      <c r="H1033" s="43">
        <v>-76.981269999999995</v>
      </c>
      <c r="I1033" s="43">
        <v>-12.087441</v>
      </c>
      <c r="J1033" s="43">
        <v>-77.003570999999994</v>
      </c>
    </row>
    <row r="1034" spans="1:10" x14ac:dyDescent="0.25">
      <c r="A1034" s="15" t="s">
        <v>4317</v>
      </c>
      <c r="B1034" s="15" t="s">
        <v>4298</v>
      </c>
      <c r="C1034" s="40">
        <v>9.2650000000000006</v>
      </c>
      <c r="D1034" s="29">
        <v>1.3888888888888888E-2</v>
      </c>
      <c r="E1034" s="41">
        <v>-12.159222</v>
      </c>
      <c r="F1034" s="41">
        <v>-76.958697999999998</v>
      </c>
      <c r="G1034" s="41">
        <v>-12.148918999999999</v>
      </c>
      <c r="H1034" s="41">
        <v>-76.984318000000002</v>
      </c>
      <c r="I1034" s="41">
        <v>-12.133018</v>
      </c>
      <c r="J1034" s="41">
        <v>-76.998095000000006</v>
      </c>
    </row>
    <row r="1035" spans="1:10" x14ac:dyDescent="0.25">
      <c r="A1035" s="15" t="s">
        <v>4317</v>
      </c>
      <c r="B1035" s="15" t="s">
        <v>4299</v>
      </c>
      <c r="C1035" s="42">
        <v>19.341999999999999</v>
      </c>
      <c r="D1035" s="25">
        <v>1.8055555555555554E-2</v>
      </c>
      <c r="E1035" s="43">
        <v>-12.147221</v>
      </c>
      <c r="F1035" s="43">
        <v>-76.982285000000005</v>
      </c>
      <c r="G1035" s="43">
        <v>-12.084635</v>
      </c>
      <c r="H1035" s="43">
        <v>-76.980838000000006</v>
      </c>
      <c r="I1035" s="43">
        <v>-12.090811</v>
      </c>
      <c r="J1035" s="43">
        <v>-77.022954999999996</v>
      </c>
    </row>
    <row r="1036" spans="1:10" x14ac:dyDescent="0.25">
      <c r="A1036" s="15" t="s">
        <v>4317</v>
      </c>
      <c r="B1036" s="15" t="s">
        <v>4300</v>
      </c>
      <c r="C1036" s="40">
        <v>10.004</v>
      </c>
      <c r="D1036" s="29">
        <v>1.1111111111111112E-2</v>
      </c>
      <c r="E1036" s="41">
        <v>-12.159222</v>
      </c>
      <c r="F1036" s="41">
        <v>-76.958697999999998</v>
      </c>
      <c r="G1036" s="41">
        <v>-12.148478000000001</v>
      </c>
      <c r="H1036" s="41">
        <v>-76.982455000000002</v>
      </c>
      <c r="I1036" s="41">
        <v>-12.106482</v>
      </c>
      <c r="J1036" s="41">
        <v>-76.978615000000005</v>
      </c>
    </row>
    <row r="1037" spans="1:10" x14ac:dyDescent="0.25">
      <c r="A1037" s="15" t="s">
        <v>4317</v>
      </c>
      <c r="B1037" s="15" t="s">
        <v>4301</v>
      </c>
      <c r="C1037" s="42">
        <v>38.448999999999998</v>
      </c>
      <c r="D1037" s="25">
        <v>3.0555555555555555E-2</v>
      </c>
      <c r="E1037" s="43">
        <v>-12.127693000000001</v>
      </c>
      <c r="F1037" s="43">
        <v>-76.976932000000005</v>
      </c>
      <c r="G1037" s="43">
        <v>-12.042017</v>
      </c>
      <c r="H1037" s="43">
        <v>-76.986729999999994</v>
      </c>
      <c r="I1037" s="43">
        <v>-12.040149</v>
      </c>
      <c r="J1037" s="43">
        <v>-77.035490999999993</v>
      </c>
    </row>
    <row r="1038" spans="1:10" x14ac:dyDescent="0.25">
      <c r="A1038" s="15" t="s">
        <v>4317</v>
      </c>
      <c r="B1038" s="15" t="s">
        <v>4302</v>
      </c>
      <c r="C1038" s="40">
        <v>14.401</v>
      </c>
      <c r="D1038" s="29">
        <v>1.3888888888888888E-2</v>
      </c>
      <c r="E1038" s="41">
        <v>-12.150415000000001</v>
      </c>
      <c r="F1038" s="41">
        <v>-76.980192000000002</v>
      </c>
      <c r="G1038" s="41">
        <v>-12.116587000000001</v>
      </c>
      <c r="H1038" s="41">
        <v>-76.977292000000006</v>
      </c>
      <c r="I1038" s="41">
        <v>-12.084835</v>
      </c>
      <c r="J1038" s="41">
        <v>-76.981396000000004</v>
      </c>
    </row>
    <row r="1039" spans="1:10" x14ac:dyDescent="0.25">
      <c r="A1039" s="15" t="s">
        <v>4317</v>
      </c>
      <c r="B1039" s="15" t="s">
        <v>4303</v>
      </c>
      <c r="C1039" s="42">
        <v>16.059999999999999</v>
      </c>
      <c r="D1039" s="25">
        <v>1.6666666666666666E-2</v>
      </c>
      <c r="E1039" s="43">
        <v>-12.147328999999999</v>
      </c>
      <c r="F1039" s="43">
        <v>-76.982316999999995</v>
      </c>
      <c r="G1039" s="43">
        <v>-12.084255000000001</v>
      </c>
      <c r="H1039" s="43">
        <v>-76.980714000000006</v>
      </c>
      <c r="I1039" s="43">
        <v>-12.082394000000001</v>
      </c>
      <c r="J1039" s="43">
        <v>-77.004341999999994</v>
      </c>
    </row>
    <row r="1040" spans="1:10" x14ac:dyDescent="0.25">
      <c r="A1040" s="15" t="s">
        <v>4317</v>
      </c>
      <c r="B1040" s="15" t="s">
        <v>4304</v>
      </c>
      <c r="C1040" s="40">
        <v>15.643000000000001</v>
      </c>
      <c r="D1040" s="29">
        <v>1.5277777777777777E-2</v>
      </c>
      <c r="E1040" s="41">
        <v>-12.148478000000001</v>
      </c>
      <c r="F1040" s="41">
        <v>-76.982455000000002</v>
      </c>
      <c r="G1040" s="41">
        <v>-12.084199999999999</v>
      </c>
      <c r="H1040" s="41">
        <v>-76.981269999999995</v>
      </c>
      <c r="I1040" s="41">
        <v>-12.087441</v>
      </c>
      <c r="J1040" s="41">
        <v>-77.003570999999994</v>
      </c>
    </row>
    <row r="1041" spans="1:10" x14ac:dyDescent="0.25">
      <c r="A1041" s="15" t="s">
        <v>4317</v>
      </c>
      <c r="B1041" s="15" t="s">
        <v>4269</v>
      </c>
      <c r="C1041" s="42">
        <v>20.768000000000001</v>
      </c>
      <c r="D1041" s="25">
        <v>2.4305555555555556E-2</v>
      </c>
      <c r="E1041" s="43">
        <v>-12.129046000000001</v>
      </c>
      <c r="F1041" s="43">
        <v>-77.000579000000002</v>
      </c>
      <c r="G1041" s="43">
        <v>-12.136668999999999</v>
      </c>
      <c r="H1041" s="43">
        <v>-77.028533999999993</v>
      </c>
      <c r="I1041" s="43">
        <v>-12.107158</v>
      </c>
      <c r="J1041" s="43">
        <v>-77.060175000000001</v>
      </c>
    </row>
    <row r="1042" spans="1:10" x14ac:dyDescent="0.25">
      <c r="A1042" s="15" t="s">
        <v>4317</v>
      </c>
      <c r="B1042" s="15" t="s">
        <v>4305</v>
      </c>
      <c r="C1042" s="40">
        <v>20.856000000000002</v>
      </c>
      <c r="D1042" s="29">
        <v>2.013888888888889E-2</v>
      </c>
      <c r="E1042" s="41">
        <v>-12.128707</v>
      </c>
      <c r="F1042" s="41">
        <v>-76.977196000000006</v>
      </c>
      <c r="G1042" s="41">
        <v>-12.08681</v>
      </c>
      <c r="H1042" s="41">
        <v>-76.997433999999998</v>
      </c>
      <c r="I1042" s="41">
        <v>-12.059642</v>
      </c>
      <c r="J1042" s="41">
        <v>-77.036537999999993</v>
      </c>
    </row>
    <row r="1043" spans="1:10" x14ac:dyDescent="0.25">
      <c r="A1043" s="15" t="s">
        <v>4317</v>
      </c>
      <c r="B1043" s="15" t="s">
        <v>4306</v>
      </c>
      <c r="C1043" s="42">
        <v>5.9429999999999996</v>
      </c>
      <c r="D1043" s="25">
        <v>8.3333333333333332E-3</v>
      </c>
      <c r="E1043" s="43">
        <v>-12.158695</v>
      </c>
      <c r="F1043" s="43">
        <v>-76.958490999999995</v>
      </c>
      <c r="G1043" s="43">
        <v>-12.149877999999999</v>
      </c>
      <c r="H1043" s="43">
        <v>-76.981181000000007</v>
      </c>
      <c r="I1043" s="43">
        <v>-12.134527</v>
      </c>
      <c r="J1043" s="43">
        <v>-76.979409000000004</v>
      </c>
    </row>
    <row r="1044" spans="1:10" x14ac:dyDescent="0.25">
      <c r="A1044" s="15" t="s">
        <v>4317</v>
      </c>
      <c r="B1044" s="15" t="s">
        <v>4277</v>
      </c>
      <c r="C1044" s="40">
        <v>17.547999999999998</v>
      </c>
      <c r="D1044" s="29">
        <v>1.5277777777777777E-2</v>
      </c>
      <c r="E1044" s="41">
        <v>-12.150415000000001</v>
      </c>
      <c r="F1044" s="41">
        <v>-76.980192000000002</v>
      </c>
      <c r="G1044" s="41">
        <v>-12.116587000000001</v>
      </c>
      <c r="H1044" s="41">
        <v>-76.977292000000006</v>
      </c>
      <c r="I1044" s="41">
        <v>-12.084835</v>
      </c>
      <c r="J1044" s="41">
        <v>-76.981396000000004</v>
      </c>
    </row>
    <row r="1045" spans="1:10" x14ac:dyDescent="0.25">
      <c r="A1045" s="15" t="s">
        <v>4317</v>
      </c>
      <c r="B1045" s="15" t="s">
        <v>4307</v>
      </c>
      <c r="C1045" s="42">
        <v>18.312000000000001</v>
      </c>
      <c r="D1045" s="25">
        <v>1.7361111111111112E-2</v>
      </c>
      <c r="E1045" s="43">
        <v>-12.150191</v>
      </c>
      <c r="F1045" s="43">
        <v>-76.980697000000006</v>
      </c>
      <c r="G1045" s="43">
        <v>-12.086276</v>
      </c>
      <c r="H1045" s="43">
        <v>-76.982068999999996</v>
      </c>
      <c r="I1045" s="43">
        <v>-12.052244</v>
      </c>
      <c r="J1045" s="43">
        <v>-76.976022999999998</v>
      </c>
    </row>
    <row r="1046" spans="1:10" x14ac:dyDescent="0.25">
      <c r="A1046" s="15" t="s">
        <v>4317</v>
      </c>
      <c r="B1046" s="15" t="s">
        <v>4308</v>
      </c>
      <c r="C1046" s="40">
        <v>23.510999999999999</v>
      </c>
      <c r="D1046" s="29">
        <v>2.6388888888888889E-2</v>
      </c>
      <c r="E1046" s="41">
        <v>-12.148904</v>
      </c>
      <c r="F1046" s="41">
        <v>-76.981705000000005</v>
      </c>
      <c r="G1046" s="41">
        <v>-12.084977</v>
      </c>
      <c r="H1046" s="41">
        <v>-76.982032000000004</v>
      </c>
      <c r="I1046" s="41">
        <v>-12.092278</v>
      </c>
      <c r="J1046" s="41">
        <v>-77.033850999999999</v>
      </c>
    </row>
    <row r="1047" spans="1:10" x14ac:dyDescent="0.25">
      <c r="A1047" s="15" t="s">
        <v>4317</v>
      </c>
      <c r="B1047" s="15" t="s">
        <v>4309</v>
      </c>
      <c r="C1047" s="42">
        <v>17.739000000000001</v>
      </c>
      <c r="D1047" s="25">
        <v>1.5277777777777777E-2</v>
      </c>
      <c r="E1047" s="43">
        <v>-12.149877999999999</v>
      </c>
      <c r="F1047" s="43">
        <v>-76.981181000000007</v>
      </c>
      <c r="G1047" s="43">
        <v>-12.085789999999999</v>
      </c>
      <c r="H1047" s="43">
        <v>-76.982185999999999</v>
      </c>
      <c r="I1047" s="43">
        <v>-12.087396</v>
      </c>
      <c r="J1047" s="43">
        <v>-76.998741999999993</v>
      </c>
    </row>
    <row r="1048" spans="1:10" x14ac:dyDescent="0.25">
      <c r="A1048" s="15" t="s">
        <v>4317</v>
      </c>
      <c r="B1048" s="15" t="s">
        <v>4278</v>
      </c>
      <c r="C1048" s="40">
        <v>29.998000000000001</v>
      </c>
      <c r="D1048" s="29">
        <v>2.4305555555555556E-2</v>
      </c>
      <c r="E1048" s="41">
        <v>-12.127693000000001</v>
      </c>
      <c r="F1048" s="41">
        <v>-76.976932000000005</v>
      </c>
      <c r="G1048" s="41">
        <v>-12.042017</v>
      </c>
      <c r="H1048" s="41">
        <v>-76.986729999999994</v>
      </c>
      <c r="I1048" s="41">
        <v>-12.039648</v>
      </c>
      <c r="J1048" s="41">
        <v>-77.036204999999995</v>
      </c>
    </row>
    <row r="1049" spans="1:10" x14ac:dyDescent="0.25">
      <c r="A1049" s="15" t="s">
        <v>4317</v>
      </c>
      <c r="B1049" s="15" t="s">
        <v>4310</v>
      </c>
      <c r="C1049" s="42">
        <v>19.277000000000001</v>
      </c>
      <c r="D1049" s="25">
        <v>1.7361111111111112E-2</v>
      </c>
      <c r="E1049" s="43">
        <v>-12.148904</v>
      </c>
      <c r="F1049" s="43">
        <v>-76.981705000000005</v>
      </c>
      <c r="G1049" s="43">
        <v>-12.084611000000001</v>
      </c>
      <c r="H1049" s="43">
        <v>-76.981786999999997</v>
      </c>
      <c r="I1049" s="43">
        <v>-12.035318999999999</v>
      </c>
      <c r="J1049" s="43">
        <v>-76.989223999999993</v>
      </c>
    </row>
    <row r="1050" spans="1:10" x14ac:dyDescent="0.25">
      <c r="A1050" s="15" t="s">
        <v>4317</v>
      </c>
      <c r="B1050" s="15" t="s">
        <v>4311</v>
      </c>
      <c r="C1050" s="40">
        <v>19.634</v>
      </c>
      <c r="D1050" s="29">
        <v>1.8749999999999999E-2</v>
      </c>
      <c r="E1050" s="41">
        <v>-12.145194</v>
      </c>
      <c r="F1050" s="41">
        <v>-76.981818000000004</v>
      </c>
      <c r="G1050" s="41">
        <v>-12.084856</v>
      </c>
      <c r="H1050" s="41">
        <v>-76.981634999999997</v>
      </c>
      <c r="I1050" s="41">
        <v>-12.06874</v>
      </c>
      <c r="J1050" s="41">
        <v>-77.031944999999993</v>
      </c>
    </row>
    <row r="1051" spans="1:10" x14ac:dyDescent="0.25">
      <c r="A1051" s="15" t="s">
        <v>4317</v>
      </c>
      <c r="B1051" s="15" t="s">
        <v>4312</v>
      </c>
      <c r="C1051" s="42">
        <v>16.367999999999999</v>
      </c>
      <c r="D1051" s="25">
        <v>1.6666666666666666E-2</v>
      </c>
      <c r="E1051" s="43">
        <v>-12.148478000000001</v>
      </c>
      <c r="F1051" s="43">
        <v>-76.982455000000002</v>
      </c>
      <c r="G1051" s="43">
        <v>-12.084199999999999</v>
      </c>
      <c r="H1051" s="43">
        <v>-76.981269999999995</v>
      </c>
      <c r="I1051" s="43">
        <v>-12.087441</v>
      </c>
      <c r="J1051" s="43">
        <v>-77.003570999999994</v>
      </c>
    </row>
    <row r="1052" spans="1:10" x14ac:dyDescent="0.25">
      <c r="A1052" s="15" t="s">
        <v>4317</v>
      </c>
      <c r="B1052" s="15" t="s">
        <v>4313</v>
      </c>
      <c r="C1052" s="40">
        <v>21.977</v>
      </c>
      <c r="D1052" s="29">
        <v>2.0833333333333332E-2</v>
      </c>
      <c r="E1052" s="41">
        <v>-12.128707</v>
      </c>
      <c r="F1052" s="41">
        <v>-76.977196000000006</v>
      </c>
      <c r="G1052" s="41">
        <v>-12.08681</v>
      </c>
      <c r="H1052" s="41">
        <v>-76.997433999999998</v>
      </c>
      <c r="I1052" s="41">
        <v>-12.060181</v>
      </c>
      <c r="J1052" s="41">
        <v>-77.036090000000002</v>
      </c>
    </row>
    <row r="1053" spans="1:10" x14ac:dyDescent="0.25">
      <c r="A1053" s="15" t="s">
        <v>4317</v>
      </c>
      <c r="B1053" s="15" t="s">
        <v>4314</v>
      </c>
      <c r="C1053" s="42">
        <v>22.370999999999999</v>
      </c>
      <c r="D1053" s="25">
        <v>2.4305555555555556E-2</v>
      </c>
      <c r="E1053" s="43">
        <v>-12.149877999999999</v>
      </c>
      <c r="F1053" s="43">
        <v>-76.981181000000007</v>
      </c>
      <c r="G1053" s="43">
        <v>-12.085789999999999</v>
      </c>
      <c r="H1053" s="43">
        <v>-76.982185999999999</v>
      </c>
      <c r="I1053" s="43">
        <v>-12.087396</v>
      </c>
      <c r="J1053" s="43">
        <v>-76.998741999999993</v>
      </c>
    </row>
    <row r="1054" spans="1:10" x14ac:dyDescent="0.25">
      <c r="A1054" s="15" t="s">
        <v>4317</v>
      </c>
      <c r="B1054" s="15" t="s">
        <v>4315</v>
      </c>
      <c r="C1054" s="40">
        <v>8.2759999999999998</v>
      </c>
      <c r="D1054" s="29">
        <v>9.0277777777777769E-3</v>
      </c>
      <c r="E1054" s="41">
        <v>-12.159222</v>
      </c>
      <c r="F1054" s="41">
        <v>-76.958697999999998</v>
      </c>
      <c r="G1054" s="41">
        <v>-12.148478000000001</v>
      </c>
      <c r="H1054" s="41">
        <v>-76.982455000000002</v>
      </c>
      <c r="I1054" s="41">
        <v>-12.113383000000001</v>
      </c>
      <c r="J1054" s="41">
        <v>-76.977744999999999</v>
      </c>
    </row>
    <row r="1055" spans="1:10" x14ac:dyDescent="0.25">
      <c r="A1055" s="15" t="s">
        <v>4317</v>
      </c>
      <c r="B1055" s="15" t="s">
        <v>4316</v>
      </c>
      <c r="C1055" s="42">
        <v>19.295999999999999</v>
      </c>
      <c r="D1055" s="25">
        <v>1.9444444444444445E-2</v>
      </c>
      <c r="E1055" s="43">
        <v>-12.150415000000001</v>
      </c>
      <c r="F1055" s="43">
        <v>-76.980192000000002</v>
      </c>
      <c r="G1055" s="43">
        <v>-12.116587000000001</v>
      </c>
      <c r="H1055" s="43">
        <v>-76.977292000000006</v>
      </c>
      <c r="I1055" s="43">
        <v>-12.084835</v>
      </c>
      <c r="J1055" s="43">
        <v>-76.981396000000004</v>
      </c>
    </row>
    <row r="1056" spans="1:10" x14ac:dyDescent="0.25">
      <c r="A1056" s="15" t="s">
        <v>4317</v>
      </c>
      <c r="B1056" s="15" t="s">
        <v>4317</v>
      </c>
      <c r="C1056" s="40">
        <v>0</v>
      </c>
      <c r="D1056" s="29">
        <v>0</v>
      </c>
      <c r="E1056" s="41" t="e">
        <f>'1 ubicaciones'!#REF!</f>
        <v>#REF!</v>
      </c>
      <c r="F1056" s="41" t="e">
        <f>'1 ubicaciones'!#REF!</f>
        <v>#REF!</v>
      </c>
      <c r="G1056" s="41" t="e">
        <f>'1 ubicaciones'!#REF!</f>
        <v>#REF!</v>
      </c>
      <c r="H1056" s="41" t="e">
        <f>'1 ubicaciones'!#REF!</f>
        <v>#REF!</v>
      </c>
      <c r="I1056" s="41" t="e">
        <f>'1 ubicaciones'!#REF!</f>
        <v>#REF!</v>
      </c>
      <c r="J1056" s="41" t="e">
        <f>'1 ubicaciones'!#REF!</f>
        <v>#REF!</v>
      </c>
    </row>
    <row r="1057" spans="1:10" x14ac:dyDescent="0.25">
      <c r="A1057" s="15" t="s">
        <v>4317</v>
      </c>
      <c r="B1057" s="15" t="s">
        <v>4318</v>
      </c>
      <c r="C1057" s="42">
        <v>13.819000000000001</v>
      </c>
      <c r="D1057" s="25">
        <v>1.2500000000000001E-2</v>
      </c>
      <c r="E1057" s="43">
        <v>-12.150415000000001</v>
      </c>
      <c r="F1057" s="43">
        <v>-76.980192000000002</v>
      </c>
      <c r="G1057" s="43">
        <v>-12.116587000000001</v>
      </c>
      <c r="H1057" s="43">
        <v>-76.977292000000006</v>
      </c>
      <c r="I1057" s="43">
        <v>-12.084835</v>
      </c>
      <c r="J1057" s="43">
        <v>-76.981396000000004</v>
      </c>
    </row>
    <row r="1058" spans="1:10" x14ac:dyDescent="0.25">
      <c r="A1058" s="15" t="s">
        <v>4317</v>
      </c>
      <c r="B1058" s="15" t="s">
        <v>4319</v>
      </c>
      <c r="C1058" s="40">
        <v>11.615</v>
      </c>
      <c r="D1058" s="29">
        <v>1.2500000000000001E-2</v>
      </c>
      <c r="E1058" s="41">
        <v>-12.150415000000001</v>
      </c>
      <c r="F1058" s="41">
        <v>-76.980192000000002</v>
      </c>
      <c r="G1058" s="41">
        <v>-12.104543</v>
      </c>
      <c r="H1058" s="41">
        <v>-76.978879000000006</v>
      </c>
      <c r="I1058" s="41">
        <v>-12.107773999999999</v>
      </c>
      <c r="J1058" s="41">
        <v>-76.984888999999995</v>
      </c>
    </row>
    <row r="1059" spans="1:10" x14ac:dyDescent="0.25">
      <c r="A1059" s="15" t="s">
        <v>4317</v>
      </c>
      <c r="B1059" s="15" t="s">
        <v>4279</v>
      </c>
      <c r="C1059" s="42">
        <v>31.978999999999999</v>
      </c>
      <c r="D1059" s="25">
        <v>2.7083333333333334E-2</v>
      </c>
      <c r="E1059" s="43">
        <v>-12.090525</v>
      </c>
      <c r="F1059" s="43">
        <v>-76.980827000000005</v>
      </c>
      <c r="G1059" s="43">
        <v>-12.029083999999999</v>
      </c>
      <c r="H1059" s="43">
        <v>-76.996128999999996</v>
      </c>
      <c r="I1059" s="43">
        <v>-12.035899000000001</v>
      </c>
      <c r="J1059" s="43">
        <v>-77.047580999999994</v>
      </c>
    </row>
    <row r="1060" spans="1:10" x14ac:dyDescent="0.25">
      <c r="A1060" s="15" t="s">
        <v>4317</v>
      </c>
      <c r="B1060" s="15" t="s">
        <v>4320</v>
      </c>
      <c r="C1060" s="40">
        <v>14.252000000000001</v>
      </c>
      <c r="D1060" s="29">
        <v>1.3888888888888888E-2</v>
      </c>
      <c r="E1060" s="41">
        <v>-12.150415000000001</v>
      </c>
      <c r="F1060" s="41">
        <v>-76.980192000000002</v>
      </c>
      <c r="G1060" s="41">
        <v>-12.116587000000001</v>
      </c>
      <c r="H1060" s="41">
        <v>-76.977292000000006</v>
      </c>
      <c r="I1060" s="41">
        <v>-12.066178000000001</v>
      </c>
      <c r="J1060" s="41">
        <v>-76.971248000000003</v>
      </c>
    </row>
    <row r="1061" spans="1:10" x14ac:dyDescent="0.25">
      <c r="A1061" s="15" t="s">
        <v>4317</v>
      </c>
      <c r="B1061" s="15" t="s">
        <v>4321</v>
      </c>
      <c r="C1061" s="42">
        <v>44.341000000000001</v>
      </c>
      <c r="D1061" s="25">
        <v>3.8194444444444448E-2</v>
      </c>
      <c r="E1061" s="43">
        <v>-12.091003000000001</v>
      </c>
      <c r="F1061" s="43">
        <v>-76.980828000000002</v>
      </c>
      <c r="G1061" s="43">
        <v>-12.029512</v>
      </c>
      <c r="H1061" s="43">
        <v>-76.995079000000004</v>
      </c>
      <c r="I1061" s="43">
        <v>-12.029108000000001</v>
      </c>
      <c r="J1061" s="43">
        <v>-77.057633999999993</v>
      </c>
    </row>
    <row r="1062" spans="1:10" x14ac:dyDescent="0.25">
      <c r="A1062" s="15" t="s">
        <v>4317</v>
      </c>
      <c r="B1062" s="15" t="s">
        <v>4322</v>
      </c>
      <c r="C1062" s="40">
        <v>16.245999999999999</v>
      </c>
      <c r="D1062" s="29">
        <v>1.5972222222222221E-2</v>
      </c>
      <c r="E1062" s="41">
        <v>-12.153352999999999</v>
      </c>
      <c r="F1062" s="41">
        <v>-76.973262000000005</v>
      </c>
      <c r="G1062" s="41">
        <v>-12.148892</v>
      </c>
      <c r="H1062" s="41">
        <v>-76.983165999999997</v>
      </c>
      <c r="I1062" s="41">
        <v>-12.217171</v>
      </c>
      <c r="J1062" s="41">
        <v>-76.977164000000002</v>
      </c>
    </row>
    <row r="1063" spans="1:10" x14ac:dyDescent="0.25">
      <c r="A1063" s="15" t="s">
        <v>4317</v>
      </c>
      <c r="B1063" s="15" t="s">
        <v>4323</v>
      </c>
      <c r="C1063" s="42">
        <v>6.9630000000000001</v>
      </c>
      <c r="D1063" s="25">
        <v>1.2500000000000001E-2</v>
      </c>
      <c r="E1063" s="43">
        <v>-12.159357999999999</v>
      </c>
      <c r="F1063" s="43">
        <v>-76.958724000000004</v>
      </c>
      <c r="G1063" s="43">
        <v>-12.166663</v>
      </c>
      <c r="H1063" s="43">
        <v>-76.978234999999998</v>
      </c>
      <c r="I1063" s="43">
        <v>-12.174262000000001</v>
      </c>
      <c r="J1063" s="43">
        <v>-76.989059999999995</v>
      </c>
    </row>
    <row r="1064" spans="1:10" x14ac:dyDescent="0.25">
      <c r="A1064" s="15" t="s">
        <v>4317</v>
      </c>
      <c r="B1064" s="15" t="s">
        <v>4324</v>
      </c>
      <c r="C1064" s="40">
        <v>21.302</v>
      </c>
      <c r="D1064" s="29">
        <v>2.361111111111111E-2</v>
      </c>
      <c r="E1064" s="41">
        <v>-12.148904</v>
      </c>
      <c r="F1064" s="41">
        <v>-76.981705000000005</v>
      </c>
      <c r="G1064" s="41">
        <v>-12.084977</v>
      </c>
      <c r="H1064" s="41">
        <v>-76.982032000000004</v>
      </c>
      <c r="I1064" s="41">
        <v>-12.092278</v>
      </c>
      <c r="J1064" s="41">
        <v>-77.033850999999999</v>
      </c>
    </row>
    <row r="1065" spans="1:10" x14ac:dyDescent="0.25">
      <c r="A1065" s="15" t="s">
        <v>4317</v>
      </c>
      <c r="B1065" s="15" t="s">
        <v>4325</v>
      </c>
      <c r="C1065" s="42">
        <v>3.4769999999999999</v>
      </c>
      <c r="D1065" s="25">
        <v>6.9444444444444441E-3</v>
      </c>
      <c r="E1065" s="43">
        <v>-12.157181</v>
      </c>
      <c r="F1065" s="43">
        <v>-76.955275999999998</v>
      </c>
      <c r="G1065" s="43">
        <v>-12.140336</v>
      </c>
      <c r="H1065" s="43">
        <v>-76.948342999999994</v>
      </c>
      <c r="I1065" s="43">
        <v>-12.137553</v>
      </c>
      <c r="J1065" s="43">
        <v>-76.944850000000002</v>
      </c>
    </row>
    <row r="1066" spans="1:10" x14ac:dyDescent="0.25">
      <c r="A1066" s="15" t="s">
        <v>4317</v>
      </c>
      <c r="B1066" s="15" t="s">
        <v>4268</v>
      </c>
      <c r="C1066" s="40">
        <v>18.738</v>
      </c>
      <c r="D1066" s="29">
        <v>1.6666666666666666E-2</v>
      </c>
      <c r="E1066" s="41">
        <v>-12.148904</v>
      </c>
      <c r="F1066" s="41">
        <v>-76.981705000000005</v>
      </c>
      <c r="G1066" s="41">
        <v>-12.084611000000001</v>
      </c>
      <c r="H1066" s="41">
        <v>-76.981786999999997</v>
      </c>
      <c r="I1066" s="41">
        <v>-12.035318999999999</v>
      </c>
      <c r="J1066" s="41">
        <v>-76.989223999999993</v>
      </c>
    </row>
    <row r="1067" spans="1:10" x14ac:dyDescent="0.25">
      <c r="A1067" s="15" t="s">
        <v>4318</v>
      </c>
      <c r="B1067" s="15" t="s">
        <v>4267</v>
      </c>
      <c r="C1067" s="42">
        <v>8.5370000000000008</v>
      </c>
      <c r="D1067" s="25">
        <v>1.1111111111111112E-2</v>
      </c>
      <c r="E1067" s="43">
        <v>-12.087804</v>
      </c>
      <c r="F1067" s="43">
        <v>-77.002904999999998</v>
      </c>
      <c r="G1067" s="43">
        <v>-12.088846</v>
      </c>
      <c r="H1067" s="43">
        <v>-77.023703999999995</v>
      </c>
      <c r="I1067" s="43">
        <v>-12.056433999999999</v>
      </c>
      <c r="J1067" s="43">
        <v>-77.035632000000007</v>
      </c>
    </row>
    <row r="1068" spans="1:10" x14ac:dyDescent="0.25">
      <c r="A1068" s="15" t="s">
        <v>4318</v>
      </c>
      <c r="B1068" s="15" t="s">
        <v>4280</v>
      </c>
      <c r="C1068" s="40">
        <v>14.444000000000001</v>
      </c>
      <c r="D1068" s="29">
        <v>1.4583333333333334E-2</v>
      </c>
      <c r="E1068" s="41">
        <v>-12.090811</v>
      </c>
      <c r="F1068" s="41">
        <v>-77.022954999999996</v>
      </c>
      <c r="G1068" s="41">
        <v>-12.134446000000001</v>
      </c>
      <c r="H1068" s="41">
        <v>-77.021733999999995</v>
      </c>
      <c r="I1068" s="41">
        <v>-12.162088000000001</v>
      </c>
      <c r="J1068" s="41">
        <v>-77.025544999999994</v>
      </c>
    </row>
    <row r="1069" spans="1:10" x14ac:dyDescent="0.25">
      <c r="A1069" s="15" t="s">
        <v>4318</v>
      </c>
      <c r="B1069" s="15" t="s">
        <v>4281</v>
      </c>
      <c r="C1069" s="42">
        <v>8.36</v>
      </c>
      <c r="D1069" s="25">
        <v>1.0416666666666666E-2</v>
      </c>
      <c r="E1069" s="43">
        <v>-12.086880000000001</v>
      </c>
      <c r="F1069" s="43">
        <v>-76.994710999999995</v>
      </c>
      <c r="G1069" s="43">
        <v>-12.080835</v>
      </c>
      <c r="H1069" s="43">
        <v>-76.966751000000002</v>
      </c>
      <c r="I1069" s="43">
        <v>-12.065318</v>
      </c>
      <c r="J1069" s="43">
        <v>-76.940864000000005</v>
      </c>
    </row>
    <row r="1070" spans="1:10" x14ac:dyDescent="0.25">
      <c r="A1070" s="15" t="s">
        <v>4318</v>
      </c>
      <c r="B1070" s="15" t="s">
        <v>4296</v>
      </c>
      <c r="C1070" s="40">
        <v>9.2590000000000003</v>
      </c>
      <c r="D1070" s="29">
        <v>1.1111111111111112E-2</v>
      </c>
      <c r="E1070" s="41">
        <v>-12.09027</v>
      </c>
      <c r="F1070" s="41">
        <v>-77.019615000000002</v>
      </c>
      <c r="G1070" s="41">
        <v>-12.061267000000001</v>
      </c>
      <c r="H1070" s="41">
        <v>-77.034757999999997</v>
      </c>
      <c r="I1070" s="41">
        <v>-12.063283</v>
      </c>
      <c r="J1070" s="41">
        <v>-77.034310000000005</v>
      </c>
    </row>
    <row r="1071" spans="1:10" x14ac:dyDescent="0.25">
      <c r="A1071" s="15" t="s">
        <v>4318</v>
      </c>
      <c r="B1071" s="15" t="s">
        <v>4297</v>
      </c>
      <c r="C1071" s="42">
        <v>3.3889999999999998</v>
      </c>
      <c r="D1071" s="25">
        <v>6.2500000000000003E-3</v>
      </c>
      <c r="E1071" s="43">
        <v>-12.082394000000001</v>
      </c>
      <c r="F1071" s="43">
        <v>-77.004341999999994</v>
      </c>
      <c r="G1071" s="43">
        <v>-12.079117</v>
      </c>
      <c r="H1071" s="43">
        <v>-77.009737999999999</v>
      </c>
      <c r="I1071" s="43">
        <v>-12.076905999999999</v>
      </c>
      <c r="J1071" s="43">
        <v>-77.010310000000004</v>
      </c>
    </row>
    <row r="1072" spans="1:10" x14ac:dyDescent="0.25">
      <c r="A1072" s="15" t="s">
        <v>4318</v>
      </c>
      <c r="B1072" s="15" t="s">
        <v>4298</v>
      </c>
      <c r="C1072" s="40">
        <v>6.5810000000000004</v>
      </c>
      <c r="D1072" s="29">
        <v>8.3333333333333332E-3</v>
      </c>
      <c r="E1072" s="41">
        <v>-12.087593999999999</v>
      </c>
      <c r="F1072" s="41">
        <v>-77.002853999999999</v>
      </c>
      <c r="G1072" s="41">
        <v>-12.090341</v>
      </c>
      <c r="H1072" s="41">
        <v>-77.023613999999995</v>
      </c>
      <c r="I1072" s="41">
        <v>-12.10798</v>
      </c>
      <c r="J1072" s="41">
        <v>-77.026662000000002</v>
      </c>
    </row>
    <row r="1073" spans="1:10" x14ac:dyDescent="0.25">
      <c r="A1073" s="15" t="s">
        <v>4318</v>
      </c>
      <c r="B1073" s="15" t="s">
        <v>4299</v>
      </c>
      <c r="C1073" s="42">
        <v>6.7359999999999998</v>
      </c>
      <c r="D1073" s="25">
        <v>9.0277777777777769E-3</v>
      </c>
      <c r="E1073" s="43">
        <v>-12.087804</v>
      </c>
      <c r="F1073" s="43">
        <v>-77.002904999999998</v>
      </c>
      <c r="G1073" s="43">
        <v>-12.090182</v>
      </c>
      <c r="H1073" s="43">
        <v>-77.023337999999995</v>
      </c>
      <c r="I1073" s="43">
        <v>-12.110060000000001</v>
      </c>
      <c r="J1073" s="43">
        <v>-77.02646</v>
      </c>
    </row>
    <row r="1074" spans="1:10" x14ac:dyDescent="0.25">
      <c r="A1074" s="15" t="s">
        <v>4318</v>
      </c>
      <c r="B1074" s="15" t="s">
        <v>4300</v>
      </c>
      <c r="C1074" s="40">
        <v>5.2279999999999998</v>
      </c>
      <c r="D1074" s="29">
        <v>6.2500000000000003E-3</v>
      </c>
      <c r="E1074" s="41">
        <v>-12.087429999999999</v>
      </c>
      <c r="F1074" s="41">
        <v>-76.998507000000004</v>
      </c>
      <c r="G1074" s="41">
        <v>-12.086126999999999</v>
      </c>
      <c r="H1074" s="41">
        <v>-76.984513000000007</v>
      </c>
      <c r="I1074" s="41">
        <v>-12.098674000000001</v>
      </c>
      <c r="J1074" s="41">
        <v>-76.980056000000005</v>
      </c>
    </row>
    <row r="1075" spans="1:10" x14ac:dyDescent="0.25">
      <c r="A1075" s="15" t="s">
        <v>4318</v>
      </c>
      <c r="B1075" s="15" t="s">
        <v>4301</v>
      </c>
      <c r="C1075" s="42">
        <v>31.026</v>
      </c>
      <c r="D1075" s="25">
        <v>2.4305555555555556E-2</v>
      </c>
      <c r="E1075" s="43">
        <v>-12.085457999999999</v>
      </c>
      <c r="F1075" s="43">
        <v>-76.982181999999995</v>
      </c>
      <c r="G1075" s="43">
        <v>-12.032836</v>
      </c>
      <c r="H1075" s="43">
        <v>-76.990747999999996</v>
      </c>
      <c r="I1075" s="43">
        <v>-12.038727</v>
      </c>
      <c r="J1075" s="43">
        <v>-77.037231000000006</v>
      </c>
    </row>
    <row r="1076" spans="1:10" x14ac:dyDescent="0.25">
      <c r="A1076" s="15" t="s">
        <v>4318</v>
      </c>
      <c r="B1076" s="15" t="s">
        <v>4302</v>
      </c>
      <c r="C1076" s="40">
        <v>1.272</v>
      </c>
      <c r="D1076" s="29">
        <v>2.7777777777777779E-3</v>
      </c>
      <c r="E1076" s="41">
        <v>-12.088526999999999</v>
      </c>
      <c r="F1076" s="41">
        <v>-77.005197999999993</v>
      </c>
      <c r="G1076" s="41">
        <v>-12.088307</v>
      </c>
      <c r="H1076" s="41">
        <v>-77.003642999999997</v>
      </c>
      <c r="I1076" s="41">
        <v>-12.088388</v>
      </c>
      <c r="J1076" s="41">
        <v>-77.003629000000004</v>
      </c>
    </row>
    <row r="1077" spans="1:10" x14ac:dyDescent="0.25">
      <c r="A1077" s="15" t="s">
        <v>4318</v>
      </c>
      <c r="B1077" s="15" t="s">
        <v>4303</v>
      </c>
      <c r="C1077" s="42">
        <v>3.29</v>
      </c>
      <c r="D1077" s="25">
        <v>6.2500000000000003E-3</v>
      </c>
      <c r="E1077" s="43">
        <v>-12.081877</v>
      </c>
      <c r="F1077" s="43">
        <v>-77.004642000000004</v>
      </c>
      <c r="G1077" s="43">
        <v>-12.078116</v>
      </c>
      <c r="H1077" s="43">
        <v>-77.010240999999994</v>
      </c>
      <c r="I1077" s="43">
        <v>-12.076563</v>
      </c>
      <c r="J1077" s="43">
        <v>-77.010728</v>
      </c>
    </row>
    <row r="1078" spans="1:10" x14ac:dyDescent="0.25">
      <c r="A1078" s="15" t="s">
        <v>4318</v>
      </c>
      <c r="B1078" s="15" t="s">
        <v>4304</v>
      </c>
      <c r="C1078" s="40">
        <v>2.8730000000000002</v>
      </c>
      <c r="D1078" s="29">
        <v>5.5555555555555558E-3</v>
      </c>
      <c r="E1078" s="41">
        <v>-12.082394000000001</v>
      </c>
      <c r="F1078" s="41">
        <v>-77.004341999999994</v>
      </c>
      <c r="G1078" s="41">
        <v>-12.079117</v>
      </c>
      <c r="H1078" s="41">
        <v>-77.009737999999999</v>
      </c>
      <c r="I1078" s="41">
        <v>-12.076905999999999</v>
      </c>
      <c r="J1078" s="41">
        <v>-77.010310000000004</v>
      </c>
    </row>
    <row r="1079" spans="1:10" x14ac:dyDescent="0.25">
      <c r="A1079" s="15" t="s">
        <v>4318</v>
      </c>
      <c r="B1079" s="15" t="s">
        <v>4269</v>
      </c>
      <c r="C1079" s="42">
        <v>9.4030000000000005</v>
      </c>
      <c r="D1079" s="25">
        <v>1.4583333333333334E-2</v>
      </c>
      <c r="E1079" s="43">
        <v>-12.087593</v>
      </c>
      <c r="F1079" s="43">
        <v>-77.003422</v>
      </c>
      <c r="G1079" s="43">
        <v>-12.092278</v>
      </c>
      <c r="H1079" s="43">
        <v>-77.033850999999999</v>
      </c>
      <c r="I1079" s="43">
        <v>-12.089928</v>
      </c>
      <c r="J1079" s="43">
        <v>-77.065745000000007</v>
      </c>
    </row>
    <row r="1080" spans="1:10" x14ac:dyDescent="0.25">
      <c r="A1080" s="15" t="s">
        <v>4318</v>
      </c>
      <c r="B1080" s="15" t="s">
        <v>4305</v>
      </c>
      <c r="C1080" s="40">
        <v>8.25</v>
      </c>
      <c r="D1080" s="29">
        <v>1.0416666666666666E-2</v>
      </c>
      <c r="E1080" s="41">
        <v>-12.090366</v>
      </c>
      <c r="F1080" s="41">
        <v>-77.020895999999993</v>
      </c>
      <c r="G1080" s="41">
        <v>-12.059535</v>
      </c>
      <c r="H1080" s="41">
        <v>-77.035432</v>
      </c>
      <c r="I1080" s="41">
        <v>-12.062032</v>
      </c>
      <c r="J1080" s="41">
        <v>-77.043188000000001</v>
      </c>
    </row>
    <row r="1081" spans="1:10" x14ac:dyDescent="0.25">
      <c r="A1081" s="15" t="s">
        <v>4318</v>
      </c>
      <c r="B1081" s="15" t="s">
        <v>4306</v>
      </c>
      <c r="C1081" s="42">
        <v>7.8860000000000001</v>
      </c>
      <c r="D1081" s="25">
        <v>6.9444444444444441E-3</v>
      </c>
      <c r="E1081" s="43">
        <v>-12.087759</v>
      </c>
      <c r="F1081" s="43">
        <v>-77.000658999999999</v>
      </c>
      <c r="G1081" s="43">
        <v>-12.085888000000001</v>
      </c>
      <c r="H1081" s="43">
        <v>-76.985515000000007</v>
      </c>
      <c r="I1081" s="43">
        <v>-12.117227</v>
      </c>
      <c r="J1081" s="43">
        <v>-76.977379999999997</v>
      </c>
    </row>
    <row r="1082" spans="1:10" x14ac:dyDescent="0.25">
      <c r="A1082" s="15" t="s">
        <v>4318</v>
      </c>
      <c r="B1082" s="15" t="s">
        <v>4277</v>
      </c>
      <c r="C1082" s="40">
        <v>4.9420000000000002</v>
      </c>
      <c r="D1082" s="29">
        <v>6.2500000000000003E-3</v>
      </c>
      <c r="E1082" s="41">
        <v>-12.087782000000001</v>
      </c>
      <c r="F1082" s="41">
        <v>-77.003530999999995</v>
      </c>
      <c r="G1082" s="41">
        <v>-12.087543</v>
      </c>
      <c r="H1082" s="41">
        <v>-77.003360999999998</v>
      </c>
      <c r="I1082" s="41">
        <v>-12.08799</v>
      </c>
      <c r="J1082" s="41">
        <v>-77.003259999999997</v>
      </c>
    </row>
    <row r="1083" spans="1:10" x14ac:dyDescent="0.25">
      <c r="A1083" s="15" t="s">
        <v>4318</v>
      </c>
      <c r="B1083" s="15" t="s">
        <v>4307</v>
      </c>
      <c r="C1083" s="42">
        <v>10.888999999999999</v>
      </c>
      <c r="D1083" s="25">
        <v>1.1111111111111112E-2</v>
      </c>
      <c r="E1083" s="43">
        <v>-12.085157000000001</v>
      </c>
      <c r="F1083" s="43">
        <v>-76.985114999999993</v>
      </c>
      <c r="G1083" s="43">
        <v>-12.080475</v>
      </c>
      <c r="H1083" s="43">
        <v>-76.977480999999997</v>
      </c>
      <c r="I1083" s="43">
        <v>-12.044223000000001</v>
      </c>
      <c r="J1083" s="43">
        <v>-76.984525000000005</v>
      </c>
    </row>
    <row r="1084" spans="1:10" x14ac:dyDescent="0.25">
      <c r="A1084" s="15" t="s">
        <v>4318</v>
      </c>
      <c r="B1084" s="15" t="s">
        <v>4308</v>
      </c>
      <c r="C1084" s="40">
        <v>10.904999999999999</v>
      </c>
      <c r="D1084" s="29">
        <v>1.6666666666666666E-2</v>
      </c>
      <c r="E1084" s="41">
        <v>-12.087543</v>
      </c>
      <c r="F1084" s="41">
        <v>-77.003360999999998</v>
      </c>
      <c r="G1084" s="41">
        <v>-12.094547</v>
      </c>
      <c r="H1084" s="41">
        <v>-77.050759999999997</v>
      </c>
      <c r="I1084" s="41">
        <v>-12.083748999999999</v>
      </c>
      <c r="J1084" s="41">
        <v>-77.065212000000002</v>
      </c>
    </row>
    <row r="1085" spans="1:10" x14ac:dyDescent="0.25">
      <c r="A1085" s="15" t="s">
        <v>4318</v>
      </c>
      <c r="B1085" s="15" t="s">
        <v>4309</v>
      </c>
      <c r="C1085" s="42">
        <v>5.133</v>
      </c>
      <c r="D1085" s="25">
        <v>5.5555555555555558E-3</v>
      </c>
      <c r="E1085" s="43">
        <v>-12.087593</v>
      </c>
      <c r="F1085" s="43">
        <v>-77.003422</v>
      </c>
      <c r="G1085" s="43">
        <v>-12.090265</v>
      </c>
      <c r="H1085" s="43">
        <v>-77.019711000000001</v>
      </c>
      <c r="I1085" s="43">
        <v>-12.089363000000001</v>
      </c>
      <c r="J1085" s="43">
        <v>-77.023325</v>
      </c>
    </row>
    <row r="1086" spans="1:10" x14ac:dyDescent="0.25">
      <c r="A1086" s="15" t="s">
        <v>4318</v>
      </c>
      <c r="B1086" s="15" t="s">
        <v>4278</v>
      </c>
      <c r="C1086" s="40">
        <v>22.574999999999999</v>
      </c>
      <c r="D1086" s="29">
        <v>1.8055555555555554E-2</v>
      </c>
      <c r="E1086" s="41">
        <v>-12.085457999999999</v>
      </c>
      <c r="F1086" s="41">
        <v>-76.982181999999995</v>
      </c>
      <c r="G1086" s="41">
        <v>-12.032836</v>
      </c>
      <c r="H1086" s="41">
        <v>-76.990747999999996</v>
      </c>
      <c r="I1086" s="41">
        <v>-12.038103</v>
      </c>
      <c r="J1086" s="41">
        <v>-77.03828</v>
      </c>
    </row>
    <row r="1087" spans="1:10" x14ac:dyDescent="0.25">
      <c r="A1087" s="15" t="s">
        <v>4318</v>
      </c>
      <c r="B1087" s="15" t="s">
        <v>4310</v>
      </c>
      <c r="C1087" s="42">
        <v>11.853999999999999</v>
      </c>
      <c r="D1087" s="25">
        <v>1.1805555555555555E-2</v>
      </c>
      <c r="E1087" s="43">
        <v>-12.085198</v>
      </c>
      <c r="F1087" s="43">
        <v>-76.981576000000004</v>
      </c>
      <c r="G1087" s="43">
        <v>-12.066178000000001</v>
      </c>
      <c r="H1087" s="43">
        <v>-76.971248000000003</v>
      </c>
      <c r="I1087" s="43">
        <v>-12.029382999999999</v>
      </c>
      <c r="J1087" s="43">
        <v>-76.995318999999995</v>
      </c>
    </row>
    <row r="1088" spans="1:10" x14ac:dyDescent="0.25">
      <c r="A1088" s="15" t="s">
        <v>4318</v>
      </c>
      <c r="B1088" s="15" t="s">
        <v>4311</v>
      </c>
      <c r="C1088" s="40">
        <v>7.0279999999999996</v>
      </c>
      <c r="D1088" s="29">
        <v>9.0277777777777769E-3</v>
      </c>
      <c r="E1088" s="41">
        <v>-12.09027</v>
      </c>
      <c r="F1088" s="41">
        <v>-77.019615000000002</v>
      </c>
      <c r="G1088" s="41">
        <v>-12.06874</v>
      </c>
      <c r="H1088" s="41">
        <v>-77.031944999999993</v>
      </c>
      <c r="I1088" s="41">
        <v>-12.069132</v>
      </c>
      <c r="J1088" s="41">
        <v>-77.034318999999996</v>
      </c>
    </row>
    <row r="1089" spans="1:10" x14ac:dyDescent="0.25">
      <c r="A1089" s="15" t="s">
        <v>4318</v>
      </c>
      <c r="B1089" s="15" t="s">
        <v>4312</v>
      </c>
      <c r="C1089" s="42">
        <v>3.5979999999999999</v>
      </c>
      <c r="D1089" s="25">
        <v>6.9444444444444441E-3</v>
      </c>
      <c r="E1089" s="43">
        <v>-12.082394000000001</v>
      </c>
      <c r="F1089" s="43">
        <v>-77.004341999999994</v>
      </c>
      <c r="G1089" s="43">
        <v>-12.079117</v>
      </c>
      <c r="H1089" s="43">
        <v>-77.009737999999999</v>
      </c>
      <c r="I1089" s="43">
        <v>-12.076905999999999</v>
      </c>
      <c r="J1089" s="43">
        <v>-77.010310000000004</v>
      </c>
    </row>
    <row r="1090" spans="1:10" x14ac:dyDescent="0.25">
      <c r="A1090" s="15" t="s">
        <v>4318</v>
      </c>
      <c r="B1090" s="15" t="s">
        <v>4313</v>
      </c>
      <c r="C1090" s="40">
        <v>9.3710000000000004</v>
      </c>
      <c r="D1090" s="29">
        <v>1.1111111111111112E-2</v>
      </c>
      <c r="E1090" s="41">
        <v>-12.090366</v>
      </c>
      <c r="F1090" s="41">
        <v>-77.020895999999993</v>
      </c>
      <c r="G1090" s="41">
        <v>-12.059535</v>
      </c>
      <c r="H1090" s="41">
        <v>-77.035432</v>
      </c>
      <c r="I1090" s="41">
        <v>-12.064505</v>
      </c>
      <c r="J1090" s="41">
        <v>-77.039394999999999</v>
      </c>
    </row>
    <row r="1091" spans="1:10" x14ac:dyDescent="0.25">
      <c r="A1091" s="15" t="s">
        <v>4318</v>
      </c>
      <c r="B1091" s="15" t="s">
        <v>4314</v>
      </c>
      <c r="C1091" s="42">
        <v>9.7650000000000006</v>
      </c>
      <c r="D1091" s="25">
        <v>1.5277777777777777E-2</v>
      </c>
      <c r="E1091" s="43">
        <v>-12.087593</v>
      </c>
      <c r="F1091" s="43">
        <v>-77.003422</v>
      </c>
      <c r="G1091" s="43">
        <v>-12.092278</v>
      </c>
      <c r="H1091" s="43">
        <v>-77.033850999999999</v>
      </c>
      <c r="I1091" s="43">
        <v>-12.084512</v>
      </c>
      <c r="J1091" s="43">
        <v>-77.064483999999993</v>
      </c>
    </row>
    <row r="1092" spans="1:10" x14ac:dyDescent="0.25">
      <c r="A1092" s="15" t="s">
        <v>4318</v>
      </c>
      <c r="B1092" s="15" t="s">
        <v>4315</v>
      </c>
      <c r="C1092" s="40">
        <v>6.4349999999999996</v>
      </c>
      <c r="D1092" s="29">
        <v>7.6388888888888886E-3</v>
      </c>
      <c r="E1092" s="41">
        <v>-12.086795</v>
      </c>
      <c r="F1092" s="41">
        <v>-76.997088000000005</v>
      </c>
      <c r="G1092" s="41">
        <v>-12.088449000000001</v>
      </c>
      <c r="H1092" s="41">
        <v>-76.981604000000004</v>
      </c>
      <c r="I1092" s="41">
        <v>-12.106826999999999</v>
      </c>
      <c r="J1092" s="41">
        <v>-76.979768000000007</v>
      </c>
    </row>
    <row r="1093" spans="1:10" x14ac:dyDescent="0.25">
      <c r="A1093" s="15" t="s">
        <v>4318</v>
      </c>
      <c r="B1093" s="15" t="s">
        <v>4316</v>
      </c>
      <c r="C1093" s="42">
        <v>6.69</v>
      </c>
      <c r="D1093" s="25">
        <v>9.7222222222222224E-3</v>
      </c>
      <c r="E1093" s="43">
        <v>-12.087713000000001</v>
      </c>
      <c r="F1093" s="43">
        <v>-77.003502999999995</v>
      </c>
      <c r="G1093" s="43">
        <v>-12.087593999999999</v>
      </c>
      <c r="H1093" s="43">
        <v>-77.002853999999999</v>
      </c>
      <c r="I1093" s="43">
        <v>-12.095108</v>
      </c>
      <c r="J1093" s="43">
        <v>-77.054213000000004</v>
      </c>
    </row>
    <row r="1094" spans="1:10" x14ac:dyDescent="0.25">
      <c r="A1094" s="15" t="s">
        <v>4318</v>
      </c>
      <c r="B1094" s="15" t="s">
        <v>4317</v>
      </c>
      <c r="C1094" s="40">
        <v>13.172000000000001</v>
      </c>
      <c r="D1094" s="29">
        <v>1.2500000000000001E-2</v>
      </c>
      <c r="E1094" s="41">
        <v>-12.086</v>
      </c>
      <c r="F1094" s="41">
        <v>-76.987904999999998</v>
      </c>
      <c r="G1094" s="41">
        <v>-12.128666000000001</v>
      </c>
      <c r="H1094" s="41">
        <v>-76.977340999999996</v>
      </c>
      <c r="I1094" s="41">
        <v>-12.149718</v>
      </c>
      <c r="J1094" s="41">
        <v>-76.984601999999995</v>
      </c>
    </row>
    <row r="1095" spans="1:10" x14ac:dyDescent="0.25">
      <c r="A1095" s="15" t="s">
        <v>4318</v>
      </c>
      <c r="B1095" s="15" t="s">
        <v>4318</v>
      </c>
      <c r="C1095" s="42">
        <v>0</v>
      </c>
      <c r="D1095" s="25">
        <v>0</v>
      </c>
      <c r="E1095" s="43" t="e">
        <f>'1 ubicaciones'!#REF!</f>
        <v>#REF!</v>
      </c>
      <c r="F1095" s="43" t="e">
        <f>'1 ubicaciones'!#REF!</f>
        <v>#REF!</v>
      </c>
      <c r="G1095" s="43" t="e">
        <f>'1 ubicaciones'!#REF!</f>
        <v>#REF!</v>
      </c>
      <c r="H1095" s="43" t="e">
        <f>'1 ubicaciones'!#REF!</f>
        <v>#REF!</v>
      </c>
      <c r="I1095" s="43" t="e">
        <f>'1 ubicaciones'!#REF!</f>
        <v>#REF!</v>
      </c>
      <c r="J1095" s="43" t="e">
        <f>'1 ubicaciones'!#REF!</f>
        <v>#REF!</v>
      </c>
    </row>
    <row r="1096" spans="1:10" x14ac:dyDescent="0.25">
      <c r="A1096" s="15" t="s">
        <v>4318</v>
      </c>
      <c r="B1096" s="15" t="s">
        <v>4319</v>
      </c>
      <c r="C1096" s="40">
        <v>2.7170000000000001</v>
      </c>
      <c r="D1096" s="29">
        <v>4.8611111111111112E-3</v>
      </c>
      <c r="E1096" s="41">
        <v>-12.087927000000001</v>
      </c>
      <c r="F1096" s="41">
        <v>-77.001481999999996</v>
      </c>
      <c r="G1096" s="41">
        <v>-12.08774</v>
      </c>
      <c r="H1096" s="41">
        <v>-77.000512999999998</v>
      </c>
      <c r="I1096" s="41">
        <v>-12.087643999999999</v>
      </c>
      <c r="J1096" s="41">
        <v>-76.999026999999998</v>
      </c>
    </row>
    <row r="1097" spans="1:10" x14ac:dyDescent="0.25">
      <c r="A1097" s="15" t="s">
        <v>4318</v>
      </c>
      <c r="B1097" s="15" t="s">
        <v>4279</v>
      </c>
      <c r="C1097" s="42">
        <v>15.128</v>
      </c>
      <c r="D1097" s="25">
        <v>2.1527777777777778E-2</v>
      </c>
      <c r="E1097" s="43">
        <v>-12.090265</v>
      </c>
      <c r="F1097" s="43">
        <v>-77.019711000000001</v>
      </c>
      <c r="G1097" s="43">
        <v>-12.060172</v>
      </c>
      <c r="H1097" s="43">
        <v>-77.035402000000005</v>
      </c>
      <c r="I1097" s="43">
        <v>-12.050152000000001</v>
      </c>
      <c r="J1097" s="43">
        <v>-77.042317999999995</v>
      </c>
    </row>
    <row r="1098" spans="1:10" x14ac:dyDescent="0.25">
      <c r="A1098" s="15" t="s">
        <v>4318</v>
      </c>
      <c r="B1098" s="15" t="s">
        <v>4320</v>
      </c>
      <c r="C1098" s="40">
        <v>6.8289999999999997</v>
      </c>
      <c r="D1098" s="29">
        <v>7.6388888888888886E-3</v>
      </c>
      <c r="E1098" s="41">
        <v>-12.086672</v>
      </c>
      <c r="F1098" s="41">
        <v>-76.992756999999997</v>
      </c>
      <c r="G1098" s="41">
        <v>-12.085457999999999</v>
      </c>
      <c r="H1098" s="41">
        <v>-76.982181999999995</v>
      </c>
      <c r="I1098" s="41">
        <v>-12.064074</v>
      </c>
      <c r="J1098" s="41">
        <v>-76.971238</v>
      </c>
    </row>
    <row r="1099" spans="1:10" x14ac:dyDescent="0.25">
      <c r="A1099" s="15" t="s">
        <v>4318</v>
      </c>
      <c r="B1099" s="15" t="s">
        <v>4321</v>
      </c>
      <c r="C1099" s="42">
        <v>36.917999999999999</v>
      </c>
      <c r="D1099" s="25">
        <v>3.1944444444444442E-2</v>
      </c>
      <c r="E1099" s="43">
        <v>-12.07887</v>
      </c>
      <c r="F1099" s="43">
        <v>-76.976319000000004</v>
      </c>
      <c r="G1099" s="43">
        <v>-12.034475</v>
      </c>
      <c r="H1099" s="43">
        <v>-77.009604999999993</v>
      </c>
      <c r="I1099" s="43">
        <v>-12.008125</v>
      </c>
      <c r="J1099" s="43">
        <v>-77.061334000000002</v>
      </c>
    </row>
    <row r="1100" spans="1:10" x14ac:dyDescent="0.25">
      <c r="A1100" s="15" t="s">
        <v>4318</v>
      </c>
      <c r="B1100" s="15" t="s">
        <v>4322</v>
      </c>
      <c r="C1100" s="40">
        <v>15.404</v>
      </c>
      <c r="D1100" s="29">
        <v>1.6666666666666666E-2</v>
      </c>
      <c r="E1100" s="41">
        <v>-12.090182</v>
      </c>
      <c r="F1100" s="41">
        <v>-77.023337999999995</v>
      </c>
      <c r="G1100" s="41">
        <v>-12.134126999999999</v>
      </c>
      <c r="H1100" s="41">
        <v>-77.021338999999998</v>
      </c>
      <c r="I1100" s="41">
        <v>-12.161678</v>
      </c>
      <c r="J1100" s="41">
        <v>-77.025835999999998</v>
      </c>
    </row>
    <row r="1101" spans="1:10" x14ac:dyDescent="0.25">
      <c r="A1101" s="15" t="s">
        <v>4318</v>
      </c>
      <c r="B1101" s="15" t="s">
        <v>4323</v>
      </c>
      <c r="C1101" s="42">
        <v>15.368</v>
      </c>
      <c r="D1101" s="25">
        <v>1.5277777777777777E-2</v>
      </c>
      <c r="E1101" s="43">
        <v>-12.086126999999999</v>
      </c>
      <c r="F1101" s="43">
        <v>-76.984513000000007</v>
      </c>
      <c r="G1101" s="43">
        <v>-12.160401</v>
      </c>
      <c r="H1101" s="43">
        <v>-76.982348000000002</v>
      </c>
      <c r="I1101" s="43">
        <v>-12.172202</v>
      </c>
      <c r="J1101" s="43">
        <v>-76.986541000000003</v>
      </c>
    </row>
    <row r="1102" spans="1:10" x14ac:dyDescent="0.25">
      <c r="A1102" s="15" t="s">
        <v>4318</v>
      </c>
      <c r="B1102" s="15" t="s">
        <v>4324</v>
      </c>
      <c r="C1102" s="40">
        <v>8.6959999999999997</v>
      </c>
      <c r="D1102" s="29">
        <v>1.3888888888888888E-2</v>
      </c>
      <c r="E1102" s="41">
        <v>-12.087543</v>
      </c>
      <c r="F1102" s="41">
        <v>-77.003360999999998</v>
      </c>
      <c r="G1102" s="41">
        <v>-12.094547</v>
      </c>
      <c r="H1102" s="41">
        <v>-77.050759999999997</v>
      </c>
      <c r="I1102" s="41">
        <v>-12.083748999999999</v>
      </c>
      <c r="J1102" s="41">
        <v>-77.065212000000002</v>
      </c>
    </row>
    <row r="1103" spans="1:10" x14ac:dyDescent="0.25">
      <c r="A1103" s="15" t="s">
        <v>4318</v>
      </c>
      <c r="B1103" s="15" t="s">
        <v>4325</v>
      </c>
      <c r="C1103" s="42">
        <v>13.412000000000001</v>
      </c>
      <c r="D1103" s="25">
        <v>1.7361111111111112E-2</v>
      </c>
      <c r="E1103" s="43">
        <v>-12.087826</v>
      </c>
      <c r="F1103" s="43">
        <v>-76.982071000000005</v>
      </c>
      <c r="G1103" s="43">
        <v>-12.14091</v>
      </c>
      <c r="H1103" s="43">
        <v>-76.975005999999993</v>
      </c>
      <c r="I1103" s="43">
        <v>-12.1411</v>
      </c>
      <c r="J1103" s="43">
        <v>-76.957379000000003</v>
      </c>
    </row>
    <row r="1104" spans="1:10" x14ac:dyDescent="0.25">
      <c r="A1104" s="15" t="s">
        <v>4318</v>
      </c>
      <c r="B1104" s="15" t="s">
        <v>4268</v>
      </c>
      <c r="C1104" s="40">
        <v>11.315</v>
      </c>
      <c r="D1104" s="29">
        <v>1.0416666666666666E-2</v>
      </c>
      <c r="E1104" s="41">
        <v>-12.085198</v>
      </c>
      <c r="F1104" s="41">
        <v>-76.981576000000004</v>
      </c>
      <c r="G1104" s="41">
        <v>-12.066178000000001</v>
      </c>
      <c r="H1104" s="41">
        <v>-76.971248000000003</v>
      </c>
      <c r="I1104" s="41">
        <v>-12.029382999999999</v>
      </c>
      <c r="J1104" s="41">
        <v>-76.995318999999995</v>
      </c>
    </row>
    <row r="1105" spans="1:10" x14ac:dyDescent="0.25">
      <c r="A1105" s="15" t="s">
        <v>4319</v>
      </c>
      <c r="B1105" s="15" t="s">
        <v>4267</v>
      </c>
      <c r="C1105" s="42">
        <v>10.548999999999999</v>
      </c>
      <c r="D1105" s="25">
        <v>1.3888888888888888E-2</v>
      </c>
      <c r="E1105" s="43">
        <v>-12.087626999999999</v>
      </c>
      <c r="F1105" s="43">
        <v>-77.000674000000004</v>
      </c>
      <c r="G1105" s="43">
        <v>-12.088846</v>
      </c>
      <c r="H1105" s="43">
        <v>-77.023703999999995</v>
      </c>
      <c r="I1105" s="43">
        <v>-12.056433999999999</v>
      </c>
      <c r="J1105" s="43">
        <v>-77.035632000000007</v>
      </c>
    </row>
    <row r="1106" spans="1:10" x14ac:dyDescent="0.25">
      <c r="A1106" s="15" t="s">
        <v>4319</v>
      </c>
      <c r="B1106" s="15" t="s">
        <v>4280</v>
      </c>
      <c r="C1106" s="40">
        <v>16.456</v>
      </c>
      <c r="D1106" s="29">
        <v>1.7361111111111112E-2</v>
      </c>
      <c r="E1106" s="41">
        <v>-12.090811</v>
      </c>
      <c r="F1106" s="41">
        <v>-77.022954999999996</v>
      </c>
      <c r="G1106" s="41">
        <v>-12.134446000000001</v>
      </c>
      <c r="H1106" s="41">
        <v>-77.021733999999995</v>
      </c>
      <c r="I1106" s="41">
        <v>-12.162088000000001</v>
      </c>
      <c r="J1106" s="41">
        <v>-77.025544999999994</v>
      </c>
    </row>
    <row r="1107" spans="1:10" x14ac:dyDescent="0.25">
      <c r="A1107" s="15" t="s">
        <v>4319</v>
      </c>
      <c r="B1107" s="15" t="s">
        <v>4281</v>
      </c>
      <c r="C1107" s="42">
        <v>8.9760000000000009</v>
      </c>
      <c r="D1107" s="25">
        <v>1.1805555555555555E-2</v>
      </c>
      <c r="E1107" s="43">
        <v>-12.085157000000001</v>
      </c>
      <c r="F1107" s="43">
        <v>-76.985114999999993</v>
      </c>
      <c r="G1107" s="43">
        <v>-12.079050000000001</v>
      </c>
      <c r="H1107" s="43">
        <v>-76.965564000000001</v>
      </c>
      <c r="I1107" s="43">
        <v>-12.065258999999999</v>
      </c>
      <c r="J1107" s="43">
        <v>-76.940208999999996</v>
      </c>
    </row>
    <row r="1108" spans="1:10" x14ac:dyDescent="0.25">
      <c r="A1108" s="15" t="s">
        <v>4319</v>
      </c>
      <c r="B1108" s="15" t="s">
        <v>4296</v>
      </c>
      <c r="C1108" s="40">
        <v>11.271000000000001</v>
      </c>
      <c r="D1108" s="29">
        <v>1.3888888888888888E-2</v>
      </c>
      <c r="E1108" s="41">
        <v>-12.09027</v>
      </c>
      <c r="F1108" s="41">
        <v>-77.019615000000002</v>
      </c>
      <c r="G1108" s="41">
        <v>-12.061267000000001</v>
      </c>
      <c r="H1108" s="41">
        <v>-77.034757999999997</v>
      </c>
      <c r="I1108" s="41">
        <v>-12.063283</v>
      </c>
      <c r="J1108" s="41">
        <v>-77.034310000000005</v>
      </c>
    </row>
    <row r="1109" spans="1:10" x14ac:dyDescent="0.25">
      <c r="A1109" s="15" t="s">
        <v>4319</v>
      </c>
      <c r="B1109" s="15" t="s">
        <v>4297</v>
      </c>
      <c r="C1109" s="42">
        <v>5.5609999999999999</v>
      </c>
      <c r="D1109" s="25">
        <v>9.7222222222222224E-3</v>
      </c>
      <c r="E1109" s="43">
        <v>-12.08764</v>
      </c>
      <c r="F1109" s="43">
        <v>-77.002007000000006</v>
      </c>
      <c r="G1109" s="43">
        <v>-12.080609000000001</v>
      </c>
      <c r="H1109" s="43">
        <v>-77.006164999999996</v>
      </c>
      <c r="I1109" s="43">
        <v>-12.07709</v>
      </c>
      <c r="J1109" s="43">
        <v>-77.010199999999998</v>
      </c>
    </row>
    <row r="1110" spans="1:10" x14ac:dyDescent="0.25">
      <c r="A1110" s="15" t="s">
        <v>4319</v>
      </c>
      <c r="B1110" s="15" t="s">
        <v>4298</v>
      </c>
      <c r="C1110" s="40">
        <v>5.1210000000000004</v>
      </c>
      <c r="D1110" s="29">
        <v>7.6388888888888886E-3</v>
      </c>
      <c r="E1110" s="41">
        <v>-12.101089</v>
      </c>
      <c r="F1110" s="41">
        <v>-76.992682000000002</v>
      </c>
      <c r="G1110" s="41">
        <v>-12.110620000000001</v>
      </c>
      <c r="H1110" s="41">
        <v>-76.988487000000006</v>
      </c>
      <c r="I1110" s="41">
        <v>-12.110885</v>
      </c>
      <c r="J1110" s="41">
        <v>-76.988917000000001</v>
      </c>
    </row>
    <row r="1111" spans="1:10" x14ac:dyDescent="0.25">
      <c r="A1111" s="15" t="s">
        <v>4319</v>
      </c>
      <c r="B1111" s="15" t="s">
        <v>4299</v>
      </c>
      <c r="C1111" s="42">
        <v>8.7479999999999993</v>
      </c>
      <c r="D1111" s="25">
        <v>1.1805555555555555E-2</v>
      </c>
      <c r="E1111" s="43">
        <v>-12.087626999999999</v>
      </c>
      <c r="F1111" s="43">
        <v>-77.000674000000004</v>
      </c>
      <c r="G1111" s="43">
        <v>-12.090182</v>
      </c>
      <c r="H1111" s="43">
        <v>-77.023337999999995</v>
      </c>
      <c r="I1111" s="43">
        <v>-12.110060000000001</v>
      </c>
      <c r="J1111" s="43">
        <v>-77.02646</v>
      </c>
    </row>
    <row r="1112" spans="1:10" x14ac:dyDescent="0.25">
      <c r="A1112" s="15" t="s">
        <v>4319</v>
      </c>
      <c r="B1112" s="15" t="s">
        <v>4300</v>
      </c>
      <c r="C1112" s="40">
        <v>4.0620000000000003</v>
      </c>
      <c r="D1112" s="29">
        <v>6.9444444444444441E-3</v>
      </c>
      <c r="E1112" s="41">
        <v>-12.103216</v>
      </c>
      <c r="F1112" s="41">
        <v>-76.989694999999998</v>
      </c>
      <c r="G1112" s="41">
        <v>-12.096617</v>
      </c>
      <c r="H1112" s="41">
        <v>-76.987523999999993</v>
      </c>
      <c r="I1112" s="41">
        <v>-12.096639</v>
      </c>
      <c r="J1112" s="41">
        <v>-76.980402999999995</v>
      </c>
    </row>
    <row r="1113" spans="1:10" x14ac:dyDescent="0.25">
      <c r="A1113" s="15" t="s">
        <v>4319</v>
      </c>
      <c r="B1113" s="15" t="s">
        <v>4301</v>
      </c>
      <c r="C1113" s="42">
        <v>31.641999999999999</v>
      </c>
      <c r="D1113" s="25">
        <v>2.6388888888888889E-2</v>
      </c>
      <c r="E1113" s="43">
        <v>-12.084611000000001</v>
      </c>
      <c r="F1113" s="43">
        <v>-76.981786999999997</v>
      </c>
      <c r="G1113" s="43">
        <v>-12.030715000000001</v>
      </c>
      <c r="H1113" s="43">
        <v>-76.993043</v>
      </c>
      <c r="I1113" s="43">
        <v>-12.038219</v>
      </c>
      <c r="J1113" s="43">
        <v>-77.038023999999993</v>
      </c>
    </row>
    <row r="1114" spans="1:10" x14ac:dyDescent="0.25">
      <c r="A1114" s="15" t="s">
        <v>4319</v>
      </c>
      <c r="B1114" s="15" t="s">
        <v>4302</v>
      </c>
      <c r="C1114" s="40">
        <v>1.663</v>
      </c>
      <c r="D1114" s="29">
        <v>3.472222222222222E-3</v>
      </c>
      <c r="E1114" s="41">
        <v>-12.100657</v>
      </c>
      <c r="F1114" s="41">
        <v>-76.993832999999995</v>
      </c>
      <c r="G1114" s="41">
        <v>-12.100789000000001</v>
      </c>
      <c r="H1114" s="41">
        <v>-76.992926999999995</v>
      </c>
      <c r="I1114" s="41">
        <v>-12.100606000000001</v>
      </c>
      <c r="J1114" s="41">
        <v>-76.998552000000004</v>
      </c>
    </row>
    <row r="1115" spans="1:10" x14ac:dyDescent="0.25">
      <c r="A1115" s="15" t="s">
        <v>4319</v>
      </c>
      <c r="B1115" s="15" t="s">
        <v>4303</v>
      </c>
      <c r="C1115" s="42">
        <v>5.4619999999999997</v>
      </c>
      <c r="D1115" s="25">
        <v>9.7222222222222224E-3</v>
      </c>
      <c r="E1115" s="43">
        <v>-12.087394</v>
      </c>
      <c r="F1115" s="43">
        <v>-77.002966999999998</v>
      </c>
      <c r="G1115" s="43">
        <v>-12.079477000000001</v>
      </c>
      <c r="H1115" s="43">
        <v>-77.009330000000006</v>
      </c>
      <c r="I1115" s="43">
        <v>-12.076750000000001</v>
      </c>
      <c r="J1115" s="43">
        <v>-77.010598000000002</v>
      </c>
    </row>
    <row r="1116" spans="1:10" x14ac:dyDescent="0.25">
      <c r="A1116" s="15" t="s">
        <v>4319</v>
      </c>
      <c r="B1116" s="15" t="s">
        <v>4304</v>
      </c>
      <c r="C1116" s="40">
        <v>5.0449999999999999</v>
      </c>
      <c r="D1116" s="29">
        <v>9.0277777777777769E-3</v>
      </c>
      <c r="E1116" s="41">
        <v>-12.08764</v>
      </c>
      <c r="F1116" s="41">
        <v>-77.002007000000006</v>
      </c>
      <c r="G1116" s="41">
        <v>-12.080609000000001</v>
      </c>
      <c r="H1116" s="41">
        <v>-77.006164999999996</v>
      </c>
      <c r="I1116" s="41">
        <v>-12.07709</v>
      </c>
      <c r="J1116" s="41">
        <v>-77.010199999999998</v>
      </c>
    </row>
    <row r="1117" spans="1:10" x14ac:dyDescent="0.25">
      <c r="A1117" s="15" t="s">
        <v>4319</v>
      </c>
      <c r="B1117" s="15" t="s">
        <v>4269</v>
      </c>
      <c r="C1117" s="42">
        <v>11.414999999999999</v>
      </c>
      <c r="D1117" s="25">
        <v>1.7361111111111112E-2</v>
      </c>
      <c r="E1117" s="43">
        <v>-12.087201</v>
      </c>
      <c r="F1117" s="43">
        <v>-76.998457000000002</v>
      </c>
      <c r="G1117" s="43">
        <v>-12.092278</v>
      </c>
      <c r="H1117" s="43">
        <v>-77.033850999999999</v>
      </c>
      <c r="I1117" s="43">
        <v>-12.089928</v>
      </c>
      <c r="J1117" s="43">
        <v>-77.065745000000007</v>
      </c>
    </row>
    <row r="1118" spans="1:10" x14ac:dyDescent="0.25">
      <c r="A1118" s="15" t="s">
        <v>4319</v>
      </c>
      <c r="B1118" s="15" t="s">
        <v>4305</v>
      </c>
      <c r="C1118" s="40">
        <v>10.262</v>
      </c>
      <c r="D1118" s="29">
        <v>1.3194444444444444E-2</v>
      </c>
      <c r="E1118" s="41">
        <v>-12.090366</v>
      </c>
      <c r="F1118" s="41">
        <v>-77.020895999999993</v>
      </c>
      <c r="G1118" s="41">
        <v>-12.059535</v>
      </c>
      <c r="H1118" s="41">
        <v>-77.035432</v>
      </c>
      <c r="I1118" s="41">
        <v>-12.062032</v>
      </c>
      <c r="J1118" s="41">
        <v>-77.043188000000001</v>
      </c>
    </row>
    <row r="1119" spans="1:10" x14ac:dyDescent="0.25">
      <c r="A1119" s="15" t="s">
        <v>4319</v>
      </c>
      <c r="B1119" s="15" t="s">
        <v>4306</v>
      </c>
      <c r="C1119" s="42">
        <v>5.3550000000000004</v>
      </c>
      <c r="D1119" s="25">
        <v>7.6388888888888886E-3</v>
      </c>
      <c r="E1119" s="43">
        <v>-12.103743</v>
      </c>
      <c r="F1119" s="43">
        <v>-76.989028000000005</v>
      </c>
      <c r="G1119" s="43">
        <v>-12.110471</v>
      </c>
      <c r="H1119" s="43">
        <v>-76.984605999999999</v>
      </c>
      <c r="I1119" s="43">
        <v>-12.112863000000001</v>
      </c>
      <c r="J1119" s="43">
        <v>-76.977959999999996</v>
      </c>
    </row>
    <row r="1120" spans="1:10" x14ac:dyDescent="0.25">
      <c r="A1120" s="15" t="s">
        <v>4319</v>
      </c>
      <c r="B1120" s="15" t="s">
        <v>4277</v>
      </c>
      <c r="C1120" s="40">
        <v>6.9539999999999997</v>
      </c>
      <c r="D1120" s="29">
        <v>9.0277777777777769E-3</v>
      </c>
      <c r="E1120" s="41">
        <v>-12.086516</v>
      </c>
      <c r="F1120" s="41">
        <v>-76.996616000000003</v>
      </c>
      <c r="G1120" s="41">
        <v>-12.087460999999999</v>
      </c>
      <c r="H1120" s="41">
        <v>-77.000305999999995</v>
      </c>
      <c r="I1120" s="41">
        <v>-12.087743</v>
      </c>
      <c r="J1120" s="41">
        <v>-77.001643999999999</v>
      </c>
    </row>
    <row r="1121" spans="1:10" x14ac:dyDescent="0.25">
      <c r="A1121" s="15" t="s">
        <v>4319</v>
      </c>
      <c r="B1121" s="15" t="s">
        <v>4307</v>
      </c>
      <c r="C1121" s="42">
        <v>11.505000000000001</v>
      </c>
      <c r="D1121" s="25">
        <v>1.3194444444444444E-2</v>
      </c>
      <c r="E1121" s="43">
        <v>-12.085198</v>
      </c>
      <c r="F1121" s="43">
        <v>-76.981576000000004</v>
      </c>
      <c r="G1121" s="43">
        <v>-12.077921</v>
      </c>
      <c r="H1121" s="43">
        <v>-76.975845000000007</v>
      </c>
      <c r="I1121" s="43">
        <v>-12.042619</v>
      </c>
      <c r="J1121" s="43">
        <v>-76.986239999999995</v>
      </c>
    </row>
    <row r="1122" spans="1:10" x14ac:dyDescent="0.25">
      <c r="A1122" s="15" t="s">
        <v>4319</v>
      </c>
      <c r="B1122" s="15" t="s">
        <v>4308</v>
      </c>
      <c r="C1122" s="40">
        <v>12.917</v>
      </c>
      <c r="D1122" s="29">
        <v>1.9444444444444445E-2</v>
      </c>
      <c r="E1122" s="41">
        <v>-12.087460999999999</v>
      </c>
      <c r="F1122" s="41">
        <v>-77.000305999999995</v>
      </c>
      <c r="G1122" s="41">
        <v>-12.094547</v>
      </c>
      <c r="H1122" s="41">
        <v>-77.050759999999997</v>
      </c>
      <c r="I1122" s="41">
        <v>-12.083748999999999</v>
      </c>
      <c r="J1122" s="41">
        <v>-77.065212000000002</v>
      </c>
    </row>
    <row r="1123" spans="1:10" x14ac:dyDescent="0.25">
      <c r="A1123" s="15" t="s">
        <v>4319</v>
      </c>
      <c r="B1123" s="15" t="s">
        <v>4309</v>
      </c>
      <c r="C1123" s="42">
        <v>7.1449999999999996</v>
      </c>
      <c r="D1123" s="25">
        <v>8.3333333333333332E-3</v>
      </c>
      <c r="E1123" s="43">
        <v>-12.087201</v>
      </c>
      <c r="F1123" s="43">
        <v>-76.998457000000002</v>
      </c>
      <c r="G1123" s="43">
        <v>-12.090265</v>
      </c>
      <c r="H1123" s="43">
        <v>-77.019711000000001</v>
      </c>
      <c r="I1123" s="43">
        <v>-12.089363000000001</v>
      </c>
      <c r="J1123" s="43">
        <v>-77.023325</v>
      </c>
    </row>
    <row r="1124" spans="1:10" x14ac:dyDescent="0.25">
      <c r="A1124" s="15" t="s">
        <v>4319</v>
      </c>
      <c r="B1124" s="15" t="s">
        <v>4278</v>
      </c>
      <c r="C1124" s="40">
        <v>23.190999999999999</v>
      </c>
      <c r="D1124" s="29">
        <v>2.013888888888889E-2</v>
      </c>
      <c r="E1124" s="41">
        <v>-12.084611000000001</v>
      </c>
      <c r="F1124" s="41">
        <v>-76.981786999999997</v>
      </c>
      <c r="G1124" s="41">
        <v>-12.030612</v>
      </c>
      <c r="H1124" s="41">
        <v>-76.993185999999994</v>
      </c>
      <c r="I1124" s="41">
        <v>-12.03608</v>
      </c>
      <c r="J1124" s="41">
        <v>-77.044940999999994</v>
      </c>
    </row>
    <row r="1125" spans="1:10" x14ac:dyDescent="0.25">
      <c r="A1125" s="15" t="s">
        <v>4319</v>
      </c>
      <c r="B1125" s="15" t="s">
        <v>4310</v>
      </c>
      <c r="C1125" s="42">
        <v>12.47</v>
      </c>
      <c r="D1125" s="25">
        <v>1.3194444444444444E-2</v>
      </c>
      <c r="E1125" s="43">
        <v>-12.085798</v>
      </c>
      <c r="F1125" s="43">
        <v>-76.981514000000004</v>
      </c>
      <c r="G1125" s="43">
        <v>-12.064074</v>
      </c>
      <c r="H1125" s="43">
        <v>-76.971238</v>
      </c>
      <c r="I1125" s="43">
        <v>-12.029014999999999</v>
      </c>
      <c r="J1125" s="43">
        <v>-76.996457000000007</v>
      </c>
    </row>
    <row r="1126" spans="1:10" x14ac:dyDescent="0.25">
      <c r="A1126" s="15" t="s">
        <v>4319</v>
      </c>
      <c r="B1126" s="15" t="s">
        <v>4311</v>
      </c>
      <c r="C1126" s="40">
        <v>9.0399999999999991</v>
      </c>
      <c r="D1126" s="29">
        <v>1.1805555555555555E-2</v>
      </c>
      <c r="E1126" s="41">
        <v>-12.09027</v>
      </c>
      <c r="F1126" s="41">
        <v>-77.019615000000002</v>
      </c>
      <c r="G1126" s="41">
        <v>-12.06874</v>
      </c>
      <c r="H1126" s="41">
        <v>-77.031944999999993</v>
      </c>
      <c r="I1126" s="41">
        <v>-12.069132</v>
      </c>
      <c r="J1126" s="41">
        <v>-77.034318999999996</v>
      </c>
    </row>
    <row r="1127" spans="1:10" x14ac:dyDescent="0.25">
      <c r="A1127" s="15" t="s">
        <v>4319</v>
      </c>
      <c r="B1127" s="15" t="s">
        <v>4312</v>
      </c>
      <c r="C1127" s="42">
        <v>5.77</v>
      </c>
      <c r="D1127" s="25">
        <v>1.0416666666666666E-2</v>
      </c>
      <c r="E1127" s="43">
        <v>-12.087460999999999</v>
      </c>
      <c r="F1127" s="43">
        <v>-77.000305999999995</v>
      </c>
      <c r="G1127" s="43">
        <v>-12.081877</v>
      </c>
      <c r="H1127" s="43">
        <v>-77.004642000000004</v>
      </c>
      <c r="I1127" s="43">
        <v>-12.078116</v>
      </c>
      <c r="J1127" s="43">
        <v>-77.010240999999994</v>
      </c>
    </row>
    <row r="1128" spans="1:10" x14ac:dyDescent="0.25">
      <c r="A1128" s="15" t="s">
        <v>4319</v>
      </c>
      <c r="B1128" s="15" t="s">
        <v>4313</v>
      </c>
      <c r="C1128" s="40">
        <v>11.382999999999999</v>
      </c>
      <c r="D1128" s="29">
        <v>1.3888888888888888E-2</v>
      </c>
      <c r="E1128" s="41">
        <v>-12.090366</v>
      </c>
      <c r="F1128" s="41">
        <v>-77.020895999999993</v>
      </c>
      <c r="G1128" s="41">
        <v>-12.059535</v>
      </c>
      <c r="H1128" s="41">
        <v>-77.035432</v>
      </c>
      <c r="I1128" s="41">
        <v>-12.064505</v>
      </c>
      <c r="J1128" s="41">
        <v>-77.039394999999999</v>
      </c>
    </row>
    <row r="1129" spans="1:10" x14ac:dyDescent="0.25">
      <c r="A1129" s="15" t="s">
        <v>4319</v>
      </c>
      <c r="B1129" s="15" t="s">
        <v>4314</v>
      </c>
      <c r="C1129" s="42">
        <v>11.776999999999999</v>
      </c>
      <c r="D1129" s="25">
        <v>1.7361111111111112E-2</v>
      </c>
      <c r="E1129" s="43">
        <v>-12.087201</v>
      </c>
      <c r="F1129" s="43">
        <v>-76.998457000000002</v>
      </c>
      <c r="G1129" s="43">
        <v>-12.092278</v>
      </c>
      <c r="H1129" s="43">
        <v>-77.033850999999999</v>
      </c>
      <c r="I1129" s="43">
        <v>-12.084512</v>
      </c>
      <c r="J1129" s="43">
        <v>-77.064483999999993</v>
      </c>
    </row>
    <row r="1130" spans="1:10" x14ac:dyDescent="0.25">
      <c r="A1130" s="15" t="s">
        <v>4319</v>
      </c>
      <c r="B1130" s="15" t="s">
        <v>4315</v>
      </c>
      <c r="C1130" s="40">
        <v>3.5950000000000002</v>
      </c>
      <c r="D1130" s="29">
        <v>6.2500000000000003E-3</v>
      </c>
      <c r="E1130" s="41">
        <v>-12.101089</v>
      </c>
      <c r="F1130" s="41">
        <v>-76.992682000000002</v>
      </c>
      <c r="G1130" s="41">
        <v>-12.107335000000001</v>
      </c>
      <c r="H1130" s="41">
        <v>-76.988748000000001</v>
      </c>
      <c r="I1130" s="41">
        <v>-12.108046</v>
      </c>
      <c r="J1130" s="41">
        <v>-76.986384999999999</v>
      </c>
    </row>
    <row r="1131" spans="1:10" x14ac:dyDescent="0.25">
      <c r="A1131" s="15" t="s">
        <v>4319</v>
      </c>
      <c r="B1131" s="15" t="s">
        <v>4316</v>
      </c>
      <c r="C1131" s="42">
        <v>8.702</v>
      </c>
      <c r="D1131" s="25">
        <v>1.2500000000000001E-2</v>
      </c>
      <c r="E1131" s="43">
        <v>-12.08653</v>
      </c>
      <c r="F1131" s="43">
        <v>-76.996735000000001</v>
      </c>
      <c r="G1131" s="43">
        <v>-12.087578000000001</v>
      </c>
      <c r="H1131" s="43">
        <v>-77.000564999999995</v>
      </c>
      <c r="I1131" s="43">
        <v>-12.095108</v>
      </c>
      <c r="J1131" s="43">
        <v>-77.054213000000004</v>
      </c>
    </row>
    <row r="1132" spans="1:10" x14ac:dyDescent="0.25">
      <c r="A1132" s="15" t="s">
        <v>4319</v>
      </c>
      <c r="B1132" s="15" t="s">
        <v>4317</v>
      </c>
      <c r="C1132" s="40">
        <v>10.641</v>
      </c>
      <c r="D1132" s="29">
        <v>1.2500000000000001E-2</v>
      </c>
      <c r="E1132" s="41">
        <v>-12.107950000000001</v>
      </c>
      <c r="F1132" s="41">
        <v>-76.988127000000006</v>
      </c>
      <c r="G1132" s="41">
        <v>-12.110858</v>
      </c>
      <c r="H1132" s="41">
        <v>-76.978351000000004</v>
      </c>
      <c r="I1132" s="41">
        <v>-12.150461</v>
      </c>
      <c r="J1132" s="41">
        <v>-76.983980000000003</v>
      </c>
    </row>
    <row r="1133" spans="1:10" x14ac:dyDescent="0.25">
      <c r="A1133" s="15" t="s">
        <v>4319</v>
      </c>
      <c r="B1133" s="15" t="s">
        <v>4318</v>
      </c>
      <c r="C1133" s="42">
        <v>2.641</v>
      </c>
      <c r="D1133" s="25">
        <v>5.5555555555555558E-3</v>
      </c>
      <c r="E1133" s="43">
        <v>-12.092803</v>
      </c>
      <c r="F1133" s="43">
        <v>-76.995698000000004</v>
      </c>
      <c r="G1133" s="43">
        <v>-12.094008000000001</v>
      </c>
      <c r="H1133" s="43">
        <v>-77.001373999999998</v>
      </c>
      <c r="I1133" s="43">
        <v>-12.090878999999999</v>
      </c>
      <c r="J1133" s="43">
        <v>-77.003264000000001</v>
      </c>
    </row>
    <row r="1134" spans="1:10" x14ac:dyDescent="0.25">
      <c r="A1134" s="15" t="s">
        <v>4319</v>
      </c>
      <c r="B1134" s="15" t="s">
        <v>4319</v>
      </c>
      <c r="C1134" s="40">
        <v>0</v>
      </c>
      <c r="D1134" s="29">
        <v>0</v>
      </c>
      <c r="E1134" s="41" t="e">
        <f>'1 ubicaciones'!#REF!</f>
        <v>#REF!</v>
      </c>
      <c r="F1134" s="41" t="e">
        <f>'1 ubicaciones'!#REF!</f>
        <v>#REF!</v>
      </c>
      <c r="G1134" s="41" t="e">
        <f>'1 ubicaciones'!#REF!</f>
        <v>#REF!</v>
      </c>
      <c r="H1134" s="41" t="e">
        <f>'1 ubicaciones'!#REF!</f>
        <v>#REF!</v>
      </c>
      <c r="I1134" s="41" t="e">
        <f>'1 ubicaciones'!#REF!</f>
        <v>#REF!</v>
      </c>
      <c r="J1134" s="41" t="e">
        <f>'1 ubicaciones'!#REF!</f>
        <v>#REF!</v>
      </c>
    </row>
    <row r="1135" spans="1:10" x14ac:dyDescent="0.25">
      <c r="A1135" s="15" t="s">
        <v>4319</v>
      </c>
      <c r="B1135" s="15" t="s">
        <v>4279</v>
      </c>
      <c r="C1135" s="42">
        <v>25.172000000000001</v>
      </c>
      <c r="D1135" s="25">
        <v>2.2916666666666665E-2</v>
      </c>
      <c r="E1135" s="43">
        <v>-12.067546999999999</v>
      </c>
      <c r="F1135" s="43">
        <v>-76.971515999999994</v>
      </c>
      <c r="G1135" s="43">
        <v>-12.035148</v>
      </c>
      <c r="H1135" s="43">
        <v>-77.010491999999999</v>
      </c>
      <c r="I1135" s="43">
        <v>-12.03701</v>
      </c>
      <c r="J1135" s="43">
        <v>-77.053113999999994</v>
      </c>
    </row>
    <row r="1136" spans="1:10" x14ac:dyDescent="0.25">
      <c r="A1136" s="15" t="s">
        <v>4319</v>
      </c>
      <c r="B1136" s="15" t="s">
        <v>4320</v>
      </c>
      <c r="C1136" s="40">
        <v>7.4450000000000003</v>
      </c>
      <c r="D1136" s="29">
        <v>9.7222222222222224E-3</v>
      </c>
      <c r="E1136" s="41">
        <v>-12.085035</v>
      </c>
      <c r="F1136" s="41">
        <v>-76.981905999999995</v>
      </c>
      <c r="G1136" s="41">
        <v>-12.084977</v>
      </c>
      <c r="H1136" s="41">
        <v>-76.982032000000004</v>
      </c>
      <c r="I1136" s="41">
        <v>-12.062994</v>
      </c>
      <c r="J1136" s="41">
        <v>-76.971418999999997</v>
      </c>
    </row>
    <row r="1137" spans="1:10" x14ac:dyDescent="0.25">
      <c r="A1137" s="15" t="s">
        <v>4319</v>
      </c>
      <c r="B1137" s="15" t="s">
        <v>4321</v>
      </c>
      <c r="C1137" s="42">
        <v>37.533999999999999</v>
      </c>
      <c r="D1137" s="25">
        <v>3.4027777777777775E-2</v>
      </c>
      <c r="E1137" s="43">
        <v>-12.067546999999999</v>
      </c>
      <c r="F1137" s="43">
        <v>-76.971515999999994</v>
      </c>
      <c r="G1137" s="43">
        <v>-12.040329</v>
      </c>
      <c r="H1137" s="43">
        <v>-77.016891000000001</v>
      </c>
      <c r="I1137" s="43">
        <v>-12.005409999999999</v>
      </c>
      <c r="J1137" s="43">
        <v>-77.061749000000006</v>
      </c>
    </row>
    <row r="1138" spans="1:10" x14ac:dyDescent="0.25">
      <c r="A1138" s="15" t="s">
        <v>4319</v>
      </c>
      <c r="B1138" s="15" t="s">
        <v>4322</v>
      </c>
      <c r="C1138" s="40">
        <v>19.963000000000001</v>
      </c>
      <c r="D1138" s="29">
        <v>1.8055555555555554E-2</v>
      </c>
      <c r="E1138" s="41">
        <v>-12.108046</v>
      </c>
      <c r="F1138" s="41">
        <v>-76.986384999999999</v>
      </c>
      <c r="G1138" s="41">
        <v>-12.127675</v>
      </c>
      <c r="H1138" s="41">
        <v>-76.977080999999998</v>
      </c>
      <c r="I1138" s="41">
        <v>-12.216597999999999</v>
      </c>
      <c r="J1138" s="41">
        <v>-76.976876000000004</v>
      </c>
    </row>
    <row r="1139" spans="1:10" x14ac:dyDescent="0.25">
      <c r="A1139" s="15" t="s">
        <v>4319</v>
      </c>
      <c r="B1139" s="15" t="s">
        <v>4323</v>
      </c>
      <c r="C1139" s="42">
        <v>12.837</v>
      </c>
      <c r="D1139" s="25">
        <v>1.5277777777777777E-2</v>
      </c>
      <c r="E1139" s="43">
        <v>-12.108021000000001</v>
      </c>
      <c r="F1139" s="43">
        <v>-76.984797</v>
      </c>
      <c r="G1139" s="43">
        <v>-12.151244</v>
      </c>
      <c r="H1139" s="43">
        <v>-76.983697000000006</v>
      </c>
      <c r="I1139" s="43">
        <v>-12.172418</v>
      </c>
      <c r="J1139" s="43">
        <v>-76.982579999999999</v>
      </c>
    </row>
    <row r="1140" spans="1:10" x14ac:dyDescent="0.25">
      <c r="A1140" s="15" t="s">
        <v>4319</v>
      </c>
      <c r="B1140" s="15" t="s">
        <v>4324</v>
      </c>
      <c r="C1140" s="40">
        <v>10.708</v>
      </c>
      <c r="D1140" s="29">
        <v>1.6666666666666666E-2</v>
      </c>
      <c r="E1140" s="41">
        <v>-12.087460999999999</v>
      </c>
      <c r="F1140" s="41">
        <v>-77.000305999999995</v>
      </c>
      <c r="G1140" s="41">
        <v>-12.094547</v>
      </c>
      <c r="H1140" s="41">
        <v>-77.050759999999997</v>
      </c>
      <c r="I1140" s="41">
        <v>-12.083748999999999</v>
      </c>
      <c r="J1140" s="41">
        <v>-77.065212000000002</v>
      </c>
    </row>
    <row r="1141" spans="1:10" x14ac:dyDescent="0.25">
      <c r="A1141" s="15" t="s">
        <v>4319</v>
      </c>
      <c r="B1141" s="15" t="s">
        <v>4325</v>
      </c>
      <c r="C1141" s="42">
        <v>10.881</v>
      </c>
      <c r="D1141" s="25">
        <v>1.7361111111111112E-2</v>
      </c>
      <c r="E1141" s="43">
        <v>-12.110582000000001</v>
      </c>
      <c r="F1141" s="43">
        <v>-76.984595999999996</v>
      </c>
      <c r="G1141" s="43">
        <v>-12.135672</v>
      </c>
      <c r="H1141" s="43">
        <v>-76.976173000000003</v>
      </c>
      <c r="I1141" s="43">
        <v>-12.141921999999999</v>
      </c>
      <c r="J1141" s="43">
        <v>-76.958815000000001</v>
      </c>
    </row>
    <row r="1142" spans="1:10" x14ac:dyDescent="0.25">
      <c r="A1142" s="15" t="s">
        <v>4319</v>
      </c>
      <c r="B1142" s="15" t="s">
        <v>4268</v>
      </c>
      <c r="C1142" s="40">
        <v>11.930999999999999</v>
      </c>
      <c r="D1142" s="29">
        <v>1.2500000000000001E-2</v>
      </c>
      <c r="E1142" s="41">
        <v>-12.085798</v>
      </c>
      <c r="F1142" s="41">
        <v>-76.981514000000004</v>
      </c>
      <c r="G1142" s="41">
        <v>-12.064074</v>
      </c>
      <c r="H1142" s="41">
        <v>-76.971238</v>
      </c>
      <c r="I1142" s="41">
        <v>-12.029014999999999</v>
      </c>
      <c r="J1142" s="41">
        <v>-76.996457000000007</v>
      </c>
    </row>
    <row r="1143" spans="1:10" x14ac:dyDescent="0.25">
      <c r="A1143" s="15" t="s">
        <v>4279</v>
      </c>
      <c r="B1143" s="15" t="s">
        <v>4267</v>
      </c>
      <c r="C1143" s="42">
        <v>8.625</v>
      </c>
      <c r="D1143" s="25">
        <v>1.6666666666666666E-2</v>
      </c>
      <c r="E1143" s="43">
        <v>-12.053746</v>
      </c>
      <c r="F1143" s="43">
        <v>-77.098029999999994</v>
      </c>
      <c r="G1143" s="43">
        <v>-12.05367</v>
      </c>
      <c r="H1143" s="43">
        <v>-77.098461999999998</v>
      </c>
      <c r="I1143" s="43">
        <v>-12.046799</v>
      </c>
      <c r="J1143" s="43">
        <v>-77.042726999999999</v>
      </c>
    </row>
    <row r="1144" spans="1:10" x14ac:dyDescent="0.25">
      <c r="A1144" s="15" t="s">
        <v>4279</v>
      </c>
      <c r="B1144" s="15" t="s">
        <v>4280</v>
      </c>
      <c r="C1144" s="40">
        <v>24.481999999999999</v>
      </c>
      <c r="D1144" s="29">
        <v>2.5000000000000001E-2</v>
      </c>
      <c r="E1144" s="41">
        <v>-12.07967</v>
      </c>
      <c r="F1144" s="41">
        <v>-77.111096000000003</v>
      </c>
      <c r="G1144" s="41">
        <v>-12.115296000000001</v>
      </c>
      <c r="H1144" s="41">
        <v>-77.050341000000003</v>
      </c>
      <c r="I1144" s="41">
        <v>-12.149540999999999</v>
      </c>
      <c r="J1144" s="41">
        <v>-77.024455000000003</v>
      </c>
    </row>
    <row r="1145" spans="1:10" x14ac:dyDescent="0.25">
      <c r="A1145" s="15" t="s">
        <v>4279</v>
      </c>
      <c r="B1145" s="15" t="s">
        <v>4281</v>
      </c>
      <c r="C1145" s="42">
        <v>27.87</v>
      </c>
      <c r="D1145" s="25">
        <v>2.7777777777777776E-2</v>
      </c>
      <c r="E1145" s="43">
        <v>-12.038659000000001</v>
      </c>
      <c r="F1145" s="43">
        <v>-77.046081999999998</v>
      </c>
      <c r="G1145" s="43">
        <v>-12.031034</v>
      </c>
      <c r="H1145" s="43">
        <v>-76.992929000000004</v>
      </c>
      <c r="I1145" s="43">
        <v>-12.085894</v>
      </c>
      <c r="J1145" s="43">
        <v>-76.982549000000006</v>
      </c>
    </row>
    <row r="1146" spans="1:10" x14ac:dyDescent="0.25">
      <c r="A1146" s="15" t="s">
        <v>4279</v>
      </c>
      <c r="B1146" s="15" t="s">
        <v>4296</v>
      </c>
      <c r="C1146" s="40">
        <v>8.6280000000000001</v>
      </c>
      <c r="D1146" s="29">
        <v>1.6666666666666666E-2</v>
      </c>
      <c r="E1146" s="41">
        <v>-12.062505</v>
      </c>
      <c r="F1146" s="41">
        <v>-77.098059000000006</v>
      </c>
      <c r="G1146" s="41">
        <v>-12.060632999999999</v>
      </c>
      <c r="H1146" s="41">
        <v>-77.079515999999998</v>
      </c>
      <c r="I1146" s="41">
        <v>-12.072430000000001</v>
      </c>
      <c r="J1146" s="41">
        <v>-77.066218000000006</v>
      </c>
    </row>
    <row r="1147" spans="1:10" x14ac:dyDescent="0.25">
      <c r="A1147" s="15" t="s">
        <v>4279</v>
      </c>
      <c r="B1147" s="15" t="s">
        <v>4297</v>
      </c>
      <c r="C1147" s="42">
        <v>14.327999999999999</v>
      </c>
      <c r="D1147" s="25">
        <v>1.8055555555555554E-2</v>
      </c>
      <c r="E1147" s="43">
        <v>-12.034916000000001</v>
      </c>
      <c r="F1147" s="43">
        <v>-77.069506000000004</v>
      </c>
      <c r="G1147" s="43">
        <v>-12.039179000000001</v>
      </c>
      <c r="H1147" s="43">
        <v>-77.038606999999999</v>
      </c>
      <c r="I1147" s="43">
        <v>-12.045082000000001</v>
      </c>
      <c r="J1147" s="43">
        <v>-77.013120999999998</v>
      </c>
    </row>
    <row r="1148" spans="1:10" x14ac:dyDescent="0.25">
      <c r="A1148" s="15" t="s">
        <v>4279</v>
      </c>
      <c r="B1148" s="15" t="s">
        <v>4298</v>
      </c>
      <c r="C1148" s="40">
        <v>23.65</v>
      </c>
      <c r="D1148" s="29">
        <v>2.2222222222222223E-2</v>
      </c>
      <c r="E1148" s="41">
        <v>-12.076808</v>
      </c>
      <c r="F1148" s="41">
        <v>-77.117564000000002</v>
      </c>
      <c r="G1148" s="41">
        <v>-12.111496000000001</v>
      </c>
      <c r="H1148" s="41">
        <v>-77.053648999999993</v>
      </c>
      <c r="I1148" s="41">
        <v>-12.138949999999999</v>
      </c>
      <c r="J1148" s="41">
        <v>-77.027086999999995</v>
      </c>
    </row>
    <row r="1149" spans="1:10" x14ac:dyDescent="0.25">
      <c r="A1149" s="15" t="s">
        <v>4279</v>
      </c>
      <c r="B1149" s="15" t="s">
        <v>4299</v>
      </c>
      <c r="C1149" s="42">
        <v>17.998000000000001</v>
      </c>
      <c r="D1149" s="25">
        <v>1.9444444444444445E-2</v>
      </c>
      <c r="E1149" s="43">
        <v>-12.072884</v>
      </c>
      <c r="F1149" s="43">
        <v>-77.123487999999995</v>
      </c>
      <c r="G1149" s="43">
        <v>-12.102231</v>
      </c>
      <c r="H1149" s="43">
        <v>-77.065754999999996</v>
      </c>
      <c r="I1149" s="43">
        <v>-12.109063000000001</v>
      </c>
      <c r="J1149" s="43">
        <v>-77.053092000000007</v>
      </c>
    </row>
    <row r="1150" spans="1:10" x14ac:dyDescent="0.25">
      <c r="A1150" s="15" t="s">
        <v>4279</v>
      </c>
      <c r="B1150" s="15" t="s">
        <v>4300</v>
      </c>
      <c r="C1150" s="40">
        <v>24.678000000000001</v>
      </c>
      <c r="D1150" s="29">
        <v>2.2916666666666665E-2</v>
      </c>
      <c r="E1150" s="41">
        <v>-12.036118</v>
      </c>
      <c r="F1150" s="41">
        <v>-77.048443000000006</v>
      </c>
      <c r="G1150" s="41">
        <v>-12.037967</v>
      </c>
      <c r="H1150" s="41">
        <v>-77.013292000000007</v>
      </c>
      <c r="I1150" s="41">
        <v>-12.063337000000001</v>
      </c>
      <c r="J1150" s="41">
        <v>-76.971529000000004</v>
      </c>
    </row>
    <row r="1151" spans="1:10" x14ac:dyDescent="0.25">
      <c r="A1151" s="15" t="s">
        <v>4279</v>
      </c>
      <c r="B1151" s="15" t="s">
        <v>4301</v>
      </c>
      <c r="C1151" s="42">
        <v>20.385999999999999</v>
      </c>
      <c r="D1151" s="25">
        <v>2.5694444444444443E-2</v>
      </c>
      <c r="E1151" s="43">
        <v>-12.036579</v>
      </c>
      <c r="F1151" s="43">
        <v>-77.080845999999994</v>
      </c>
      <c r="G1151" s="43">
        <v>-12.027971000000001</v>
      </c>
      <c r="H1151" s="43">
        <v>-77.068284000000006</v>
      </c>
      <c r="I1151" s="43">
        <v>-12.027456000000001</v>
      </c>
      <c r="J1151" s="43">
        <v>-77.058059</v>
      </c>
    </row>
    <row r="1152" spans="1:10" x14ac:dyDescent="0.25">
      <c r="A1152" s="15" t="s">
        <v>4279</v>
      </c>
      <c r="B1152" s="15" t="s">
        <v>4302</v>
      </c>
      <c r="C1152" s="40">
        <v>25.462</v>
      </c>
      <c r="D1152" s="29">
        <v>2.4305555555555556E-2</v>
      </c>
      <c r="E1152" s="41">
        <v>-12.036408</v>
      </c>
      <c r="F1152" s="41">
        <v>-77.047893999999999</v>
      </c>
      <c r="G1152" s="41">
        <v>-12.036279</v>
      </c>
      <c r="H1152" s="41">
        <v>-77.011555999999999</v>
      </c>
      <c r="I1152" s="41">
        <v>-12.067505000000001</v>
      </c>
      <c r="J1152" s="41">
        <v>-76.971851999999998</v>
      </c>
    </row>
    <row r="1153" spans="1:10" x14ac:dyDescent="0.25">
      <c r="A1153" s="15" t="s">
        <v>4279</v>
      </c>
      <c r="B1153" s="15" t="s">
        <v>4303</v>
      </c>
      <c r="C1153" s="42">
        <v>14.577999999999999</v>
      </c>
      <c r="D1153" s="25">
        <v>1.8055555555555554E-2</v>
      </c>
      <c r="E1153" s="43">
        <v>-12.034916000000001</v>
      </c>
      <c r="F1153" s="43">
        <v>-77.069506000000004</v>
      </c>
      <c r="G1153" s="43">
        <v>-12.039179000000001</v>
      </c>
      <c r="H1153" s="43">
        <v>-77.038606999999999</v>
      </c>
      <c r="I1153" s="43">
        <v>-12.045082000000001</v>
      </c>
      <c r="J1153" s="43">
        <v>-77.013120999999998</v>
      </c>
    </row>
    <row r="1154" spans="1:10" x14ac:dyDescent="0.25">
      <c r="A1154" s="15" t="s">
        <v>4279</v>
      </c>
      <c r="B1154" s="15" t="s">
        <v>4304</v>
      </c>
      <c r="C1154" s="40">
        <v>15.03</v>
      </c>
      <c r="D1154" s="29">
        <v>1.8749999999999999E-2</v>
      </c>
      <c r="E1154" s="41">
        <v>-12.034832</v>
      </c>
      <c r="F1154" s="41">
        <v>-77.071459000000004</v>
      </c>
      <c r="G1154" s="41">
        <v>-12.039173999999999</v>
      </c>
      <c r="H1154" s="41">
        <v>-77.044811999999993</v>
      </c>
      <c r="I1154" s="41">
        <v>-12.044466</v>
      </c>
      <c r="J1154" s="41">
        <v>-77.012592999999995</v>
      </c>
    </row>
    <row r="1155" spans="1:10" x14ac:dyDescent="0.25">
      <c r="A1155" s="15" t="s">
        <v>4279</v>
      </c>
      <c r="B1155" s="15" t="s">
        <v>4269</v>
      </c>
      <c r="C1155" s="42">
        <v>7.109</v>
      </c>
      <c r="D1155" s="25">
        <v>1.4583333333333334E-2</v>
      </c>
      <c r="E1155" s="43">
        <v>-12.062647</v>
      </c>
      <c r="F1155" s="43">
        <v>-77.097223999999997</v>
      </c>
      <c r="G1155" s="43">
        <v>-12.077313</v>
      </c>
      <c r="H1155" s="43">
        <v>-77.093829999999997</v>
      </c>
      <c r="I1155" s="43">
        <v>-12.079076000000001</v>
      </c>
      <c r="J1155" s="43">
        <v>-77.081767999999997</v>
      </c>
    </row>
    <row r="1156" spans="1:10" x14ac:dyDescent="0.25">
      <c r="A1156" s="15" t="s">
        <v>4279</v>
      </c>
      <c r="B1156" s="15" t="s">
        <v>4305</v>
      </c>
      <c r="C1156" s="40">
        <v>8.0670000000000002</v>
      </c>
      <c r="D1156" s="29">
        <v>1.5277777777777777E-2</v>
      </c>
      <c r="E1156" s="41">
        <v>-12.054133999999999</v>
      </c>
      <c r="F1156" s="41">
        <v>-77.098142999999993</v>
      </c>
      <c r="G1156" s="41">
        <v>-12.047682999999999</v>
      </c>
      <c r="H1156" s="41">
        <v>-77.052689999999998</v>
      </c>
      <c r="I1156" s="41">
        <v>-12.054914</v>
      </c>
      <c r="J1156" s="41">
        <v>-77.047657999999998</v>
      </c>
    </row>
    <row r="1157" spans="1:10" x14ac:dyDescent="0.25">
      <c r="A1157" s="15" t="s">
        <v>4279</v>
      </c>
      <c r="B1157" s="15" t="s">
        <v>4306</v>
      </c>
      <c r="C1157" s="42">
        <v>27.335999999999999</v>
      </c>
      <c r="D1157" s="25">
        <v>2.361111111111111E-2</v>
      </c>
      <c r="E1157" s="43">
        <v>-12.036118</v>
      </c>
      <c r="F1157" s="43">
        <v>-77.048443000000006</v>
      </c>
      <c r="G1157" s="43">
        <v>-12.037967</v>
      </c>
      <c r="H1157" s="43">
        <v>-77.013292000000007</v>
      </c>
      <c r="I1157" s="43">
        <v>-12.063337000000001</v>
      </c>
      <c r="J1157" s="43">
        <v>-76.971529000000004</v>
      </c>
    </row>
    <row r="1158" spans="1:10" x14ac:dyDescent="0.25">
      <c r="A1158" s="15" t="s">
        <v>4279</v>
      </c>
      <c r="B1158" s="15" t="s">
        <v>4277</v>
      </c>
      <c r="C1158" s="40">
        <v>10.493</v>
      </c>
      <c r="D1158" s="29">
        <v>2.013888888888889E-2</v>
      </c>
      <c r="E1158" s="41">
        <v>-12.066551</v>
      </c>
      <c r="F1158" s="41">
        <v>-77.097404999999995</v>
      </c>
      <c r="G1158" s="41">
        <v>-12.077897999999999</v>
      </c>
      <c r="H1158" s="41">
        <v>-77.092079999999996</v>
      </c>
      <c r="I1158" s="41">
        <v>-12.086558</v>
      </c>
      <c r="J1158" s="41">
        <v>-77.063126999999994</v>
      </c>
    </row>
    <row r="1159" spans="1:10" x14ac:dyDescent="0.25">
      <c r="A1159" s="15" t="s">
        <v>4279</v>
      </c>
      <c r="B1159" s="15" t="s">
        <v>4307</v>
      </c>
      <c r="C1159" s="42">
        <v>18.097999999999999</v>
      </c>
      <c r="D1159" s="25">
        <v>2.2222222222222223E-2</v>
      </c>
      <c r="E1159" s="43">
        <v>-12.036757</v>
      </c>
      <c r="F1159" s="43">
        <v>-77.055087999999998</v>
      </c>
      <c r="G1159" s="43">
        <v>-12.043507999999999</v>
      </c>
      <c r="H1159" s="43">
        <v>-77.021473</v>
      </c>
      <c r="I1159" s="43">
        <v>-12.032817</v>
      </c>
      <c r="J1159" s="43">
        <v>-76.998724999999993</v>
      </c>
    </row>
    <row r="1160" spans="1:10" x14ac:dyDescent="0.25">
      <c r="A1160" s="15" t="s">
        <v>4279</v>
      </c>
      <c r="B1160" s="15" t="s">
        <v>4308</v>
      </c>
      <c r="C1160" s="40">
        <v>4.2320000000000002</v>
      </c>
      <c r="D1160" s="29">
        <v>9.0277777777777769E-3</v>
      </c>
      <c r="E1160" s="41">
        <v>-12.051220000000001</v>
      </c>
      <c r="F1160" s="41">
        <v>-77.098466999999999</v>
      </c>
      <c r="G1160" s="41">
        <v>-12.062647</v>
      </c>
      <c r="H1160" s="41">
        <v>-77.097223999999997</v>
      </c>
      <c r="I1160" s="41">
        <v>-12.073121</v>
      </c>
      <c r="J1160" s="41">
        <v>-77.099407999999997</v>
      </c>
    </row>
    <row r="1161" spans="1:10" x14ac:dyDescent="0.25">
      <c r="A1161" s="15" t="s">
        <v>4279</v>
      </c>
      <c r="B1161" s="15" t="s">
        <v>4309</v>
      </c>
      <c r="C1161" s="42">
        <v>16.731000000000002</v>
      </c>
      <c r="D1161" s="25">
        <v>2.1527777777777778E-2</v>
      </c>
      <c r="E1161" s="43">
        <v>-12.035721000000001</v>
      </c>
      <c r="F1161" s="43">
        <v>-77.061977999999996</v>
      </c>
      <c r="G1161" s="43">
        <v>-12.042406</v>
      </c>
      <c r="H1161" s="43">
        <v>-77.031946000000005</v>
      </c>
      <c r="I1161" s="43">
        <v>-12.047323</v>
      </c>
      <c r="J1161" s="43">
        <v>-77.013109</v>
      </c>
    </row>
    <row r="1162" spans="1:10" x14ac:dyDescent="0.25">
      <c r="A1162" s="15" t="s">
        <v>4279</v>
      </c>
      <c r="B1162" s="15" t="s">
        <v>4278</v>
      </c>
      <c r="C1162" s="40">
        <v>10.975</v>
      </c>
      <c r="D1162" s="29">
        <v>1.9444444444444445E-2</v>
      </c>
      <c r="E1162" s="41">
        <v>-12.040136</v>
      </c>
      <c r="F1162" s="41">
        <v>-77.099076999999994</v>
      </c>
      <c r="G1162" s="41">
        <v>-12.018198999999999</v>
      </c>
      <c r="H1162" s="41">
        <v>-77.099429999999998</v>
      </c>
      <c r="I1162" s="41">
        <v>-12.006422000000001</v>
      </c>
      <c r="J1162" s="41">
        <v>-77.074433999999997</v>
      </c>
    </row>
    <row r="1163" spans="1:10" x14ac:dyDescent="0.25">
      <c r="A1163" s="15" t="s">
        <v>4279</v>
      </c>
      <c r="B1163" s="15" t="s">
        <v>4310</v>
      </c>
      <c r="C1163" s="42">
        <v>14.941000000000001</v>
      </c>
      <c r="D1163" s="25">
        <v>1.8055555555555554E-2</v>
      </c>
      <c r="E1163" s="43">
        <v>-12.034832</v>
      </c>
      <c r="F1163" s="43">
        <v>-77.071459000000004</v>
      </c>
      <c r="G1163" s="43">
        <v>-12.039173999999999</v>
      </c>
      <c r="H1163" s="43">
        <v>-77.044811999999993</v>
      </c>
      <c r="I1163" s="43">
        <v>-12.038463</v>
      </c>
      <c r="J1163" s="43">
        <v>-77.013606999999993</v>
      </c>
    </row>
    <row r="1164" spans="1:10" x14ac:dyDescent="0.25">
      <c r="A1164" s="15" t="s">
        <v>4279</v>
      </c>
      <c r="B1164" s="15" t="s">
        <v>4311</v>
      </c>
      <c r="C1164" s="40">
        <v>10.526</v>
      </c>
      <c r="D1164" s="29">
        <v>1.9444444444444445E-2</v>
      </c>
      <c r="E1164" s="41">
        <v>-12.054133999999999</v>
      </c>
      <c r="F1164" s="41">
        <v>-77.098142999999993</v>
      </c>
      <c r="G1164" s="41">
        <v>-12.046580000000001</v>
      </c>
      <c r="H1164" s="41">
        <v>-77.043127999999996</v>
      </c>
      <c r="I1164" s="41">
        <v>-12.060739</v>
      </c>
      <c r="J1164" s="41">
        <v>-77.041341000000003</v>
      </c>
    </row>
    <row r="1165" spans="1:10" x14ac:dyDescent="0.25">
      <c r="A1165" s="15" t="s">
        <v>4279</v>
      </c>
      <c r="B1165" s="15" t="s">
        <v>4312</v>
      </c>
      <c r="C1165" s="42">
        <v>14.537000000000001</v>
      </c>
      <c r="D1165" s="25">
        <v>1.8749999999999999E-2</v>
      </c>
      <c r="E1165" s="43">
        <v>-12.034916000000001</v>
      </c>
      <c r="F1165" s="43">
        <v>-77.069506000000004</v>
      </c>
      <c r="G1165" s="43">
        <v>-12.039179000000001</v>
      </c>
      <c r="H1165" s="43">
        <v>-77.038606999999999</v>
      </c>
      <c r="I1165" s="43">
        <v>-12.045082000000001</v>
      </c>
      <c r="J1165" s="43">
        <v>-77.013120999999998</v>
      </c>
    </row>
    <row r="1166" spans="1:10" x14ac:dyDescent="0.25">
      <c r="A1166" s="15" t="s">
        <v>4279</v>
      </c>
      <c r="B1166" s="15" t="s">
        <v>4313</v>
      </c>
      <c r="C1166" s="40">
        <v>9.1720000000000006</v>
      </c>
      <c r="D1166" s="29">
        <v>1.7361111111111112E-2</v>
      </c>
      <c r="E1166" s="41">
        <v>-12.062443999999999</v>
      </c>
      <c r="F1166" s="41">
        <v>-77.096518000000003</v>
      </c>
      <c r="G1166" s="41">
        <v>-12.06573</v>
      </c>
      <c r="H1166" s="41">
        <v>-77.078046999999998</v>
      </c>
      <c r="I1166" s="41">
        <v>-12.066594</v>
      </c>
      <c r="J1166" s="41">
        <v>-77.054327999999998</v>
      </c>
    </row>
    <row r="1167" spans="1:10" x14ac:dyDescent="0.25">
      <c r="A1167" s="15" t="s">
        <v>4279</v>
      </c>
      <c r="B1167" s="15" t="s">
        <v>4314</v>
      </c>
      <c r="C1167" s="42">
        <v>6.415</v>
      </c>
      <c r="D1167" s="25">
        <v>1.1805555555555555E-2</v>
      </c>
      <c r="E1167" s="43">
        <v>-12.062424</v>
      </c>
      <c r="F1167" s="43">
        <v>-77.097599000000002</v>
      </c>
      <c r="G1167" s="43">
        <v>-12.061032000000001</v>
      </c>
      <c r="H1167" s="43">
        <v>-77.082498999999999</v>
      </c>
      <c r="I1167" s="43">
        <v>-12.070169999999999</v>
      </c>
      <c r="J1167" s="43">
        <v>-77.078039000000004</v>
      </c>
    </row>
    <row r="1168" spans="1:10" x14ac:dyDescent="0.25">
      <c r="A1168" s="15" t="s">
        <v>4279</v>
      </c>
      <c r="B1168" s="15" t="s">
        <v>4315</v>
      </c>
      <c r="C1168" s="40">
        <v>25.885000000000002</v>
      </c>
      <c r="D1168" s="29">
        <v>2.4305555555555556E-2</v>
      </c>
      <c r="E1168" s="41">
        <v>-12.036408</v>
      </c>
      <c r="F1168" s="41">
        <v>-77.047893999999999</v>
      </c>
      <c r="G1168" s="41">
        <v>-12.036279</v>
      </c>
      <c r="H1168" s="41">
        <v>-77.011555999999999</v>
      </c>
      <c r="I1168" s="41">
        <v>-12.067505000000001</v>
      </c>
      <c r="J1168" s="41">
        <v>-76.971851999999998</v>
      </c>
    </row>
    <row r="1169" spans="1:10" x14ac:dyDescent="0.25">
      <c r="A1169" s="15" t="s">
        <v>4279</v>
      </c>
      <c r="B1169" s="15" t="s">
        <v>4316</v>
      </c>
      <c r="C1169" s="42">
        <v>9.5649999999999995</v>
      </c>
      <c r="D1169" s="25">
        <v>1.8055555555555554E-2</v>
      </c>
      <c r="E1169" s="43">
        <v>-12.062647</v>
      </c>
      <c r="F1169" s="43">
        <v>-77.097223999999997</v>
      </c>
      <c r="G1169" s="43">
        <v>-12.077313</v>
      </c>
      <c r="H1169" s="43">
        <v>-77.093829999999997</v>
      </c>
      <c r="I1169" s="43">
        <v>-12.084352000000001</v>
      </c>
      <c r="J1169" s="43">
        <v>-77.064750000000004</v>
      </c>
    </row>
    <row r="1170" spans="1:10" x14ac:dyDescent="0.25">
      <c r="A1170" s="15" t="s">
        <v>4279</v>
      </c>
      <c r="B1170" s="15" t="s">
        <v>4317</v>
      </c>
      <c r="C1170" s="40">
        <v>32.622</v>
      </c>
      <c r="D1170" s="29">
        <v>2.9166666666666667E-2</v>
      </c>
      <c r="E1170" s="41">
        <v>-12.037271</v>
      </c>
      <c r="F1170" s="41">
        <v>-77.047427999999996</v>
      </c>
      <c r="G1170" s="41">
        <v>-12.029156</v>
      </c>
      <c r="H1170" s="41">
        <v>-76.997450999999998</v>
      </c>
      <c r="I1170" s="41">
        <v>-12.080036</v>
      </c>
      <c r="J1170" s="41">
        <v>-76.977311999999998</v>
      </c>
    </row>
    <row r="1171" spans="1:10" x14ac:dyDescent="0.25">
      <c r="A1171" s="15" t="s">
        <v>4279</v>
      </c>
      <c r="B1171" s="15" t="s">
        <v>4318</v>
      </c>
      <c r="C1171" s="42">
        <v>15.603999999999999</v>
      </c>
      <c r="D1171" s="25">
        <v>2.361111111111111E-2</v>
      </c>
      <c r="E1171" s="43">
        <v>-12.049846000000001</v>
      </c>
      <c r="F1171" s="43">
        <v>-77.076582000000002</v>
      </c>
      <c r="G1171" s="43">
        <v>-12.059912000000001</v>
      </c>
      <c r="H1171" s="43">
        <v>-77.036882000000006</v>
      </c>
      <c r="I1171" s="43">
        <v>-12.091184999999999</v>
      </c>
      <c r="J1171" s="43">
        <v>-77.022919000000002</v>
      </c>
    </row>
    <row r="1172" spans="1:10" x14ac:dyDescent="0.25">
      <c r="A1172" s="15" t="s">
        <v>4279</v>
      </c>
      <c r="B1172" s="15" t="s">
        <v>4319</v>
      </c>
      <c r="C1172" s="40">
        <v>25.201000000000001</v>
      </c>
      <c r="D1172" s="29">
        <v>2.5000000000000001E-2</v>
      </c>
      <c r="E1172" s="41">
        <v>-12.036118</v>
      </c>
      <c r="F1172" s="41">
        <v>-77.048443000000006</v>
      </c>
      <c r="G1172" s="41">
        <v>-12.037967</v>
      </c>
      <c r="H1172" s="41">
        <v>-77.013292000000007</v>
      </c>
      <c r="I1172" s="41">
        <v>-12.063337000000001</v>
      </c>
      <c r="J1172" s="41">
        <v>-76.971529000000004</v>
      </c>
    </row>
    <row r="1173" spans="1:10" x14ac:dyDescent="0.25">
      <c r="A1173" s="15" t="s">
        <v>4279</v>
      </c>
      <c r="B1173" s="15" t="s">
        <v>4279</v>
      </c>
      <c r="C1173" s="42">
        <v>0</v>
      </c>
      <c r="D1173" s="25">
        <v>0</v>
      </c>
      <c r="E1173" s="43" t="e">
        <f>'1 ubicaciones'!#REF!</f>
        <v>#REF!</v>
      </c>
      <c r="F1173" s="43" t="e">
        <f>'1 ubicaciones'!#REF!</f>
        <v>#REF!</v>
      </c>
      <c r="G1173" s="43" t="e">
        <f>'1 ubicaciones'!#REF!</f>
        <v>#REF!</v>
      </c>
      <c r="H1173" s="43" t="e">
        <f>'1 ubicaciones'!#REF!</f>
        <v>#REF!</v>
      </c>
      <c r="I1173" s="43" t="e">
        <f>'1 ubicaciones'!#REF!</f>
        <v>#REF!</v>
      </c>
      <c r="J1173" s="43" t="e">
        <f>'1 ubicaciones'!#REF!</f>
        <v>#REF!</v>
      </c>
    </row>
    <row r="1174" spans="1:10" x14ac:dyDescent="0.25">
      <c r="A1174" s="15" t="s">
        <v>4279</v>
      </c>
      <c r="B1174" s="15" t="s">
        <v>4320</v>
      </c>
      <c r="C1174" s="40">
        <v>19.308</v>
      </c>
      <c r="D1174" s="29">
        <v>1.9444444444444445E-2</v>
      </c>
      <c r="E1174" s="41">
        <v>-12.036757</v>
      </c>
      <c r="F1174" s="41">
        <v>-77.055087999999998</v>
      </c>
      <c r="G1174" s="41">
        <v>-12.043507999999999</v>
      </c>
      <c r="H1174" s="41">
        <v>-77.021473</v>
      </c>
      <c r="I1174" s="41">
        <v>-12.033245000000001</v>
      </c>
      <c r="J1174" s="41">
        <v>-76.990701000000001</v>
      </c>
    </row>
    <row r="1175" spans="1:10" x14ac:dyDescent="0.25">
      <c r="A1175" s="15" t="s">
        <v>4279</v>
      </c>
      <c r="B1175" s="15" t="s">
        <v>4321</v>
      </c>
      <c r="C1175" s="42">
        <v>26.277999999999999</v>
      </c>
      <c r="D1175" s="25">
        <v>3.3333333333333333E-2</v>
      </c>
      <c r="E1175" s="43">
        <v>-12.035520999999999</v>
      </c>
      <c r="F1175" s="43">
        <v>-77.077811999999994</v>
      </c>
      <c r="G1175" s="43">
        <v>-12.029066</v>
      </c>
      <c r="H1175" s="43">
        <v>-77.058104</v>
      </c>
      <c r="I1175" s="43">
        <v>-11.987461</v>
      </c>
      <c r="J1175" s="43">
        <v>-77.064434000000006</v>
      </c>
    </row>
    <row r="1176" spans="1:10" x14ac:dyDescent="0.25">
      <c r="A1176" s="15" t="s">
        <v>4279</v>
      </c>
      <c r="B1176" s="15" t="s">
        <v>4322</v>
      </c>
      <c r="C1176" s="40">
        <v>25.442</v>
      </c>
      <c r="D1176" s="29">
        <v>2.6388888888888889E-2</v>
      </c>
      <c r="E1176" s="41">
        <v>-12.076808</v>
      </c>
      <c r="F1176" s="41">
        <v>-77.117564000000002</v>
      </c>
      <c r="G1176" s="41">
        <v>-12.111496000000001</v>
      </c>
      <c r="H1176" s="41">
        <v>-77.053648999999993</v>
      </c>
      <c r="I1176" s="41">
        <v>-12.14429</v>
      </c>
      <c r="J1176" s="41">
        <v>-77.025578999999993</v>
      </c>
    </row>
    <row r="1177" spans="1:10" x14ac:dyDescent="0.25">
      <c r="A1177" s="15" t="s">
        <v>4279</v>
      </c>
      <c r="B1177" s="15" t="s">
        <v>4323</v>
      </c>
      <c r="C1177" s="42">
        <v>25.952000000000002</v>
      </c>
      <c r="D1177" s="25">
        <v>2.7083333333333334E-2</v>
      </c>
      <c r="E1177" s="43">
        <v>-12.079033000000001</v>
      </c>
      <c r="F1177" s="43">
        <v>-77.112712000000002</v>
      </c>
      <c r="G1177" s="43">
        <v>-12.113629</v>
      </c>
      <c r="H1177" s="43">
        <v>-77.050905999999998</v>
      </c>
      <c r="I1177" s="43">
        <v>-12.145879000000001</v>
      </c>
      <c r="J1177" s="43">
        <v>-77.025508000000002</v>
      </c>
    </row>
    <row r="1178" spans="1:10" x14ac:dyDescent="0.25">
      <c r="A1178" s="15" t="s">
        <v>4279</v>
      </c>
      <c r="B1178" s="15" t="s">
        <v>4324</v>
      </c>
      <c r="C1178" s="40">
        <v>7.5330000000000004</v>
      </c>
      <c r="D1178" s="29">
        <v>1.3888888888888888E-2</v>
      </c>
      <c r="E1178" s="41">
        <v>-12.062424</v>
      </c>
      <c r="F1178" s="41">
        <v>-77.097599000000002</v>
      </c>
      <c r="G1178" s="41">
        <v>-12.061032000000001</v>
      </c>
      <c r="H1178" s="41">
        <v>-77.082498999999999</v>
      </c>
      <c r="I1178" s="41">
        <v>-12.069872999999999</v>
      </c>
      <c r="J1178" s="41">
        <v>-77.077997999999994</v>
      </c>
    </row>
    <row r="1179" spans="1:10" x14ac:dyDescent="0.25">
      <c r="A1179" s="15" t="s">
        <v>4279</v>
      </c>
      <c r="B1179" s="15" t="s">
        <v>4325</v>
      </c>
      <c r="C1179" s="42">
        <v>32.862000000000002</v>
      </c>
      <c r="D1179" s="25">
        <v>3.4027777777777775E-2</v>
      </c>
      <c r="E1179" s="43">
        <v>-12.039047</v>
      </c>
      <c r="F1179" s="43">
        <v>-77.041545999999997</v>
      </c>
      <c r="G1179" s="43">
        <v>-12.042441</v>
      </c>
      <c r="H1179" s="43">
        <v>-76.986650999999995</v>
      </c>
      <c r="I1179" s="43">
        <v>-12.134181</v>
      </c>
      <c r="J1179" s="43">
        <v>-76.976635999999999</v>
      </c>
    </row>
    <row r="1180" spans="1:10" x14ac:dyDescent="0.25">
      <c r="A1180" s="15" t="s">
        <v>4279</v>
      </c>
      <c r="B1180" s="15" t="s">
        <v>4268</v>
      </c>
      <c r="C1180" s="40">
        <v>14.401999999999999</v>
      </c>
      <c r="D1180" s="29">
        <v>1.6666666666666666E-2</v>
      </c>
      <c r="E1180" s="41">
        <v>-12.034832</v>
      </c>
      <c r="F1180" s="41">
        <v>-77.071459000000004</v>
      </c>
      <c r="G1180" s="41">
        <v>-12.039173999999999</v>
      </c>
      <c r="H1180" s="41">
        <v>-77.044811999999993</v>
      </c>
      <c r="I1180" s="41">
        <v>-12.038463</v>
      </c>
      <c r="J1180" s="41">
        <v>-77.013606999999993</v>
      </c>
    </row>
    <row r="1181" spans="1:10" x14ac:dyDescent="0.25">
      <c r="A1181" s="15" t="s">
        <v>4320</v>
      </c>
      <c r="B1181" s="15" t="s">
        <v>4267</v>
      </c>
      <c r="C1181" s="42">
        <v>11.106</v>
      </c>
      <c r="D1181" s="25">
        <v>1.3194444444444444E-2</v>
      </c>
      <c r="E1181" s="43">
        <v>-12.052244</v>
      </c>
      <c r="F1181" s="43">
        <v>-76.976022999999998</v>
      </c>
      <c r="G1181" s="43">
        <v>-12.039085</v>
      </c>
      <c r="H1181" s="43">
        <v>-77.015058999999994</v>
      </c>
      <c r="I1181" s="43">
        <v>-12.039778999999999</v>
      </c>
      <c r="J1181" s="43">
        <v>-77.032880000000006</v>
      </c>
    </row>
    <row r="1182" spans="1:10" x14ac:dyDescent="0.25">
      <c r="A1182" s="15" t="s">
        <v>4320</v>
      </c>
      <c r="B1182" s="15" t="s">
        <v>4280</v>
      </c>
      <c r="C1182" s="40">
        <v>20.759</v>
      </c>
      <c r="D1182" s="29">
        <v>2.013888888888889E-2</v>
      </c>
      <c r="E1182" s="41">
        <v>-12.077928</v>
      </c>
      <c r="F1182" s="41">
        <v>-76.976022999999998</v>
      </c>
      <c r="G1182" s="41">
        <v>-12.101212</v>
      </c>
      <c r="H1182" s="41">
        <v>-77.027140000000003</v>
      </c>
      <c r="I1182" s="41">
        <v>-12.147320000000001</v>
      </c>
      <c r="J1182" s="41">
        <v>-77.024918</v>
      </c>
    </row>
    <row r="1183" spans="1:10" x14ac:dyDescent="0.25">
      <c r="A1183" s="15" t="s">
        <v>4320</v>
      </c>
      <c r="B1183" s="15" t="s">
        <v>4281</v>
      </c>
      <c r="C1183" s="42">
        <v>5.2130000000000001</v>
      </c>
      <c r="D1183" s="25">
        <v>9.7222222222222224E-3</v>
      </c>
      <c r="E1183" s="43">
        <v>-12.056573999999999</v>
      </c>
      <c r="F1183" s="43">
        <v>-76.969104999999999</v>
      </c>
      <c r="G1183" s="43">
        <v>-12.064874</v>
      </c>
      <c r="H1183" s="43">
        <v>-76.964926000000006</v>
      </c>
      <c r="I1183" s="43">
        <v>-12.064565</v>
      </c>
      <c r="J1183" s="43">
        <v>-76.940511000000001</v>
      </c>
    </row>
    <row r="1184" spans="1:10" x14ac:dyDescent="0.25">
      <c r="A1184" s="15" t="s">
        <v>4320</v>
      </c>
      <c r="B1184" s="15" t="s">
        <v>4296</v>
      </c>
      <c r="C1184" s="40">
        <v>15.574</v>
      </c>
      <c r="D1184" s="29">
        <v>1.6666666666666666E-2</v>
      </c>
      <c r="E1184" s="41">
        <v>-12.06409</v>
      </c>
      <c r="F1184" s="41">
        <v>-76.971435999999997</v>
      </c>
      <c r="G1184" s="41">
        <v>-12.086589</v>
      </c>
      <c r="H1184" s="41">
        <v>-76.996032</v>
      </c>
      <c r="I1184" s="41">
        <v>-12.060078000000001</v>
      </c>
      <c r="J1184" s="41">
        <v>-77.035393999999997</v>
      </c>
    </row>
    <row r="1185" spans="1:10" x14ac:dyDescent="0.25">
      <c r="A1185" s="15" t="s">
        <v>4320</v>
      </c>
      <c r="B1185" s="15" t="s">
        <v>4297</v>
      </c>
      <c r="C1185" s="42">
        <v>6.7309999999999999</v>
      </c>
      <c r="D1185" s="25">
        <v>9.0277777777777769E-3</v>
      </c>
      <c r="E1185" s="43">
        <v>-12.056483</v>
      </c>
      <c r="F1185" s="43">
        <v>-76.969147000000007</v>
      </c>
      <c r="G1185" s="43">
        <v>-12.064050999999999</v>
      </c>
      <c r="H1185" s="43">
        <v>-76.987647999999993</v>
      </c>
      <c r="I1185" s="43">
        <v>-12.076425</v>
      </c>
      <c r="J1185" s="43">
        <v>-77.010104999999996</v>
      </c>
    </row>
    <row r="1186" spans="1:10" x14ac:dyDescent="0.25">
      <c r="A1186" s="15" t="s">
        <v>4320</v>
      </c>
      <c r="B1186" s="15" t="s">
        <v>4298</v>
      </c>
      <c r="C1186" s="40">
        <v>12.896000000000001</v>
      </c>
      <c r="D1186" s="29">
        <v>1.3194444444444444E-2</v>
      </c>
      <c r="E1186" s="41">
        <v>-12.058089000000001</v>
      </c>
      <c r="F1186" s="41">
        <v>-76.973586999999995</v>
      </c>
      <c r="G1186" s="41">
        <v>-12.084712</v>
      </c>
      <c r="H1186" s="41">
        <v>-76.982230000000001</v>
      </c>
      <c r="I1186" s="41">
        <v>-12.090341</v>
      </c>
      <c r="J1186" s="41">
        <v>-77.023613999999995</v>
      </c>
    </row>
    <row r="1187" spans="1:10" x14ac:dyDescent="0.25">
      <c r="A1187" s="15" t="s">
        <v>4320</v>
      </c>
      <c r="B1187" s="15" t="s">
        <v>4299</v>
      </c>
      <c r="C1187" s="42">
        <v>13.051</v>
      </c>
      <c r="D1187" s="25">
        <v>1.3888888888888888E-2</v>
      </c>
      <c r="E1187" s="43">
        <v>-12.061681</v>
      </c>
      <c r="F1187" s="43">
        <v>-76.972014999999999</v>
      </c>
      <c r="G1187" s="43">
        <v>-12.08492</v>
      </c>
      <c r="H1187" s="43">
        <v>-76.983091000000002</v>
      </c>
      <c r="I1187" s="43">
        <v>-12.090811</v>
      </c>
      <c r="J1187" s="43">
        <v>-77.022954999999996</v>
      </c>
    </row>
    <row r="1188" spans="1:10" x14ac:dyDescent="0.25">
      <c r="A1188" s="15" t="s">
        <v>4320</v>
      </c>
      <c r="B1188" s="15" t="s">
        <v>4300</v>
      </c>
      <c r="C1188" s="40">
        <v>7.3259999999999996</v>
      </c>
      <c r="D1188" s="29">
        <v>8.3333333333333332E-3</v>
      </c>
      <c r="E1188" s="41">
        <v>-12.058543999999999</v>
      </c>
      <c r="F1188" s="41">
        <v>-76.974417000000003</v>
      </c>
      <c r="G1188" s="41">
        <v>-12.067679999999999</v>
      </c>
      <c r="H1188" s="41">
        <v>-76.971858999999995</v>
      </c>
      <c r="I1188" s="41">
        <v>-12.08611</v>
      </c>
      <c r="J1188" s="41">
        <v>-76.982242999999997</v>
      </c>
    </row>
    <row r="1189" spans="1:10" x14ac:dyDescent="0.25">
      <c r="A1189" s="15" t="s">
        <v>4320</v>
      </c>
      <c r="B1189" s="15" t="s">
        <v>4301</v>
      </c>
      <c r="C1189" s="42">
        <v>25.175000000000001</v>
      </c>
      <c r="D1189" s="25">
        <v>2.0833333333333332E-2</v>
      </c>
      <c r="E1189" s="43">
        <v>-12.052244</v>
      </c>
      <c r="F1189" s="43">
        <v>-76.976022999999998</v>
      </c>
      <c r="G1189" s="43">
        <v>-12.034475</v>
      </c>
      <c r="H1189" s="43">
        <v>-77.009604999999993</v>
      </c>
      <c r="I1189" s="43">
        <v>-12.035731999999999</v>
      </c>
      <c r="J1189" s="43">
        <v>-77.046904999999995</v>
      </c>
    </row>
    <row r="1190" spans="1:10" x14ac:dyDescent="0.25">
      <c r="A1190" s="15" t="s">
        <v>4320</v>
      </c>
      <c r="B1190" s="15" t="s">
        <v>4302</v>
      </c>
      <c r="C1190" s="40">
        <v>8.11</v>
      </c>
      <c r="D1190" s="29">
        <v>9.7222222222222224E-3</v>
      </c>
      <c r="E1190" s="41">
        <v>-12.058395000000001</v>
      </c>
      <c r="F1190" s="41">
        <v>-76.974643</v>
      </c>
      <c r="G1190" s="41">
        <v>-12.069197000000001</v>
      </c>
      <c r="H1190" s="41">
        <v>-76.972356000000005</v>
      </c>
      <c r="I1190" s="41">
        <v>-12.085720999999999</v>
      </c>
      <c r="J1190" s="41">
        <v>-76.987510999999998</v>
      </c>
    </row>
    <row r="1191" spans="1:10" x14ac:dyDescent="0.25">
      <c r="A1191" s="15" t="s">
        <v>4320</v>
      </c>
      <c r="B1191" s="15" t="s">
        <v>4303</v>
      </c>
      <c r="C1191" s="42">
        <v>6.6319999999999997</v>
      </c>
      <c r="D1191" s="25">
        <v>9.0277777777777769E-3</v>
      </c>
      <c r="E1191" s="43">
        <v>-12.056483</v>
      </c>
      <c r="F1191" s="43">
        <v>-76.969147000000007</v>
      </c>
      <c r="G1191" s="43">
        <v>-12.064050999999999</v>
      </c>
      <c r="H1191" s="43">
        <v>-76.987647999999993</v>
      </c>
      <c r="I1191" s="43">
        <v>-12.076425</v>
      </c>
      <c r="J1191" s="43">
        <v>-77.010104999999996</v>
      </c>
    </row>
    <row r="1192" spans="1:10" x14ac:dyDescent="0.25">
      <c r="A1192" s="15" t="s">
        <v>4320</v>
      </c>
      <c r="B1192" s="15" t="s">
        <v>4304</v>
      </c>
      <c r="C1192" s="40">
        <v>6.2149999999999999</v>
      </c>
      <c r="D1192" s="29">
        <v>8.3333333333333332E-3</v>
      </c>
      <c r="E1192" s="41">
        <v>-12.056483</v>
      </c>
      <c r="F1192" s="41">
        <v>-76.969147000000007</v>
      </c>
      <c r="G1192" s="41">
        <v>-12.064050999999999</v>
      </c>
      <c r="H1192" s="41">
        <v>-76.987647999999993</v>
      </c>
      <c r="I1192" s="41">
        <v>-12.076425</v>
      </c>
      <c r="J1192" s="41">
        <v>-77.010104999999996</v>
      </c>
    </row>
    <row r="1193" spans="1:10" x14ac:dyDescent="0.25">
      <c r="A1193" s="15" t="s">
        <v>4320</v>
      </c>
      <c r="B1193" s="15" t="s">
        <v>4269</v>
      </c>
      <c r="C1193" s="42">
        <v>15.718</v>
      </c>
      <c r="D1193" s="25">
        <v>1.9444444444444445E-2</v>
      </c>
      <c r="E1193" s="43">
        <v>-12.057921</v>
      </c>
      <c r="F1193" s="43">
        <v>-76.974687000000003</v>
      </c>
      <c r="G1193" s="43">
        <v>-12.077928</v>
      </c>
      <c r="H1193" s="43">
        <v>-76.976022999999998</v>
      </c>
      <c r="I1193" s="43">
        <v>-12.087396</v>
      </c>
      <c r="J1193" s="43">
        <v>-76.998741999999993</v>
      </c>
    </row>
    <row r="1194" spans="1:10" x14ac:dyDescent="0.25">
      <c r="A1194" s="15" t="s">
        <v>4320</v>
      </c>
      <c r="B1194" s="15" t="s">
        <v>4305</v>
      </c>
      <c r="C1194" s="40">
        <v>13.74</v>
      </c>
      <c r="D1194" s="29">
        <v>1.4583333333333334E-2</v>
      </c>
      <c r="E1194" s="41">
        <v>-12.055431</v>
      </c>
      <c r="F1194" s="41">
        <v>-76.974553</v>
      </c>
      <c r="G1194" s="41">
        <v>-12.032583000000001</v>
      </c>
      <c r="H1194" s="41">
        <v>-77.006681</v>
      </c>
      <c r="I1194" s="41">
        <v>-12.038219</v>
      </c>
      <c r="J1194" s="41">
        <v>-77.038023999999993</v>
      </c>
    </row>
    <row r="1195" spans="1:10" x14ac:dyDescent="0.25">
      <c r="A1195" s="15" t="s">
        <v>4320</v>
      </c>
      <c r="B1195" s="15" t="s">
        <v>4306</v>
      </c>
      <c r="C1195" s="42">
        <v>9.984</v>
      </c>
      <c r="D1195" s="25">
        <v>9.0277777777777769E-3</v>
      </c>
      <c r="E1195" s="43">
        <v>-12.058543999999999</v>
      </c>
      <c r="F1195" s="43">
        <v>-76.974417000000003</v>
      </c>
      <c r="G1195" s="43">
        <v>-12.067679999999999</v>
      </c>
      <c r="H1195" s="43">
        <v>-76.971858999999995</v>
      </c>
      <c r="I1195" s="43">
        <v>-12.08611</v>
      </c>
      <c r="J1195" s="43">
        <v>-76.982242999999997</v>
      </c>
    </row>
    <row r="1196" spans="1:10" x14ac:dyDescent="0.25">
      <c r="A1196" s="15" t="s">
        <v>4320</v>
      </c>
      <c r="B1196" s="15" t="s">
        <v>4277</v>
      </c>
      <c r="C1196" s="40">
        <v>11.257</v>
      </c>
      <c r="D1196" s="29">
        <v>1.1111111111111112E-2</v>
      </c>
      <c r="E1196" s="41">
        <v>-12.058543999999999</v>
      </c>
      <c r="F1196" s="41">
        <v>-76.974417000000003</v>
      </c>
      <c r="G1196" s="41">
        <v>-12.067679999999999</v>
      </c>
      <c r="H1196" s="41">
        <v>-76.971858999999995</v>
      </c>
      <c r="I1196" s="41">
        <v>-12.084913999999999</v>
      </c>
      <c r="J1196" s="41">
        <v>-76.982899000000003</v>
      </c>
    </row>
    <row r="1197" spans="1:10" x14ac:dyDescent="0.25">
      <c r="A1197" s="15" t="s">
        <v>4320</v>
      </c>
      <c r="B1197" s="15" t="s">
        <v>4307</v>
      </c>
      <c r="C1197" s="42">
        <v>2.0129999999999999</v>
      </c>
      <c r="D1197" s="25">
        <v>4.1666666666666666E-3</v>
      </c>
      <c r="E1197" s="43">
        <v>-12.056056</v>
      </c>
      <c r="F1197" s="43">
        <v>-76.969335999999998</v>
      </c>
      <c r="G1197" s="43">
        <v>-12.051325</v>
      </c>
      <c r="H1197" s="43">
        <v>-76.969655000000003</v>
      </c>
      <c r="I1197" s="43">
        <v>-12.049785999999999</v>
      </c>
      <c r="J1197" s="43">
        <v>-76.969370999999995</v>
      </c>
    </row>
    <row r="1198" spans="1:10" x14ac:dyDescent="0.25">
      <c r="A1198" s="15" t="s">
        <v>4320</v>
      </c>
      <c r="B1198" s="15" t="s">
        <v>4308</v>
      </c>
      <c r="C1198" s="40">
        <v>17.22</v>
      </c>
      <c r="D1198" s="29">
        <v>2.1527777777777778E-2</v>
      </c>
      <c r="E1198" s="41">
        <v>-12.057706</v>
      </c>
      <c r="F1198" s="41">
        <v>-76.974491</v>
      </c>
      <c r="G1198" s="41">
        <v>-12.080036</v>
      </c>
      <c r="H1198" s="41">
        <v>-76.977311999999998</v>
      </c>
      <c r="I1198" s="41">
        <v>-12.092278</v>
      </c>
      <c r="J1198" s="41">
        <v>-77.033850999999999</v>
      </c>
    </row>
    <row r="1199" spans="1:10" x14ac:dyDescent="0.25">
      <c r="A1199" s="15" t="s">
        <v>4320</v>
      </c>
      <c r="B1199" s="15" t="s">
        <v>4309</v>
      </c>
      <c r="C1199" s="42">
        <v>6.7039999999999997</v>
      </c>
      <c r="D1199" s="25">
        <v>9.7222222222222224E-3</v>
      </c>
      <c r="E1199" s="43">
        <v>-12.056573999999999</v>
      </c>
      <c r="F1199" s="43">
        <v>-76.969104999999999</v>
      </c>
      <c r="G1199" s="43">
        <v>-12.064361</v>
      </c>
      <c r="H1199" s="43">
        <v>-76.989305000000002</v>
      </c>
      <c r="I1199" s="43">
        <v>-12.077472</v>
      </c>
      <c r="J1199" s="43">
        <v>-77.01097</v>
      </c>
    </row>
    <row r="1200" spans="1:10" x14ac:dyDescent="0.25">
      <c r="A1200" s="15" t="s">
        <v>4320</v>
      </c>
      <c r="B1200" s="15" t="s">
        <v>4278</v>
      </c>
      <c r="C1200" s="40">
        <v>16.724</v>
      </c>
      <c r="D1200" s="29">
        <v>1.4583333333333334E-2</v>
      </c>
      <c r="E1200" s="41">
        <v>-12.050679000000001</v>
      </c>
      <c r="F1200" s="41">
        <v>-76.977222999999995</v>
      </c>
      <c r="G1200" s="41">
        <v>-12.041183999999999</v>
      </c>
      <c r="H1200" s="41">
        <v>-77.018489000000002</v>
      </c>
      <c r="I1200" s="41">
        <v>-12.031428999999999</v>
      </c>
      <c r="J1200" s="41">
        <v>-77.055999</v>
      </c>
    </row>
    <row r="1201" spans="1:10" x14ac:dyDescent="0.25">
      <c r="A1201" s="15" t="s">
        <v>4320</v>
      </c>
      <c r="B1201" s="15" t="s">
        <v>4310</v>
      </c>
      <c r="C1201" s="42">
        <v>6.0030000000000001</v>
      </c>
      <c r="D1201" s="25">
        <v>8.3333333333333332E-3</v>
      </c>
      <c r="E1201" s="43">
        <v>-12.057458</v>
      </c>
      <c r="F1201" s="43">
        <v>-76.971639999999994</v>
      </c>
      <c r="G1201" s="43">
        <v>-12.040934999999999</v>
      </c>
      <c r="H1201" s="43">
        <v>-76.987412000000006</v>
      </c>
      <c r="I1201" s="43">
        <v>-12.028886999999999</v>
      </c>
      <c r="J1201" s="43">
        <v>-76.998332000000005</v>
      </c>
    </row>
    <row r="1202" spans="1:10" x14ac:dyDescent="0.25">
      <c r="A1202" s="15" t="s">
        <v>4320</v>
      </c>
      <c r="B1202" s="15" t="s">
        <v>4311</v>
      </c>
      <c r="C1202" s="40">
        <v>13.343</v>
      </c>
      <c r="D1202" s="29">
        <v>1.3888888888888888E-2</v>
      </c>
      <c r="E1202" s="41">
        <v>-12.06409</v>
      </c>
      <c r="F1202" s="41">
        <v>-76.971435999999997</v>
      </c>
      <c r="G1202" s="41">
        <v>-12.086589</v>
      </c>
      <c r="H1202" s="41">
        <v>-76.996032</v>
      </c>
      <c r="I1202" s="41">
        <v>-12.066115</v>
      </c>
      <c r="J1202" s="41">
        <v>-77.032843</v>
      </c>
    </row>
    <row r="1203" spans="1:10" x14ac:dyDescent="0.25">
      <c r="A1203" s="15" t="s">
        <v>4320</v>
      </c>
      <c r="B1203" s="15" t="s">
        <v>4312</v>
      </c>
      <c r="C1203" s="42">
        <v>6.94</v>
      </c>
      <c r="D1203" s="25">
        <v>9.7222222222222224E-3</v>
      </c>
      <c r="E1203" s="43">
        <v>-12.056419999999999</v>
      </c>
      <c r="F1203" s="43">
        <v>-76.969173999999995</v>
      </c>
      <c r="G1203" s="43">
        <v>-12.063378</v>
      </c>
      <c r="H1203" s="43">
        <v>-76.984183999999999</v>
      </c>
      <c r="I1203" s="43">
        <v>-12.075664</v>
      </c>
      <c r="J1203" s="43">
        <v>-77.009163999999998</v>
      </c>
    </row>
    <row r="1204" spans="1:10" x14ac:dyDescent="0.25">
      <c r="A1204" s="15" t="s">
        <v>4320</v>
      </c>
      <c r="B1204" s="15" t="s">
        <v>4313</v>
      </c>
      <c r="C1204" s="40">
        <v>15.686</v>
      </c>
      <c r="D1204" s="29">
        <v>1.6666666666666666E-2</v>
      </c>
      <c r="E1204" s="41">
        <v>-12.066091</v>
      </c>
      <c r="F1204" s="41">
        <v>-76.971543999999994</v>
      </c>
      <c r="G1204" s="41">
        <v>-12.087396</v>
      </c>
      <c r="H1204" s="41">
        <v>-76.998741999999993</v>
      </c>
      <c r="I1204" s="41">
        <v>-12.060181</v>
      </c>
      <c r="J1204" s="41">
        <v>-77.036090000000002</v>
      </c>
    </row>
    <row r="1205" spans="1:10" x14ac:dyDescent="0.25">
      <c r="A1205" s="15" t="s">
        <v>4320</v>
      </c>
      <c r="B1205" s="15" t="s">
        <v>4314</v>
      </c>
      <c r="C1205" s="42">
        <v>16.079999999999998</v>
      </c>
      <c r="D1205" s="25">
        <v>2.013888888888889E-2</v>
      </c>
      <c r="E1205" s="43">
        <v>-12.057921</v>
      </c>
      <c r="F1205" s="43">
        <v>-76.974687000000003</v>
      </c>
      <c r="G1205" s="43">
        <v>-12.077928</v>
      </c>
      <c r="H1205" s="43">
        <v>-76.976022999999998</v>
      </c>
      <c r="I1205" s="43">
        <v>-12.087396</v>
      </c>
      <c r="J1205" s="43">
        <v>-76.998741999999993</v>
      </c>
    </row>
    <row r="1206" spans="1:10" x14ac:dyDescent="0.25">
      <c r="A1206" s="15" t="s">
        <v>4320</v>
      </c>
      <c r="B1206" s="15" t="s">
        <v>4315</v>
      </c>
      <c r="C1206" s="40">
        <v>8.5329999999999995</v>
      </c>
      <c r="D1206" s="29">
        <v>9.7222222222222224E-3</v>
      </c>
      <c r="E1206" s="41">
        <v>-12.058395000000001</v>
      </c>
      <c r="F1206" s="41">
        <v>-76.974643</v>
      </c>
      <c r="G1206" s="41">
        <v>-12.069197000000001</v>
      </c>
      <c r="H1206" s="41">
        <v>-76.972356000000005</v>
      </c>
      <c r="I1206" s="41">
        <v>-12.102423999999999</v>
      </c>
      <c r="J1206" s="41">
        <v>-76.979438000000002</v>
      </c>
    </row>
    <row r="1207" spans="1:10" x14ac:dyDescent="0.25">
      <c r="A1207" s="15" t="s">
        <v>4320</v>
      </c>
      <c r="B1207" s="15" t="s">
        <v>4316</v>
      </c>
      <c r="C1207" s="42">
        <v>13.005000000000001</v>
      </c>
      <c r="D1207" s="25">
        <v>1.4583333333333334E-2</v>
      </c>
      <c r="E1207" s="43">
        <v>-12.058395000000001</v>
      </c>
      <c r="F1207" s="43">
        <v>-76.974643</v>
      </c>
      <c r="G1207" s="43">
        <v>-12.069197000000001</v>
      </c>
      <c r="H1207" s="43">
        <v>-76.972356000000005</v>
      </c>
      <c r="I1207" s="43">
        <v>-12.085720999999999</v>
      </c>
      <c r="J1207" s="43">
        <v>-76.987510999999998</v>
      </c>
    </row>
    <row r="1208" spans="1:10" x14ac:dyDescent="0.25">
      <c r="A1208" s="15" t="s">
        <v>4320</v>
      </c>
      <c r="B1208" s="15" t="s">
        <v>4317</v>
      </c>
      <c r="C1208" s="40">
        <v>15.27</v>
      </c>
      <c r="D1208" s="29">
        <v>1.4583333333333334E-2</v>
      </c>
      <c r="E1208" s="41">
        <v>-12.057706</v>
      </c>
      <c r="F1208" s="41">
        <v>-76.974491</v>
      </c>
      <c r="G1208" s="41">
        <v>-12.080036</v>
      </c>
      <c r="H1208" s="41">
        <v>-76.977311999999998</v>
      </c>
      <c r="I1208" s="41">
        <v>-12.150119</v>
      </c>
      <c r="J1208" s="41">
        <v>-76.983529000000004</v>
      </c>
    </row>
    <row r="1209" spans="1:10" x14ac:dyDescent="0.25">
      <c r="A1209" s="15" t="s">
        <v>4320</v>
      </c>
      <c r="B1209" s="15" t="s">
        <v>4318</v>
      </c>
      <c r="C1209" s="42">
        <v>7.5279999999999996</v>
      </c>
      <c r="D1209" s="25">
        <v>8.3333333333333332E-3</v>
      </c>
      <c r="E1209" s="43">
        <v>-12.058395000000001</v>
      </c>
      <c r="F1209" s="43">
        <v>-76.974643</v>
      </c>
      <c r="G1209" s="43">
        <v>-12.069197000000001</v>
      </c>
      <c r="H1209" s="43">
        <v>-76.972356000000005</v>
      </c>
      <c r="I1209" s="43">
        <v>-12.085720999999999</v>
      </c>
      <c r="J1209" s="43">
        <v>-76.987510999999998</v>
      </c>
    </row>
    <row r="1210" spans="1:10" x14ac:dyDescent="0.25">
      <c r="A1210" s="15" t="s">
        <v>4320</v>
      </c>
      <c r="B1210" s="15" t="s">
        <v>4319</v>
      </c>
      <c r="C1210" s="40">
        <v>7.8490000000000002</v>
      </c>
      <c r="D1210" s="29">
        <v>9.7222222222222224E-3</v>
      </c>
      <c r="E1210" s="41">
        <v>-12.058543999999999</v>
      </c>
      <c r="F1210" s="41">
        <v>-76.974417000000003</v>
      </c>
      <c r="G1210" s="41">
        <v>-12.067679999999999</v>
      </c>
      <c r="H1210" s="41">
        <v>-76.971858999999995</v>
      </c>
      <c r="I1210" s="41">
        <v>-12.084913999999999</v>
      </c>
      <c r="J1210" s="41">
        <v>-76.982899000000003</v>
      </c>
    </row>
    <row r="1211" spans="1:10" x14ac:dyDescent="0.25">
      <c r="A1211" s="15" t="s">
        <v>4320</v>
      </c>
      <c r="B1211" s="15" t="s">
        <v>4279</v>
      </c>
      <c r="C1211" s="42">
        <v>18.704999999999998</v>
      </c>
      <c r="D1211" s="25">
        <v>1.7361111111111112E-2</v>
      </c>
      <c r="E1211" s="43">
        <v>-12.039692000000001</v>
      </c>
      <c r="F1211" s="43">
        <v>-76.987967999999995</v>
      </c>
      <c r="G1211" s="43">
        <v>-12.040988</v>
      </c>
      <c r="H1211" s="43">
        <v>-77.014519000000007</v>
      </c>
      <c r="I1211" s="43">
        <v>-12.036683999999999</v>
      </c>
      <c r="J1211" s="43">
        <v>-77.057210999999995</v>
      </c>
    </row>
    <row r="1212" spans="1:10" x14ac:dyDescent="0.25">
      <c r="A1212" s="15" t="s">
        <v>4320</v>
      </c>
      <c r="B1212" s="15" t="s">
        <v>4320</v>
      </c>
      <c r="C1212" s="40">
        <v>0</v>
      </c>
      <c r="D1212" s="29">
        <v>0</v>
      </c>
      <c r="E1212" s="41" t="e">
        <f>'1 ubicaciones'!#REF!</f>
        <v>#REF!</v>
      </c>
      <c r="F1212" s="41" t="e">
        <f>'1 ubicaciones'!#REF!</f>
        <v>#REF!</v>
      </c>
      <c r="G1212" s="41" t="e">
        <f>'1 ubicaciones'!#REF!</f>
        <v>#REF!</v>
      </c>
      <c r="H1212" s="41" t="e">
        <f>'1 ubicaciones'!#REF!</f>
        <v>#REF!</v>
      </c>
      <c r="I1212" s="41" t="e">
        <f>'1 ubicaciones'!#REF!</f>
        <v>#REF!</v>
      </c>
      <c r="J1212" s="41" t="e">
        <f>'1 ubicaciones'!#REF!</f>
        <v>#REF!</v>
      </c>
    </row>
    <row r="1213" spans="1:10" x14ac:dyDescent="0.25">
      <c r="A1213" s="15" t="s">
        <v>4320</v>
      </c>
      <c r="B1213" s="15" t="s">
        <v>4321</v>
      </c>
      <c r="C1213" s="42">
        <v>31.067</v>
      </c>
      <c r="D1213" s="25">
        <v>2.8472222222222222E-2</v>
      </c>
      <c r="E1213" s="43">
        <v>-12.039692000000001</v>
      </c>
      <c r="F1213" s="43">
        <v>-76.987967999999995</v>
      </c>
      <c r="G1213" s="43">
        <v>-12.041998</v>
      </c>
      <c r="H1213" s="43">
        <v>-77.031621000000001</v>
      </c>
      <c r="I1213" s="43">
        <v>-11.991327999999999</v>
      </c>
      <c r="J1213" s="43">
        <v>-77.063963000000001</v>
      </c>
    </row>
    <row r="1214" spans="1:10" x14ac:dyDescent="0.25">
      <c r="A1214" s="15" t="s">
        <v>4320</v>
      </c>
      <c r="B1214" s="15" t="s">
        <v>4322</v>
      </c>
      <c r="C1214" s="40">
        <v>24.591999999999999</v>
      </c>
      <c r="D1214" s="29">
        <v>2.013888888888889E-2</v>
      </c>
      <c r="E1214" s="41">
        <v>-12.058089000000001</v>
      </c>
      <c r="F1214" s="41">
        <v>-76.973586999999995</v>
      </c>
      <c r="G1214" s="41">
        <v>-12.085566999999999</v>
      </c>
      <c r="H1214" s="41">
        <v>-76.982309000000001</v>
      </c>
      <c r="I1214" s="41">
        <v>-12.192686999999999</v>
      </c>
      <c r="J1214" s="41">
        <v>-76.972678999999999</v>
      </c>
    </row>
    <row r="1215" spans="1:10" x14ac:dyDescent="0.25">
      <c r="A1215" s="15" t="s">
        <v>4320</v>
      </c>
      <c r="B1215" s="15" t="s">
        <v>4323</v>
      </c>
      <c r="C1215" s="42">
        <v>17.466000000000001</v>
      </c>
      <c r="D1215" s="25">
        <v>1.7361111111111112E-2</v>
      </c>
      <c r="E1215" s="43">
        <v>-12.062542000000001</v>
      </c>
      <c r="F1215" s="43">
        <v>-76.971710000000002</v>
      </c>
      <c r="G1215" s="43">
        <v>-12.116597000000001</v>
      </c>
      <c r="H1215" s="43">
        <v>-76.977456000000004</v>
      </c>
      <c r="I1215" s="43">
        <v>-12.17084</v>
      </c>
      <c r="J1215" s="43">
        <v>-76.980604</v>
      </c>
    </row>
    <row r="1216" spans="1:10" x14ac:dyDescent="0.25">
      <c r="A1216" s="15" t="s">
        <v>4320</v>
      </c>
      <c r="B1216" s="15" t="s">
        <v>4324</v>
      </c>
      <c r="C1216" s="40">
        <v>15.010999999999999</v>
      </c>
      <c r="D1216" s="29">
        <v>1.8749999999999999E-2</v>
      </c>
      <c r="E1216" s="41">
        <v>-12.057706</v>
      </c>
      <c r="F1216" s="41">
        <v>-76.974491</v>
      </c>
      <c r="G1216" s="41">
        <v>-12.080036</v>
      </c>
      <c r="H1216" s="41">
        <v>-76.977311999999998</v>
      </c>
      <c r="I1216" s="41">
        <v>-12.092278</v>
      </c>
      <c r="J1216" s="41">
        <v>-77.033850999999999</v>
      </c>
    </row>
    <row r="1217" spans="1:10" x14ac:dyDescent="0.25">
      <c r="A1217" s="15" t="s">
        <v>4320</v>
      </c>
      <c r="B1217" s="15" t="s">
        <v>4325</v>
      </c>
      <c r="C1217" s="42">
        <v>15.51</v>
      </c>
      <c r="D1217" s="25">
        <v>1.9444444444444445E-2</v>
      </c>
      <c r="E1217" s="43">
        <v>-12.065101</v>
      </c>
      <c r="F1217" s="43">
        <v>-76.971429999999998</v>
      </c>
      <c r="G1217" s="43">
        <v>-12.124874999999999</v>
      </c>
      <c r="H1217" s="43">
        <v>-76.977251999999993</v>
      </c>
      <c r="I1217" s="43">
        <v>-12.143687</v>
      </c>
      <c r="J1217" s="43">
        <v>-76.959457</v>
      </c>
    </row>
    <row r="1218" spans="1:10" x14ac:dyDescent="0.25">
      <c r="A1218" s="15" t="s">
        <v>4320</v>
      </c>
      <c r="B1218" s="15" t="s">
        <v>4268</v>
      </c>
      <c r="C1218" s="40">
        <v>5.4640000000000004</v>
      </c>
      <c r="D1218" s="29">
        <v>6.9444444444444441E-3</v>
      </c>
      <c r="E1218" s="41">
        <v>-12.057458</v>
      </c>
      <c r="F1218" s="41">
        <v>-76.971639999999994</v>
      </c>
      <c r="G1218" s="41">
        <v>-12.040934999999999</v>
      </c>
      <c r="H1218" s="41">
        <v>-76.987412000000006</v>
      </c>
      <c r="I1218" s="41">
        <v>-12.028886999999999</v>
      </c>
      <c r="J1218" s="41">
        <v>-76.998332000000005</v>
      </c>
    </row>
    <row r="1219" spans="1:10" x14ac:dyDescent="0.25">
      <c r="A1219" s="15" t="s">
        <v>4321</v>
      </c>
      <c r="B1219" s="15" t="s">
        <v>4267</v>
      </c>
      <c r="C1219" s="42">
        <v>22.553999999999998</v>
      </c>
      <c r="D1219" s="25">
        <v>2.2916666666666665E-2</v>
      </c>
      <c r="E1219" s="43">
        <v>-11.902816</v>
      </c>
      <c r="F1219" s="43">
        <v>-77.067751999999999</v>
      </c>
      <c r="G1219" s="43">
        <v>-12.005742</v>
      </c>
      <c r="H1219" s="43">
        <v>-77.061897000000002</v>
      </c>
      <c r="I1219" s="43">
        <v>-12.037411000000001</v>
      </c>
      <c r="J1219" s="43">
        <v>-77.044396000000006</v>
      </c>
    </row>
    <row r="1220" spans="1:10" x14ac:dyDescent="0.25">
      <c r="A1220" s="15" t="s">
        <v>4321</v>
      </c>
      <c r="B1220" s="15" t="s">
        <v>4280</v>
      </c>
      <c r="C1220" s="40">
        <v>39.15</v>
      </c>
      <c r="D1220" s="29">
        <v>3.8194444444444448E-2</v>
      </c>
      <c r="E1220" s="41">
        <v>-12.012819</v>
      </c>
      <c r="F1220" s="41">
        <v>-77.060574000000003</v>
      </c>
      <c r="G1220" s="41">
        <v>-12.061159</v>
      </c>
      <c r="H1220" s="41">
        <v>-77.035370999999998</v>
      </c>
      <c r="I1220" s="41">
        <v>-12.139683</v>
      </c>
      <c r="J1220" s="41">
        <v>-77.027987999999993</v>
      </c>
    </row>
    <row r="1221" spans="1:10" x14ac:dyDescent="0.25">
      <c r="A1221" s="15" t="s">
        <v>4321</v>
      </c>
      <c r="B1221" s="15" t="s">
        <v>4281</v>
      </c>
      <c r="C1221" s="42">
        <v>39.94</v>
      </c>
      <c r="D1221" s="25">
        <v>3.4027777777777775E-2</v>
      </c>
      <c r="E1221" s="43">
        <v>-12.007484</v>
      </c>
      <c r="F1221" s="43">
        <v>-77.061617999999996</v>
      </c>
      <c r="G1221" s="43">
        <v>-12.029807</v>
      </c>
      <c r="H1221" s="43">
        <v>-76.994945999999999</v>
      </c>
      <c r="I1221" s="43">
        <v>-12.085289</v>
      </c>
      <c r="J1221" s="43">
        <v>-76.982281999999998</v>
      </c>
    </row>
    <row r="1222" spans="1:10" x14ac:dyDescent="0.25">
      <c r="A1222" s="15" t="s">
        <v>4321</v>
      </c>
      <c r="B1222" s="15" t="s">
        <v>4296</v>
      </c>
      <c r="C1222" s="40">
        <v>25.184999999999999</v>
      </c>
      <c r="D1222" s="29">
        <v>2.6388888888888889E-2</v>
      </c>
      <c r="E1222" s="41">
        <v>-11.902816</v>
      </c>
      <c r="F1222" s="41">
        <v>-77.067751999999999</v>
      </c>
      <c r="G1222" s="41">
        <v>-12.005742</v>
      </c>
      <c r="H1222" s="41">
        <v>-77.061897000000002</v>
      </c>
      <c r="I1222" s="41">
        <v>-12.037411000000001</v>
      </c>
      <c r="J1222" s="41">
        <v>-77.044396000000006</v>
      </c>
    </row>
    <row r="1223" spans="1:10" x14ac:dyDescent="0.25">
      <c r="A1223" s="15" t="s">
        <v>4321</v>
      </c>
      <c r="B1223" s="15" t="s">
        <v>4297</v>
      </c>
      <c r="C1223" s="42">
        <v>26.702000000000002</v>
      </c>
      <c r="D1223" s="25">
        <v>2.4305555555555556E-2</v>
      </c>
      <c r="E1223" s="43">
        <v>-11.914754</v>
      </c>
      <c r="F1223" s="43">
        <v>-77.073988</v>
      </c>
      <c r="G1223" s="43">
        <v>-12.036581999999999</v>
      </c>
      <c r="H1223" s="43">
        <v>-77.047730000000001</v>
      </c>
      <c r="I1223" s="43">
        <v>-12.042396</v>
      </c>
      <c r="J1223" s="43">
        <v>-77.014173999999997</v>
      </c>
    </row>
    <row r="1224" spans="1:10" x14ac:dyDescent="0.25">
      <c r="A1224" s="15" t="s">
        <v>4321</v>
      </c>
      <c r="B1224" s="15" t="s">
        <v>4298</v>
      </c>
      <c r="C1224" s="40">
        <v>31.286999999999999</v>
      </c>
      <c r="D1224" s="29">
        <v>3.125E-2</v>
      </c>
      <c r="E1224" s="41">
        <v>-11.94642</v>
      </c>
      <c r="F1224" s="41">
        <v>-77.070952000000005</v>
      </c>
      <c r="G1224" s="41">
        <v>-12.037602</v>
      </c>
      <c r="H1224" s="41">
        <v>-77.044098000000005</v>
      </c>
      <c r="I1224" s="41">
        <v>-12.061799000000001</v>
      </c>
      <c r="J1224" s="41">
        <v>-77.034746999999996</v>
      </c>
    </row>
    <row r="1225" spans="1:10" x14ac:dyDescent="0.25">
      <c r="A1225" s="15" t="s">
        <v>4321</v>
      </c>
      <c r="B1225" s="15" t="s">
        <v>4299</v>
      </c>
      <c r="C1225" s="42">
        <v>31.442</v>
      </c>
      <c r="D1225" s="25">
        <v>3.1944444444444442E-2</v>
      </c>
      <c r="E1225" s="43">
        <v>-11.958736</v>
      </c>
      <c r="F1225" s="43">
        <v>-77.069010000000006</v>
      </c>
      <c r="G1225" s="43">
        <v>-12.037758</v>
      </c>
      <c r="H1225" s="43">
        <v>-77.043761000000003</v>
      </c>
      <c r="I1225" s="43">
        <v>-12.079181</v>
      </c>
      <c r="J1225" s="43">
        <v>-77.028008</v>
      </c>
    </row>
    <row r="1226" spans="1:10" x14ac:dyDescent="0.25">
      <c r="A1226" s="15" t="s">
        <v>4321</v>
      </c>
      <c r="B1226" s="15" t="s">
        <v>4300</v>
      </c>
      <c r="C1226" s="40">
        <v>36.747999999999998</v>
      </c>
      <c r="D1226" s="29">
        <v>2.9861111111111113E-2</v>
      </c>
      <c r="E1226" s="41">
        <v>-11.986625</v>
      </c>
      <c r="F1226" s="41">
        <v>-77.064677000000003</v>
      </c>
      <c r="G1226" s="41">
        <v>-12.041202999999999</v>
      </c>
      <c r="H1226" s="41">
        <v>-77.018199999999993</v>
      </c>
      <c r="I1226" s="41">
        <v>-12.063337000000001</v>
      </c>
      <c r="J1226" s="41">
        <v>-76.971529000000004</v>
      </c>
    </row>
    <row r="1227" spans="1:10" x14ac:dyDescent="0.25">
      <c r="A1227" s="15" t="s">
        <v>4321</v>
      </c>
      <c r="B1227" s="15" t="s">
        <v>4301</v>
      </c>
      <c r="C1227" s="42">
        <v>6.7949999999999999</v>
      </c>
      <c r="D1227" s="25">
        <v>8.3333333333333332E-3</v>
      </c>
      <c r="E1227" s="43">
        <v>-11.871937000000001</v>
      </c>
      <c r="F1227" s="43">
        <v>-77.069765000000004</v>
      </c>
      <c r="G1227" s="43">
        <v>-11.912326999999999</v>
      </c>
      <c r="H1227" s="43">
        <v>-77.073205999999999</v>
      </c>
      <c r="I1227" s="43">
        <v>-11.917757</v>
      </c>
      <c r="J1227" s="43">
        <v>-77.074074999999993</v>
      </c>
    </row>
    <row r="1228" spans="1:10" x14ac:dyDescent="0.25">
      <c r="A1228" s="15" t="s">
        <v>4321</v>
      </c>
      <c r="B1228" s="15" t="s">
        <v>4302</v>
      </c>
      <c r="C1228" s="40">
        <v>37.531999999999996</v>
      </c>
      <c r="D1228" s="29">
        <v>3.0555555555555555E-2</v>
      </c>
      <c r="E1228" s="41">
        <v>-11.991241</v>
      </c>
      <c r="F1228" s="41">
        <v>-77.064126999999999</v>
      </c>
      <c r="G1228" s="41">
        <v>-12.039191000000001</v>
      </c>
      <c r="H1228" s="41">
        <v>-77.014988000000002</v>
      </c>
      <c r="I1228" s="41">
        <v>-12.067505000000001</v>
      </c>
      <c r="J1228" s="41">
        <v>-76.971851999999998</v>
      </c>
    </row>
    <row r="1229" spans="1:10" x14ac:dyDescent="0.25">
      <c r="A1229" s="15" t="s">
        <v>4321</v>
      </c>
      <c r="B1229" s="15" t="s">
        <v>4303</v>
      </c>
      <c r="C1229" s="42">
        <v>26.952000000000002</v>
      </c>
      <c r="D1229" s="25">
        <v>2.5000000000000001E-2</v>
      </c>
      <c r="E1229" s="43">
        <v>-11.914754</v>
      </c>
      <c r="F1229" s="43">
        <v>-77.073988</v>
      </c>
      <c r="G1229" s="43">
        <v>-12.036581999999999</v>
      </c>
      <c r="H1229" s="43">
        <v>-77.047730000000001</v>
      </c>
      <c r="I1229" s="43">
        <v>-12.042396</v>
      </c>
      <c r="J1229" s="43">
        <v>-77.014173999999997</v>
      </c>
    </row>
    <row r="1230" spans="1:10" x14ac:dyDescent="0.25">
      <c r="A1230" s="15" t="s">
        <v>4321</v>
      </c>
      <c r="B1230" s="15" t="s">
        <v>4304</v>
      </c>
      <c r="C1230" s="40">
        <v>27.404</v>
      </c>
      <c r="D1230" s="29">
        <v>2.5000000000000001E-2</v>
      </c>
      <c r="E1230" s="41">
        <v>-11.91381</v>
      </c>
      <c r="F1230" s="41">
        <v>-77.073879000000005</v>
      </c>
      <c r="G1230" s="41">
        <v>-12.035555</v>
      </c>
      <c r="H1230" s="41">
        <v>-77.048563999999999</v>
      </c>
      <c r="I1230" s="41">
        <v>-12.042242</v>
      </c>
      <c r="J1230" s="41">
        <v>-77.015587999999994</v>
      </c>
    </row>
    <row r="1231" spans="1:10" x14ac:dyDescent="0.25">
      <c r="A1231" s="15" t="s">
        <v>4321</v>
      </c>
      <c r="B1231" s="15" t="s">
        <v>4269</v>
      </c>
      <c r="C1231" s="42">
        <v>28.800999999999998</v>
      </c>
      <c r="D1231" s="25">
        <v>3.4722222222222224E-2</v>
      </c>
      <c r="E1231" s="43">
        <v>-11.963006</v>
      </c>
      <c r="F1231" s="43">
        <v>-77.068439999999995</v>
      </c>
      <c r="G1231" s="43">
        <v>-12.027872</v>
      </c>
      <c r="H1231" s="43">
        <v>-77.068263999999999</v>
      </c>
      <c r="I1231" s="43">
        <v>-12.051231</v>
      </c>
      <c r="J1231" s="43">
        <v>-77.076606999999996</v>
      </c>
    </row>
    <row r="1232" spans="1:10" x14ac:dyDescent="0.25">
      <c r="A1232" s="15" t="s">
        <v>4321</v>
      </c>
      <c r="B1232" s="15" t="s">
        <v>4305</v>
      </c>
      <c r="C1232" s="40">
        <v>23.376999999999999</v>
      </c>
      <c r="D1232" s="29">
        <v>2.361111111111111E-2</v>
      </c>
      <c r="E1232" s="41">
        <v>-11.901655999999999</v>
      </c>
      <c r="F1232" s="41">
        <v>-77.067732000000007</v>
      </c>
      <c r="G1232" s="41">
        <v>-11.994046000000001</v>
      </c>
      <c r="H1232" s="41">
        <v>-77.063518999999999</v>
      </c>
      <c r="I1232" s="41">
        <v>-12.035861000000001</v>
      </c>
      <c r="J1232" s="41">
        <v>-77.046931000000001</v>
      </c>
    </row>
    <row r="1233" spans="1:10" x14ac:dyDescent="0.25">
      <c r="A1233" s="15" t="s">
        <v>4321</v>
      </c>
      <c r="B1233" s="15" t="s">
        <v>4306</v>
      </c>
      <c r="C1233" s="42">
        <v>39.405999999999999</v>
      </c>
      <c r="D1233" s="25">
        <v>3.0555555555555555E-2</v>
      </c>
      <c r="E1233" s="43">
        <v>-11.986625</v>
      </c>
      <c r="F1233" s="43">
        <v>-77.064677000000003</v>
      </c>
      <c r="G1233" s="43">
        <v>-12.041202999999999</v>
      </c>
      <c r="H1233" s="43">
        <v>-77.018199999999993</v>
      </c>
      <c r="I1233" s="43">
        <v>-12.063337000000001</v>
      </c>
      <c r="J1233" s="43">
        <v>-76.971529000000004</v>
      </c>
    </row>
    <row r="1234" spans="1:10" x14ac:dyDescent="0.25">
      <c r="A1234" s="15" t="s">
        <v>4321</v>
      </c>
      <c r="B1234" s="15" t="s">
        <v>4277</v>
      </c>
      <c r="C1234" s="40">
        <v>29.757000000000001</v>
      </c>
      <c r="D1234" s="29">
        <v>3.0555555555555555E-2</v>
      </c>
      <c r="E1234" s="41">
        <v>-11.913016000000001</v>
      </c>
      <c r="F1234" s="41">
        <v>-77.073601999999994</v>
      </c>
      <c r="G1234" s="41">
        <v>-12.035213000000001</v>
      </c>
      <c r="H1234" s="41">
        <v>-77.049092000000002</v>
      </c>
      <c r="I1234" s="41">
        <v>-12.060287000000001</v>
      </c>
      <c r="J1234" s="41">
        <v>-77.040904999999995</v>
      </c>
    </row>
    <row r="1235" spans="1:10" x14ac:dyDescent="0.25">
      <c r="A1235" s="15" t="s">
        <v>4321</v>
      </c>
      <c r="B1235" s="15" t="s">
        <v>4307</v>
      </c>
      <c r="C1235" s="42">
        <v>30.167999999999999</v>
      </c>
      <c r="D1235" s="25">
        <v>2.9166666666666667E-2</v>
      </c>
      <c r="E1235" s="43">
        <v>-11.914754</v>
      </c>
      <c r="F1235" s="43">
        <v>-77.073988</v>
      </c>
      <c r="G1235" s="43">
        <v>-12.039894</v>
      </c>
      <c r="H1235" s="43">
        <v>-77.036069999999995</v>
      </c>
      <c r="I1235" s="43">
        <v>-12.032817</v>
      </c>
      <c r="J1235" s="43">
        <v>-76.998724999999993</v>
      </c>
    </row>
    <row r="1236" spans="1:10" x14ac:dyDescent="0.25">
      <c r="A1236" s="15" t="s">
        <v>4321</v>
      </c>
      <c r="B1236" s="15" t="s">
        <v>4308</v>
      </c>
      <c r="C1236" s="40">
        <v>28.257999999999999</v>
      </c>
      <c r="D1236" s="29">
        <v>3.2638888888888891E-2</v>
      </c>
      <c r="E1236" s="41">
        <v>-11.91381</v>
      </c>
      <c r="F1236" s="41">
        <v>-77.073879000000005</v>
      </c>
      <c r="G1236" s="41">
        <v>-12.006675</v>
      </c>
      <c r="H1236" s="41">
        <v>-77.083315999999996</v>
      </c>
      <c r="I1236" s="41">
        <v>-12.022589</v>
      </c>
      <c r="J1236" s="41">
        <v>-77.106027999999995</v>
      </c>
    </row>
    <row r="1237" spans="1:10" x14ac:dyDescent="0.25">
      <c r="A1237" s="15" t="s">
        <v>4321</v>
      </c>
      <c r="B1237" s="15" t="s">
        <v>4309</v>
      </c>
      <c r="C1237" s="42">
        <v>27.349</v>
      </c>
      <c r="D1237" s="25">
        <v>2.7083333333333334E-2</v>
      </c>
      <c r="E1237" s="43">
        <v>-11.911462999999999</v>
      </c>
      <c r="F1237" s="43">
        <v>-77.072744999999998</v>
      </c>
      <c r="G1237" s="43">
        <v>-12.033837999999999</v>
      </c>
      <c r="H1237" s="43">
        <v>-77.052549999999997</v>
      </c>
      <c r="I1237" s="43">
        <v>-12.044563</v>
      </c>
      <c r="J1237" s="43">
        <v>-77.019383000000005</v>
      </c>
    </row>
    <row r="1238" spans="1:10" x14ac:dyDescent="0.25">
      <c r="A1238" s="15" t="s">
        <v>4321</v>
      </c>
      <c r="B1238" s="15" t="s">
        <v>4278</v>
      </c>
      <c r="C1238" s="40">
        <v>16.312999999999999</v>
      </c>
      <c r="D1238" s="29">
        <v>1.5277777777777777E-2</v>
      </c>
      <c r="E1238" s="41">
        <v>-11.871937000000001</v>
      </c>
      <c r="F1238" s="41">
        <v>-77.069765000000004</v>
      </c>
      <c r="G1238" s="41">
        <v>-11.911462999999999</v>
      </c>
      <c r="H1238" s="41">
        <v>-77.072744999999998</v>
      </c>
      <c r="I1238" s="41">
        <v>-11.994278</v>
      </c>
      <c r="J1238" s="41">
        <v>-77.063491999999997</v>
      </c>
    </row>
    <row r="1239" spans="1:10" x14ac:dyDescent="0.25">
      <c r="A1239" s="15" t="s">
        <v>4321</v>
      </c>
      <c r="B1239" s="15" t="s">
        <v>4310</v>
      </c>
      <c r="C1239" s="42">
        <v>27.010999999999999</v>
      </c>
      <c r="D1239" s="25">
        <v>2.4305555555555556E-2</v>
      </c>
      <c r="E1239" s="43">
        <v>-11.908931000000001</v>
      </c>
      <c r="F1239" s="43">
        <v>-77.070897000000002</v>
      </c>
      <c r="G1239" s="43">
        <v>-12.028858</v>
      </c>
      <c r="H1239" s="43">
        <v>-77.057848000000007</v>
      </c>
      <c r="I1239" s="43">
        <v>-12.041535</v>
      </c>
      <c r="J1239" s="43">
        <v>-77.018895999999998</v>
      </c>
    </row>
    <row r="1240" spans="1:10" x14ac:dyDescent="0.25">
      <c r="A1240" s="15" t="s">
        <v>4321</v>
      </c>
      <c r="B1240" s="15" t="s">
        <v>4311</v>
      </c>
      <c r="C1240" s="40">
        <v>24.715</v>
      </c>
      <c r="D1240" s="29">
        <v>2.5000000000000001E-2</v>
      </c>
      <c r="E1240" s="41">
        <v>-11.906898</v>
      </c>
      <c r="F1240" s="41">
        <v>-77.069529000000003</v>
      </c>
      <c r="G1240" s="41">
        <v>-12.012819</v>
      </c>
      <c r="H1240" s="41">
        <v>-77.060574000000003</v>
      </c>
      <c r="I1240" s="41">
        <v>-12.039350000000001</v>
      </c>
      <c r="J1240" s="41">
        <v>-77.043459999999996</v>
      </c>
    </row>
    <row r="1241" spans="1:10" x14ac:dyDescent="0.25">
      <c r="A1241" s="15" t="s">
        <v>4321</v>
      </c>
      <c r="B1241" s="15" t="s">
        <v>4312</v>
      </c>
      <c r="C1241" s="42">
        <v>26.911000000000001</v>
      </c>
      <c r="D1241" s="25">
        <v>2.5000000000000001E-2</v>
      </c>
      <c r="E1241" s="43">
        <v>-11.914754</v>
      </c>
      <c r="F1241" s="43">
        <v>-77.073988</v>
      </c>
      <c r="G1241" s="43">
        <v>-12.036581999999999</v>
      </c>
      <c r="H1241" s="43">
        <v>-77.047730000000001</v>
      </c>
      <c r="I1241" s="43">
        <v>-12.042396</v>
      </c>
      <c r="J1241" s="43">
        <v>-77.014173999999997</v>
      </c>
    </row>
    <row r="1242" spans="1:10" x14ac:dyDescent="0.25">
      <c r="A1242" s="15" t="s">
        <v>4321</v>
      </c>
      <c r="B1242" s="15" t="s">
        <v>4313</v>
      </c>
      <c r="C1242" s="40">
        <v>25.297000000000001</v>
      </c>
      <c r="D1242" s="29">
        <v>2.6388888888888889E-2</v>
      </c>
      <c r="E1242" s="41">
        <v>-11.906898</v>
      </c>
      <c r="F1242" s="41">
        <v>-77.069529000000003</v>
      </c>
      <c r="G1242" s="41">
        <v>-12.012819</v>
      </c>
      <c r="H1242" s="41">
        <v>-77.060574000000003</v>
      </c>
      <c r="I1242" s="41">
        <v>-12.039350000000001</v>
      </c>
      <c r="J1242" s="41">
        <v>-77.043459999999996</v>
      </c>
    </row>
    <row r="1243" spans="1:10" x14ac:dyDescent="0.25">
      <c r="A1243" s="15" t="s">
        <v>4321</v>
      </c>
      <c r="B1243" s="15" t="s">
        <v>4314</v>
      </c>
      <c r="C1243" s="42">
        <v>27.291</v>
      </c>
      <c r="D1243" s="25">
        <v>3.125E-2</v>
      </c>
      <c r="E1243" s="43">
        <v>-11.94642</v>
      </c>
      <c r="F1243" s="43">
        <v>-77.070952000000005</v>
      </c>
      <c r="G1243" s="43">
        <v>-12.029341000000001</v>
      </c>
      <c r="H1243" s="43">
        <v>-77.064779999999999</v>
      </c>
      <c r="I1243" s="43">
        <v>-12.049571</v>
      </c>
      <c r="J1243" s="43">
        <v>-77.078207000000006</v>
      </c>
    </row>
    <row r="1244" spans="1:10" x14ac:dyDescent="0.25">
      <c r="A1244" s="15" t="s">
        <v>4321</v>
      </c>
      <c r="B1244" s="15" t="s">
        <v>4315</v>
      </c>
      <c r="C1244" s="40">
        <v>37.954999999999998</v>
      </c>
      <c r="D1244" s="29">
        <v>3.0555555555555555E-2</v>
      </c>
      <c r="E1244" s="41">
        <v>-11.991241</v>
      </c>
      <c r="F1244" s="41">
        <v>-77.064126999999999</v>
      </c>
      <c r="G1244" s="41">
        <v>-12.039191000000001</v>
      </c>
      <c r="H1244" s="41">
        <v>-77.014988000000002</v>
      </c>
      <c r="I1244" s="41">
        <v>-12.067505000000001</v>
      </c>
      <c r="J1244" s="41">
        <v>-76.971851999999998</v>
      </c>
    </row>
    <row r="1245" spans="1:10" x14ac:dyDescent="0.25">
      <c r="A1245" s="15" t="s">
        <v>4321</v>
      </c>
      <c r="B1245" s="15" t="s">
        <v>4316</v>
      </c>
      <c r="C1245" s="42">
        <v>28.907</v>
      </c>
      <c r="D1245" s="25">
        <v>3.3333333333333333E-2</v>
      </c>
      <c r="E1245" s="43">
        <v>-11.908931000000001</v>
      </c>
      <c r="F1245" s="43">
        <v>-77.070897000000002</v>
      </c>
      <c r="G1245" s="43">
        <v>-12.029147999999999</v>
      </c>
      <c r="H1245" s="43">
        <v>-77.057725000000005</v>
      </c>
      <c r="I1245" s="43">
        <v>-12.05016</v>
      </c>
      <c r="J1245" s="43">
        <v>-77.042574999999999</v>
      </c>
    </row>
    <row r="1246" spans="1:10" x14ac:dyDescent="0.25">
      <c r="A1246" s="15" t="s">
        <v>4321</v>
      </c>
      <c r="B1246" s="15" t="s">
        <v>4317</v>
      </c>
      <c r="C1246" s="40">
        <v>44.692</v>
      </c>
      <c r="D1246" s="29">
        <v>3.6111111111111108E-2</v>
      </c>
      <c r="E1246" s="41">
        <v>-12.005497999999999</v>
      </c>
      <c r="F1246" s="41">
        <v>-77.061931999999999</v>
      </c>
      <c r="G1246" s="41">
        <v>-12.029146000000001</v>
      </c>
      <c r="H1246" s="41">
        <v>-76.997118999999998</v>
      </c>
      <c r="I1246" s="41">
        <v>-12.080036</v>
      </c>
      <c r="J1246" s="41">
        <v>-76.977311999999998</v>
      </c>
    </row>
    <row r="1247" spans="1:10" x14ac:dyDescent="0.25">
      <c r="A1247" s="15" t="s">
        <v>4321</v>
      </c>
      <c r="B1247" s="15" t="s">
        <v>4318</v>
      </c>
      <c r="C1247" s="42">
        <v>29.792999999999999</v>
      </c>
      <c r="D1247" s="25">
        <v>2.9166666666666667E-2</v>
      </c>
      <c r="E1247" s="43">
        <v>-11.914754</v>
      </c>
      <c r="F1247" s="43">
        <v>-77.073988</v>
      </c>
      <c r="G1247" s="43">
        <v>-12.036744000000001</v>
      </c>
      <c r="H1247" s="43">
        <v>-77.045438000000004</v>
      </c>
      <c r="I1247" s="43">
        <v>-12.0611</v>
      </c>
      <c r="J1247" s="43">
        <v>-77.035511</v>
      </c>
    </row>
    <row r="1248" spans="1:10" x14ac:dyDescent="0.25">
      <c r="A1248" s="15" t="s">
        <v>4321</v>
      </c>
      <c r="B1248" s="15" t="s">
        <v>4319</v>
      </c>
      <c r="C1248" s="40">
        <v>37.271000000000001</v>
      </c>
      <c r="D1248" s="29">
        <v>3.125E-2</v>
      </c>
      <c r="E1248" s="41">
        <v>-11.986625</v>
      </c>
      <c r="F1248" s="41">
        <v>-77.064677000000003</v>
      </c>
      <c r="G1248" s="41">
        <v>-12.041202999999999</v>
      </c>
      <c r="H1248" s="41">
        <v>-77.018199999999993</v>
      </c>
      <c r="I1248" s="41">
        <v>-12.063337000000001</v>
      </c>
      <c r="J1248" s="41">
        <v>-76.971529000000004</v>
      </c>
    </row>
    <row r="1249" spans="1:10" x14ac:dyDescent="0.25">
      <c r="A1249" s="15" t="s">
        <v>4321</v>
      </c>
      <c r="B1249" s="15" t="s">
        <v>4279</v>
      </c>
      <c r="C1249" s="42">
        <v>26.122</v>
      </c>
      <c r="D1249" s="25">
        <v>2.7777777777777776E-2</v>
      </c>
      <c r="E1249" s="43">
        <v>-11.910105</v>
      </c>
      <c r="F1249" s="43">
        <v>-77.071883</v>
      </c>
      <c r="G1249" s="43">
        <v>-12.025726000000001</v>
      </c>
      <c r="H1249" s="43">
        <v>-77.058807000000002</v>
      </c>
      <c r="I1249" s="43">
        <v>-12.025967</v>
      </c>
      <c r="J1249" s="43">
        <v>-77.075102999999999</v>
      </c>
    </row>
    <row r="1250" spans="1:10" x14ac:dyDescent="0.25">
      <c r="A1250" s="15" t="s">
        <v>4321</v>
      </c>
      <c r="B1250" s="15" t="s">
        <v>4320</v>
      </c>
      <c r="C1250" s="40">
        <v>31.378</v>
      </c>
      <c r="D1250" s="29">
        <v>2.6388888888888889E-2</v>
      </c>
      <c r="E1250" s="41">
        <v>-11.91381</v>
      </c>
      <c r="F1250" s="41">
        <v>-77.073879000000005</v>
      </c>
      <c r="G1250" s="41">
        <v>-12.036218</v>
      </c>
      <c r="H1250" s="41">
        <v>-77.044899999999998</v>
      </c>
      <c r="I1250" s="41">
        <v>-12.031952</v>
      </c>
      <c r="J1250" s="41">
        <v>-76.991851999999994</v>
      </c>
    </row>
    <row r="1251" spans="1:10" x14ac:dyDescent="0.25">
      <c r="A1251" s="15" t="s">
        <v>4321</v>
      </c>
      <c r="B1251" s="15" t="s">
        <v>4321</v>
      </c>
      <c r="C1251" s="42">
        <v>0</v>
      </c>
      <c r="D1251" s="25">
        <v>0</v>
      </c>
      <c r="E1251" s="43" t="e">
        <f>'1 ubicaciones'!#REF!</f>
        <v>#REF!</v>
      </c>
      <c r="F1251" s="43" t="e">
        <f>'1 ubicaciones'!#REF!</f>
        <v>#REF!</v>
      </c>
      <c r="G1251" s="43" t="e">
        <f>'1 ubicaciones'!#REF!</f>
        <v>#REF!</v>
      </c>
      <c r="H1251" s="43" t="e">
        <f>'1 ubicaciones'!#REF!</f>
        <v>#REF!</v>
      </c>
      <c r="I1251" s="43" t="e">
        <f>'1 ubicaciones'!#REF!</f>
        <v>#REF!</v>
      </c>
      <c r="J1251" s="43" t="e">
        <f>'1 ubicaciones'!#REF!</f>
        <v>#REF!</v>
      </c>
    </row>
    <row r="1252" spans="1:10" x14ac:dyDescent="0.25">
      <c r="A1252" s="15" t="s">
        <v>4321</v>
      </c>
      <c r="B1252" s="15" t="s">
        <v>4322</v>
      </c>
      <c r="C1252" s="40">
        <v>40.11</v>
      </c>
      <c r="D1252" s="29">
        <v>3.9583333333333331E-2</v>
      </c>
      <c r="E1252" s="41">
        <v>-12.011013</v>
      </c>
      <c r="F1252" s="41">
        <v>-77.060766999999998</v>
      </c>
      <c r="G1252" s="41">
        <v>-12.06077</v>
      </c>
      <c r="H1252" s="41">
        <v>-77.035853000000003</v>
      </c>
      <c r="I1252" s="41">
        <v>-12.136607</v>
      </c>
      <c r="J1252" s="41">
        <v>-77.026020000000003</v>
      </c>
    </row>
    <row r="1253" spans="1:10" x14ac:dyDescent="0.25">
      <c r="A1253" s="15" t="s">
        <v>4321</v>
      </c>
      <c r="B1253" s="15" t="s">
        <v>4323</v>
      </c>
      <c r="C1253" s="42">
        <v>46.887999999999998</v>
      </c>
      <c r="D1253" s="25">
        <v>3.8194444444444448E-2</v>
      </c>
      <c r="E1253" s="43">
        <v>-12.012819</v>
      </c>
      <c r="F1253" s="43">
        <v>-77.060574000000003</v>
      </c>
      <c r="G1253" s="43">
        <v>-12.036507</v>
      </c>
      <c r="H1253" s="43">
        <v>-76.989037999999994</v>
      </c>
      <c r="I1253" s="43">
        <v>-12.128666000000001</v>
      </c>
      <c r="J1253" s="43">
        <v>-76.977340999999996</v>
      </c>
    </row>
    <row r="1254" spans="1:10" x14ac:dyDescent="0.25">
      <c r="A1254" s="15" t="s">
        <v>4321</v>
      </c>
      <c r="B1254" s="15" t="s">
        <v>4324</v>
      </c>
      <c r="C1254" s="40">
        <v>26.381</v>
      </c>
      <c r="D1254" s="29">
        <v>2.7777777777777776E-2</v>
      </c>
      <c r="E1254" s="41">
        <v>-11.913016000000001</v>
      </c>
      <c r="F1254" s="41">
        <v>-77.073601999999994</v>
      </c>
      <c r="G1254" s="41">
        <v>-12.035213000000001</v>
      </c>
      <c r="H1254" s="41">
        <v>-77.049092000000002</v>
      </c>
      <c r="I1254" s="41">
        <v>-12.046303</v>
      </c>
      <c r="J1254" s="41">
        <v>-77.043167999999994</v>
      </c>
    </row>
    <row r="1255" spans="1:10" x14ac:dyDescent="0.25">
      <c r="A1255" s="15" t="s">
        <v>4321</v>
      </c>
      <c r="B1255" s="15" t="s">
        <v>4325</v>
      </c>
      <c r="C1255" s="42">
        <v>44.932000000000002</v>
      </c>
      <c r="D1255" s="25">
        <v>4.027777777777778E-2</v>
      </c>
      <c r="E1255" s="43">
        <v>-12.028261000000001</v>
      </c>
      <c r="F1255" s="43">
        <v>-77.058076</v>
      </c>
      <c r="G1255" s="43">
        <v>-12.042441</v>
      </c>
      <c r="H1255" s="43">
        <v>-76.986650999999995</v>
      </c>
      <c r="I1255" s="43">
        <v>-12.134181</v>
      </c>
      <c r="J1255" s="43">
        <v>-76.976635999999999</v>
      </c>
    </row>
    <row r="1256" spans="1:10" x14ac:dyDescent="0.25">
      <c r="A1256" s="15" t="s">
        <v>4321</v>
      </c>
      <c r="B1256" s="15" t="s">
        <v>4268</v>
      </c>
      <c r="C1256" s="40">
        <v>26.472000000000001</v>
      </c>
      <c r="D1256" s="29">
        <v>2.361111111111111E-2</v>
      </c>
      <c r="E1256" s="41">
        <v>-11.908931000000001</v>
      </c>
      <c r="F1256" s="41">
        <v>-77.070897000000002</v>
      </c>
      <c r="G1256" s="41">
        <v>-12.028858</v>
      </c>
      <c r="H1256" s="41">
        <v>-77.057848000000007</v>
      </c>
      <c r="I1256" s="41">
        <v>-12.041535</v>
      </c>
      <c r="J1256" s="41">
        <v>-77.018895999999998</v>
      </c>
    </row>
    <row r="1257" spans="1:10" x14ac:dyDescent="0.25">
      <c r="A1257" s="15" t="s">
        <v>4322</v>
      </c>
      <c r="B1257" s="15" t="s">
        <v>4267</v>
      </c>
      <c r="C1257" s="42">
        <v>18.626000000000001</v>
      </c>
      <c r="D1257" s="25">
        <v>2.013888888888889E-2</v>
      </c>
      <c r="E1257" s="43">
        <v>-12.152359000000001</v>
      </c>
      <c r="F1257" s="43">
        <v>-77.024450999999999</v>
      </c>
      <c r="G1257" s="43">
        <v>-12.134764000000001</v>
      </c>
      <c r="H1257" s="43">
        <v>-77.019250999999997</v>
      </c>
      <c r="I1257" s="43">
        <v>-12.087759999999999</v>
      </c>
      <c r="J1257" s="43">
        <v>-77.024265999999997</v>
      </c>
    </row>
    <row r="1258" spans="1:10" x14ac:dyDescent="0.25">
      <c r="A1258" s="15" t="s">
        <v>4322</v>
      </c>
      <c r="B1258" s="15" t="s">
        <v>4280</v>
      </c>
      <c r="C1258" s="40">
        <v>1.7689999999999999</v>
      </c>
      <c r="D1258" s="29">
        <v>3.472222222222222E-3</v>
      </c>
      <c r="E1258" s="41">
        <v>-12.184006</v>
      </c>
      <c r="F1258" s="41">
        <v>-77.007779999999997</v>
      </c>
      <c r="G1258" s="41">
        <v>-12.182812999999999</v>
      </c>
      <c r="H1258" s="41">
        <v>-77.010861000000006</v>
      </c>
      <c r="I1258" s="41">
        <v>-12.178725999999999</v>
      </c>
      <c r="J1258" s="41">
        <v>-77.013766000000004</v>
      </c>
    </row>
    <row r="1259" spans="1:10" x14ac:dyDescent="0.25">
      <c r="A1259" s="15" t="s">
        <v>4322</v>
      </c>
      <c r="B1259" s="15" t="s">
        <v>4281</v>
      </c>
      <c r="C1259" s="42">
        <v>19.875</v>
      </c>
      <c r="D1259" s="25">
        <v>2.0833333333333332E-2</v>
      </c>
      <c r="E1259" s="43">
        <v>-12.172281999999999</v>
      </c>
      <c r="F1259" s="43">
        <v>-76.981234000000001</v>
      </c>
      <c r="G1259" s="43">
        <v>-12.147648999999999</v>
      </c>
      <c r="H1259" s="43">
        <v>-76.982412999999994</v>
      </c>
      <c r="I1259" s="43">
        <v>-12.082938</v>
      </c>
      <c r="J1259" s="43">
        <v>-76.969421999999994</v>
      </c>
    </row>
    <row r="1260" spans="1:10" x14ac:dyDescent="0.25">
      <c r="A1260" s="15" t="s">
        <v>4322</v>
      </c>
      <c r="B1260" s="15" t="s">
        <v>4296</v>
      </c>
      <c r="C1260" s="40">
        <v>19.347999999999999</v>
      </c>
      <c r="D1260" s="29">
        <v>2.013888888888889E-2</v>
      </c>
      <c r="E1260" s="41">
        <v>-12.149756</v>
      </c>
      <c r="F1260" s="41">
        <v>-77.024353000000005</v>
      </c>
      <c r="G1260" s="41">
        <v>-12.132937</v>
      </c>
      <c r="H1260" s="41">
        <v>-77.021254999999996</v>
      </c>
      <c r="I1260" s="41">
        <v>-12.061267000000001</v>
      </c>
      <c r="J1260" s="41">
        <v>-77.034757999999997</v>
      </c>
    </row>
    <row r="1261" spans="1:10" x14ac:dyDescent="0.25">
      <c r="A1261" s="15" t="s">
        <v>4322</v>
      </c>
      <c r="B1261" s="15" t="s">
        <v>4297</v>
      </c>
      <c r="C1261" s="42">
        <v>17.196999999999999</v>
      </c>
      <c r="D1261" s="25">
        <v>1.8055555555555554E-2</v>
      </c>
      <c r="E1261" s="43">
        <v>-12.154532</v>
      </c>
      <c r="F1261" s="43">
        <v>-77.024851999999996</v>
      </c>
      <c r="G1261" s="43">
        <v>-12.134104000000001</v>
      </c>
      <c r="H1261" s="43">
        <v>-77.019389000000004</v>
      </c>
      <c r="I1261" s="43">
        <v>-12.102997</v>
      </c>
      <c r="J1261" s="43">
        <v>-77.027215999999996</v>
      </c>
    </row>
    <row r="1262" spans="1:10" x14ac:dyDescent="0.25">
      <c r="A1262" s="15" t="s">
        <v>4322</v>
      </c>
      <c r="B1262" s="15" t="s">
        <v>4298</v>
      </c>
      <c r="C1262" s="40">
        <v>11.018000000000001</v>
      </c>
      <c r="D1262" s="29">
        <v>1.2500000000000001E-2</v>
      </c>
      <c r="E1262" s="41">
        <v>-12.16043</v>
      </c>
      <c r="F1262" s="41">
        <v>-77.024989000000005</v>
      </c>
      <c r="G1262" s="41">
        <v>-12.139810000000001</v>
      </c>
      <c r="H1262" s="41">
        <v>-77.027749</v>
      </c>
      <c r="I1262" s="41">
        <v>-12.134178</v>
      </c>
      <c r="J1262" s="41">
        <v>-77.020107999999993</v>
      </c>
    </row>
    <row r="1263" spans="1:10" x14ac:dyDescent="0.25">
      <c r="A1263" s="15" t="s">
        <v>4322</v>
      </c>
      <c r="B1263" s="15" t="s">
        <v>4299</v>
      </c>
      <c r="C1263" s="42">
        <v>11.38</v>
      </c>
      <c r="D1263" s="25">
        <v>1.4583333333333334E-2</v>
      </c>
      <c r="E1263" s="43">
        <v>-12.160195</v>
      </c>
      <c r="F1263" s="43">
        <v>-77.025032999999993</v>
      </c>
      <c r="G1263" s="43">
        <v>-12.138657</v>
      </c>
      <c r="H1263" s="43">
        <v>-77.027029999999996</v>
      </c>
      <c r="I1263" s="43">
        <v>-12.131584</v>
      </c>
      <c r="J1263" s="43">
        <v>-77.021951999999999</v>
      </c>
    </row>
    <row r="1264" spans="1:10" x14ac:dyDescent="0.25">
      <c r="A1264" s="15" t="s">
        <v>4322</v>
      </c>
      <c r="B1264" s="15" t="s">
        <v>4300</v>
      </c>
      <c r="C1264" s="40">
        <v>13.948</v>
      </c>
      <c r="D1264" s="29">
        <v>1.5277777777777777E-2</v>
      </c>
      <c r="E1264" s="41">
        <v>-12.174664999999999</v>
      </c>
      <c r="F1264" s="41">
        <v>-76.989489000000006</v>
      </c>
      <c r="G1264" s="41">
        <v>-12.167597000000001</v>
      </c>
      <c r="H1264" s="41">
        <v>-76.978815999999995</v>
      </c>
      <c r="I1264" s="41">
        <v>-12.128707</v>
      </c>
      <c r="J1264" s="41">
        <v>-76.977196000000006</v>
      </c>
    </row>
    <row r="1265" spans="1:10" x14ac:dyDescent="0.25">
      <c r="A1265" s="15" t="s">
        <v>4322</v>
      </c>
      <c r="B1265" s="15" t="s">
        <v>4301</v>
      </c>
      <c r="C1265" s="42">
        <v>34.860999999999997</v>
      </c>
      <c r="D1265" s="25">
        <v>3.5416666666666666E-2</v>
      </c>
      <c r="E1265" s="43">
        <v>-12.142053000000001</v>
      </c>
      <c r="F1265" s="43">
        <v>-77.026312000000004</v>
      </c>
      <c r="G1265" s="43">
        <v>-12.102997</v>
      </c>
      <c r="H1265" s="43">
        <v>-77.027215999999996</v>
      </c>
      <c r="I1265" s="43">
        <v>-12.036113</v>
      </c>
      <c r="J1265" s="43">
        <v>-77.043541000000005</v>
      </c>
    </row>
    <row r="1266" spans="1:10" x14ac:dyDescent="0.25">
      <c r="A1266" s="15" t="s">
        <v>4322</v>
      </c>
      <c r="B1266" s="15" t="s">
        <v>4302</v>
      </c>
      <c r="C1266" s="40">
        <v>15.715</v>
      </c>
      <c r="D1266" s="29">
        <v>1.8055555555555554E-2</v>
      </c>
      <c r="E1266" s="41">
        <v>-12.158142</v>
      </c>
      <c r="F1266" s="41">
        <v>-77.025049999999993</v>
      </c>
      <c r="G1266" s="41">
        <v>-12.134294000000001</v>
      </c>
      <c r="H1266" s="41">
        <v>-77.021263000000005</v>
      </c>
      <c r="I1266" s="41">
        <v>-12.106228</v>
      </c>
      <c r="J1266" s="41">
        <v>-77.027085</v>
      </c>
    </row>
    <row r="1267" spans="1:10" x14ac:dyDescent="0.25">
      <c r="A1267" s="15" t="s">
        <v>4322</v>
      </c>
      <c r="B1267" s="15" t="s">
        <v>4303</v>
      </c>
      <c r="C1267" s="42">
        <v>16.936</v>
      </c>
      <c r="D1267" s="25">
        <v>1.8055555555555554E-2</v>
      </c>
      <c r="E1267" s="43">
        <v>-12.154532</v>
      </c>
      <c r="F1267" s="43">
        <v>-77.024851999999996</v>
      </c>
      <c r="G1267" s="43">
        <v>-12.134104000000001</v>
      </c>
      <c r="H1267" s="43">
        <v>-77.019389000000004</v>
      </c>
      <c r="I1267" s="43">
        <v>-12.102997</v>
      </c>
      <c r="J1267" s="43">
        <v>-77.027215999999996</v>
      </c>
    </row>
    <row r="1268" spans="1:10" x14ac:dyDescent="0.25">
      <c r="A1268" s="15" t="s">
        <v>4322</v>
      </c>
      <c r="B1268" s="15" t="s">
        <v>4304</v>
      </c>
      <c r="C1268" s="40">
        <v>16.669</v>
      </c>
      <c r="D1268" s="29">
        <v>1.7361111111111112E-2</v>
      </c>
      <c r="E1268" s="41">
        <v>-12.154532</v>
      </c>
      <c r="F1268" s="41">
        <v>-77.024851999999996</v>
      </c>
      <c r="G1268" s="41">
        <v>-12.134104000000001</v>
      </c>
      <c r="H1268" s="41">
        <v>-77.019389000000004</v>
      </c>
      <c r="I1268" s="41">
        <v>-12.102997</v>
      </c>
      <c r="J1268" s="41">
        <v>-77.027215999999996</v>
      </c>
    </row>
    <row r="1269" spans="1:10" x14ac:dyDescent="0.25">
      <c r="A1269" s="15" t="s">
        <v>4322</v>
      </c>
      <c r="B1269" s="15" t="s">
        <v>4269</v>
      </c>
      <c r="C1269" s="42">
        <v>16.292000000000002</v>
      </c>
      <c r="D1269" s="25">
        <v>1.5972222222222221E-2</v>
      </c>
      <c r="E1269" s="43">
        <v>-12.149756</v>
      </c>
      <c r="F1269" s="43">
        <v>-77.024353000000005</v>
      </c>
      <c r="G1269" s="43">
        <v>-12.120132</v>
      </c>
      <c r="H1269" s="43">
        <v>-77.045203999999998</v>
      </c>
      <c r="I1269" s="43">
        <v>-12.099085000000001</v>
      </c>
      <c r="J1269" s="43">
        <v>-77.071546999999995</v>
      </c>
    </row>
    <row r="1270" spans="1:10" x14ac:dyDescent="0.25">
      <c r="A1270" s="15" t="s">
        <v>4322</v>
      </c>
      <c r="B1270" s="15" t="s">
        <v>4305</v>
      </c>
      <c r="C1270" s="40">
        <v>18.338999999999999</v>
      </c>
      <c r="D1270" s="29">
        <v>1.9444444444444445E-2</v>
      </c>
      <c r="E1270" s="41">
        <v>-12.146076000000001</v>
      </c>
      <c r="F1270" s="41">
        <v>-77.025183999999996</v>
      </c>
      <c r="G1270" s="41">
        <v>-12.121236</v>
      </c>
      <c r="H1270" s="41">
        <v>-77.025045000000006</v>
      </c>
      <c r="I1270" s="41">
        <v>-12.05926</v>
      </c>
      <c r="J1270" s="41">
        <v>-77.035741999999999</v>
      </c>
    </row>
    <row r="1271" spans="1:10" x14ac:dyDescent="0.25">
      <c r="A1271" s="15" t="s">
        <v>4322</v>
      </c>
      <c r="B1271" s="15" t="s">
        <v>4306</v>
      </c>
      <c r="C1271" s="42">
        <v>9.8870000000000005</v>
      </c>
      <c r="D1271" s="25">
        <v>1.2500000000000001E-2</v>
      </c>
      <c r="E1271" s="43">
        <v>-12.174851</v>
      </c>
      <c r="F1271" s="43">
        <v>-76.989885000000001</v>
      </c>
      <c r="G1271" s="43">
        <v>-12.166589999999999</v>
      </c>
      <c r="H1271" s="43">
        <v>-76.978154000000004</v>
      </c>
      <c r="I1271" s="43">
        <v>-12.146062000000001</v>
      </c>
      <c r="J1271" s="43">
        <v>-76.981992000000005</v>
      </c>
    </row>
    <row r="1272" spans="1:10" x14ac:dyDescent="0.25">
      <c r="A1272" s="15" t="s">
        <v>4322</v>
      </c>
      <c r="B1272" s="15" t="s">
        <v>4277</v>
      </c>
      <c r="C1272" s="40">
        <v>15.27</v>
      </c>
      <c r="D1272" s="29">
        <v>1.5972222222222221E-2</v>
      </c>
      <c r="E1272" s="41">
        <v>-12.158607</v>
      </c>
      <c r="F1272" s="41">
        <v>-77.025143999999997</v>
      </c>
      <c r="G1272" s="41">
        <v>-12.135825000000001</v>
      </c>
      <c r="H1272" s="41">
        <v>-77.024100000000004</v>
      </c>
      <c r="I1272" s="41">
        <v>-12.111435999999999</v>
      </c>
      <c r="J1272" s="41">
        <v>-77.025946000000005</v>
      </c>
    </row>
    <row r="1273" spans="1:10" x14ac:dyDescent="0.25">
      <c r="A1273" s="15" t="s">
        <v>4322</v>
      </c>
      <c r="B1273" s="15" t="s">
        <v>4307</v>
      </c>
      <c r="C1273" s="42">
        <v>22.256</v>
      </c>
      <c r="D1273" s="25">
        <v>2.1527777777777778E-2</v>
      </c>
      <c r="E1273" s="43">
        <v>-12.172281999999999</v>
      </c>
      <c r="F1273" s="43">
        <v>-76.981234000000001</v>
      </c>
      <c r="G1273" s="43">
        <v>-12.147648999999999</v>
      </c>
      <c r="H1273" s="43">
        <v>-76.982412999999994</v>
      </c>
      <c r="I1273" s="43">
        <v>-12.067361999999999</v>
      </c>
      <c r="J1273" s="43">
        <v>-76.971562000000006</v>
      </c>
    </row>
    <row r="1274" spans="1:10" x14ac:dyDescent="0.25">
      <c r="A1274" s="15" t="s">
        <v>4322</v>
      </c>
      <c r="B1274" s="15" t="s">
        <v>4308</v>
      </c>
      <c r="C1274" s="40">
        <v>17.295000000000002</v>
      </c>
      <c r="D1274" s="29">
        <v>1.8749999999999999E-2</v>
      </c>
      <c r="E1274" s="41">
        <v>-12.152359000000001</v>
      </c>
      <c r="F1274" s="41">
        <v>-77.024450999999999</v>
      </c>
      <c r="G1274" s="41">
        <v>-12.123023999999999</v>
      </c>
      <c r="H1274" s="41">
        <v>-77.042578000000006</v>
      </c>
      <c r="I1274" s="41">
        <v>-12.102091</v>
      </c>
      <c r="J1274" s="41">
        <v>-77.065646999999998</v>
      </c>
    </row>
    <row r="1275" spans="1:10" x14ac:dyDescent="0.25">
      <c r="A1275" s="15" t="s">
        <v>4322</v>
      </c>
      <c r="B1275" s="15" t="s">
        <v>4309</v>
      </c>
      <c r="C1275" s="42">
        <v>15.222</v>
      </c>
      <c r="D1275" s="25">
        <v>1.4583333333333334E-2</v>
      </c>
      <c r="E1275" s="43">
        <v>-12.158607</v>
      </c>
      <c r="F1275" s="43">
        <v>-77.025143999999997</v>
      </c>
      <c r="G1275" s="43">
        <v>-12.135825000000001</v>
      </c>
      <c r="H1275" s="43">
        <v>-77.024100000000004</v>
      </c>
      <c r="I1275" s="43">
        <v>-12.113899</v>
      </c>
      <c r="J1275" s="43">
        <v>-77.025834000000003</v>
      </c>
    </row>
    <row r="1276" spans="1:10" x14ac:dyDescent="0.25">
      <c r="A1276" s="15" t="s">
        <v>4322</v>
      </c>
      <c r="B1276" s="15" t="s">
        <v>4278</v>
      </c>
      <c r="C1276" s="40">
        <v>26.41</v>
      </c>
      <c r="D1276" s="29">
        <v>2.9166666666666667E-2</v>
      </c>
      <c r="E1276" s="41">
        <v>-12.140242000000001</v>
      </c>
      <c r="F1276" s="41">
        <v>-77.027651000000006</v>
      </c>
      <c r="G1276" s="41">
        <v>-12.100771999999999</v>
      </c>
      <c r="H1276" s="41">
        <v>-77.026722000000007</v>
      </c>
      <c r="I1276" s="41">
        <v>-12.035788999999999</v>
      </c>
      <c r="J1276" s="41">
        <v>-77.043356000000003</v>
      </c>
    </row>
    <row r="1277" spans="1:10" x14ac:dyDescent="0.25">
      <c r="A1277" s="15" t="s">
        <v>4322</v>
      </c>
      <c r="B1277" s="15" t="s">
        <v>4310</v>
      </c>
      <c r="C1277" s="42">
        <v>23.221</v>
      </c>
      <c r="D1277" s="25">
        <v>2.2222222222222223E-2</v>
      </c>
      <c r="E1277" s="43">
        <v>-12.167246</v>
      </c>
      <c r="F1277" s="43">
        <v>-76.978491000000005</v>
      </c>
      <c r="G1277" s="43">
        <v>-12.126734000000001</v>
      </c>
      <c r="H1277" s="43">
        <v>-76.976878999999997</v>
      </c>
      <c r="I1277" s="43">
        <v>-12.043281</v>
      </c>
      <c r="J1277" s="43">
        <v>-76.985573000000002</v>
      </c>
    </row>
    <row r="1278" spans="1:10" x14ac:dyDescent="0.25">
      <c r="A1278" s="15" t="s">
        <v>4322</v>
      </c>
      <c r="B1278" s="15" t="s">
        <v>4311</v>
      </c>
      <c r="C1278" s="40">
        <v>17.117000000000001</v>
      </c>
      <c r="D1278" s="29">
        <v>1.8055555555555554E-2</v>
      </c>
      <c r="E1278" s="41">
        <v>-12.151577</v>
      </c>
      <c r="F1278" s="41">
        <v>-77.024626999999995</v>
      </c>
      <c r="G1278" s="41">
        <v>-12.134264</v>
      </c>
      <c r="H1278" s="41">
        <v>-77.020025000000004</v>
      </c>
      <c r="I1278" s="41">
        <v>-12.06874</v>
      </c>
      <c r="J1278" s="41">
        <v>-77.031944999999993</v>
      </c>
    </row>
    <row r="1279" spans="1:10" x14ac:dyDescent="0.25">
      <c r="A1279" s="15" t="s">
        <v>4322</v>
      </c>
      <c r="B1279" s="15" t="s">
        <v>4312</v>
      </c>
      <c r="C1279" s="42">
        <v>16.928999999999998</v>
      </c>
      <c r="D1279" s="25">
        <v>1.7361111111111112E-2</v>
      </c>
      <c r="E1279" s="43">
        <v>-12.154532</v>
      </c>
      <c r="F1279" s="43">
        <v>-77.024851999999996</v>
      </c>
      <c r="G1279" s="43">
        <v>-12.134104000000001</v>
      </c>
      <c r="H1279" s="43">
        <v>-77.019389000000004</v>
      </c>
      <c r="I1279" s="43">
        <v>-12.102997</v>
      </c>
      <c r="J1279" s="43">
        <v>-77.027215999999996</v>
      </c>
    </row>
    <row r="1280" spans="1:10" x14ac:dyDescent="0.25">
      <c r="A1280" s="15" t="s">
        <v>4322</v>
      </c>
      <c r="B1280" s="15" t="s">
        <v>4313</v>
      </c>
      <c r="C1280" s="40">
        <v>19.46</v>
      </c>
      <c r="D1280" s="29">
        <v>2.013888888888889E-2</v>
      </c>
      <c r="E1280" s="41">
        <v>-12.146076000000001</v>
      </c>
      <c r="F1280" s="41">
        <v>-77.025183999999996</v>
      </c>
      <c r="G1280" s="41">
        <v>-12.121236</v>
      </c>
      <c r="H1280" s="41">
        <v>-77.025045000000006</v>
      </c>
      <c r="I1280" s="41">
        <v>-12.05926</v>
      </c>
      <c r="J1280" s="41">
        <v>-77.035741999999999</v>
      </c>
    </row>
    <row r="1281" spans="1:10" x14ac:dyDescent="0.25">
      <c r="A1281" s="15" t="s">
        <v>4322</v>
      </c>
      <c r="B1281" s="15" t="s">
        <v>4314</v>
      </c>
      <c r="C1281" s="42">
        <v>16.952000000000002</v>
      </c>
      <c r="D1281" s="25">
        <v>1.8749999999999999E-2</v>
      </c>
      <c r="E1281" s="43">
        <v>-12.149024000000001</v>
      </c>
      <c r="F1281" s="43">
        <v>-77.024366999999998</v>
      </c>
      <c r="G1281" s="43">
        <v>-12.118838</v>
      </c>
      <c r="H1281" s="43">
        <v>-77.046256999999997</v>
      </c>
      <c r="I1281" s="43">
        <v>-12.096869999999999</v>
      </c>
      <c r="J1281" s="43">
        <v>-77.074686999999997</v>
      </c>
    </row>
    <row r="1282" spans="1:10" x14ac:dyDescent="0.25">
      <c r="A1282" s="15" t="s">
        <v>4322</v>
      </c>
      <c r="B1282" s="15" t="s">
        <v>4315</v>
      </c>
      <c r="C1282" s="40">
        <v>12.22</v>
      </c>
      <c r="D1282" s="29">
        <v>1.3194444444444444E-2</v>
      </c>
      <c r="E1282" s="41">
        <v>-12.174664999999999</v>
      </c>
      <c r="F1282" s="41">
        <v>-76.989489000000006</v>
      </c>
      <c r="G1282" s="41">
        <v>-12.167597000000001</v>
      </c>
      <c r="H1282" s="41">
        <v>-76.978815999999995</v>
      </c>
      <c r="I1282" s="41">
        <v>-12.128707</v>
      </c>
      <c r="J1282" s="41">
        <v>-76.977196000000006</v>
      </c>
    </row>
    <row r="1283" spans="1:10" x14ac:dyDescent="0.25">
      <c r="A1283" s="15" t="s">
        <v>4322</v>
      </c>
      <c r="B1283" s="15" t="s">
        <v>4316</v>
      </c>
      <c r="C1283" s="42">
        <v>13.55</v>
      </c>
      <c r="D1283" s="25">
        <v>1.4583333333333334E-2</v>
      </c>
      <c r="E1283" s="43">
        <v>-12.158142</v>
      </c>
      <c r="F1283" s="43">
        <v>-77.025049999999993</v>
      </c>
      <c r="G1283" s="43">
        <v>-12.130143</v>
      </c>
      <c r="H1283" s="43">
        <v>-77.035189000000003</v>
      </c>
      <c r="I1283" s="43">
        <v>-12.109662999999999</v>
      </c>
      <c r="J1283" s="43">
        <v>-77.055485000000004</v>
      </c>
    </row>
    <row r="1284" spans="1:10" x14ac:dyDescent="0.25">
      <c r="A1284" s="15" t="s">
        <v>4322</v>
      </c>
      <c r="B1284" s="15" t="s">
        <v>4317</v>
      </c>
      <c r="C1284" s="40">
        <v>7.8049999999999997</v>
      </c>
      <c r="D1284" s="29">
        <v>1.2500000000000001E-2</v>
      </c>
      <c r="E1284" s="41">
        <v>-12.174956</v>
      </c>
      <c r="F1284" s="41">
        <v>-76.992001999999999</v>
      </c>
      <c r="G1284" s="41">
        <v>-12.172281999999999</v>
      </c>
      <c r="H1284" s="41">
        <v>-76.981234000000001</v>
      </c>
      <c r="I1284" s="41">
        <v>-12.158579</v>
      </c>
      <c r="J1284" s="41">
        <v>-76.972892999999999</v>
      </c>
    </row>
    <row r="1285" spans="1:10" x14ac:dyDescent="0.25">
      <c r="A1285" s="15" t="s">
        <v>4322</v>
      </c>
      <c r="B1285" s="15" t="s">
        <v>4318</v>
      </c>
      <c r="C1285" s="42">
        <v>14.442</v>
      </c>
      <c r="D1285" s="25">
        <v>1.4583333333333334E-2</v>
      </c>
      <c r="E1285" s="43">
        <v>-12.158607</v>
      </c>
      <c r="F1285" s="43">
        <v>-77.025143999999997</v>
      </c>
      <c r="G1285" s="43">
        <v>-12.135825000000001</v>
      </c>
      <c r="H1285" s="43">
        <v>-77.024100000000004</v>
      </c>
      <c r="I1285" s="43">
        <v>-12.113899</v>
      </c>
      <c r="J1285" s="43">
        <v>-77.025834000000003</v>
      </c>
    </row>
    <row r="1286" spans="1:10" x14ac:dyDescent="0.25">
      <c r="A1286" s="15" t="s">
        <v>4322</v>
      </c>
      <c r="B1286" s="15" t="s">
        <v>4319</v>
      </c>
      <c r="C1286" s="40">
        <v>17.16</v>
      </c>
      <c r="D1286" s="29">
        <v>1.8055555555555554E-2</v>
      </c>
      <c r="E1286" s="41">
        <v>-12.158142</v>
      </c>
      <c r="F1286" s="41">
        <v>-77.025049999999993</v>
      </c>
      <c r="G1286" s="41">
        <v>-12.134294000000001</v>
      </c>
      <c r="H1286" s="41">
        <v>-77.021263000000005</v>
      </c>
      <c r="I1286" s="41">
        <v>-12.106228</v>
      </c>
      <c r="J1286" s="41">
        <v>-77.027085</v>
      </c>
    </row>
    <row r="1287" spans="1:10" x14ac:dyDescent="0.25">
      <c r="A1287" s="15" t="s">
        <v>4322</v>
      </c>
      <c r="B1287" s="15" t="s">
        <v>4279</v>
      </c>
      <c r="C1287" s="42">
        <v>24.75</v>
      </c>
      <c r="D1287" s="25">
        <v>2.4305555555555556E-2</v>
      </c>
      <c r="E1287" s="43">
        <v>-12.139991</v>
      </c>
      <c r="F1287" s="43">
        <v>-77.027840999999995</v>
      </c>
      <c r="G1287" s="43">
        <v>-12.107393</v>
      </c>
      <c r="H1287" s="43">
        <v>-77.059610000000006</v>
      </c>
      <c r="I1287" s="43">
        <v>-12.074752</v>
      </c>
      <c r="J1287" s="43">
        <v>-77.122146000000001</v>
      </c>
    </row>
    <row r="1288" spans="1:10" x14ac:dyDescent="0.25">
      <c r="A1288" s="15" t="s">
        <v>4322</v>
      </c>
      <c r="B1288" s="15" t="s">
        <v>4320</v>
      </c>
      <c r="C1288" s="40">
        <v>18.196000000000002</v>
      </c>
      <c r="D1288" s="29">
        <v>1.8055555555555554E-2</v>
      </c>
      <c r="E1288" s="41">
        <v>-12.172048999999999</v>
      </c>
      <c r="F1288" s="41">
        <v>-76.985197999999997</v>
      </c>
      <c r="G1288" s="41">
        <v>-12.155486</v>
      </c>
      <c r="H1288" s="41">
        <v>-76.983565999999996</v>
      </c>
      <c r="I1288" s="41">
        <v>-12.084611000000001</v>
      </c>
      <c r="J1288" s="41">
        <v>-76.981786999999997</v>
      </c>
    </row>
    <row r="1289" spans="1:10" x14ac:dyDescent="0.25">
      <c r="A1289" s="15" t="s">
        <v>4322</v>
      </c>
      <c r="B1289" s="15" t="s">
        <v>4321</v>
      </c>
      <c r="C1289" s="42">
        <v>40.753</v>
      </c>
      <c r="D1289" s="25">
        <v>4.3749999999999997E-2</v>
      </c>
      <c r="E1289" s="43">
        <v>-12.136844999999999</v>
      </c>
      <c r="F1289" s="43">
        <v>-77.026004</v>
      </c>
      <c r="G1289" s="43">
        <v>-12.074268999999999</v>
      </c>
      <c r="H1289" s="43">
        <v>-77.029892000000004</v>
      </c>
      <c r="I1289" s="43">
        <v>-12.033492000000001</v>
      </c>
      <c r="J1289" s="43">
        <v>-77.053096999999994</v>
      </c>
    </row>
    <row r="1290" spans="1:10" x14ac:dyDescent="0.25">
      <c r="A1290" s="15" t="s">
        <v>4322</v>
      </c>
      <c r="B1290" s="15" t="s">
        <v>4322</v>
      </c>
      <c r="C1290" s="40">
        <v>0</v>
      </c>
      <c r="D1290" s="29">
        <v>0</v>
      </c>
      <c r="E1290" s="41" t="e">
        <f>'1 ubicaciones'!#REF!</f>
        <v>#REF!</v>
      </c>
      <c r="F1290" s="41" t="e">
        <f>'1 ubicaciones'!#REF!</f>
        <v>#REF!</v>
      </c>
      <c r="G1290" s="41" t="e">
        <f>'1 ubicaciones'!#REF!</f>
        <v>#REF!</v>
      </c>
      <c r="H1290" s="41" t="e">
        <f>'1 ubicaciones'!#REF!</f>
        <v>#REF!</v>
      </c>
      <c r="I1290" s="41" t="e">
        <f>'1 ubicaciones'!#REF!</f>
        <v>#REF!</v>
      </c>
      <c r="J1290" s="41" t="e">
        <f>'1 ubicaciones'!#REF!</f>
        <v>#REF!</v>
      </c>
    </row>
    <row r="1291" spans="1:10" x14ac:dyDescent="0.25">
      <c r="A1291" s="15" t="s">
        <v>4322</v>
      </c>
      <c r="B1291" s="15" t="s">
        <v>4323</v>
      </c>
      <c r="C1291" s="42">
        <v>0.51</v>
      </c>
      <c r="D1291" s="25">
        <v>6.9444444444444447E-4</v>
      </c>
      <c r="E1291" s="43">
        <v>-12.184874000000001</v>
      </c>
      <c r="F1291" s="43">
        <v>-77.007368999999997</v>
      </c>
      <c r="G1291" s="43">
        <v>-12.184877</v>
      </c>
      <c r="H1291" s="43">
        <v>-77.007092999999998</v>
      </c>
      <c r="I1291" s="43">
        <v>-12.184054</v>
      </c>
      <c r="J1291" s="43">
        <v>-77.002842000000001</v>
      </c>
    </row>
    <row r="1292" spans="1:10" x14ac:dyDescent="0.25">
      <c r="A1292" s="15" t="s">
        <v>4322</v>
      </c>
      <c r="B1292" s="15" t="s">
        <v>4324</v>
      </c>
      <c r="C1292" s="40">
        <v>16.11</v>
      </c>
      <c r="D1292" s="29">
        <v>2.013888888888889E-2</v>
      </c>
      <c r="E1292" s="41">
        <v>-12.152359000000001</v>
      </c>
      <c r="F1292" s="41">
        <v>-77.024450999999999</v>
      </c>
      <c r="G1292" s="41">
        <v>-12.123023999999999</v>
      </c>
      <c r="H1292" s="41">
        <v>-77.042578000000006</v>
      </c>
      <c r="I1292" s="41">
        <v>-12.102091</v>
      </c>
      <c r="J1292" s="41">
        <v>-77.065646999999998</v>
      </c>
    </row>
    <row r="1293" spans="1:10" x14ac:dyDescent="0.25">
      <c r="A1293" s="15" t="s">
        <v>4322</v>
      </c>
      <c r="B1293" s="15" t="s">
        <v>4325</v>
      </c>
      <c r="C1293" s="42">
        <v>11.164</v>
      </c>
      <c r="D1293" s="25">
        <v>1.8749999999999999E-2</v>
      </c>
      <c r="E1293" s="43">
        <v>-12.174664999999999</v>
      </c>
      <c r="F1293" s="43">
        <v>-76.989489000000006</v>
      </c>
      <c r="G1293" s="43">
        <v>-12.158543</v>
      </c>
      <c r="H1293" s="43">
        <v>-76.973240000000004</v>
      </c>
      <c r="I1293" s="43">
        <v>-12.159639</v>
      </c>
      <c r="J1293" s="43">
        <v>-76.956220999999999</v>
      </c>
    </row>
    <row r="1294" spans="1:10" x14ac:dyDescent="0.25">
      <c r="A1294" s="15" t="s">
        <v>4322</v>
      </c>
      <c r="B1294" s="15" t="s">
        <v>4268</v>
      </c>
      <c r="C1294" s="40">
        <v>22.681999999999999</v>
      </c>
      <c r="D1294" s="29">
        <v>2.0833333333333332E-2</v>
      </c>
      <c r="E1294" s="41">
        <v>-12.167246</v>
      </c>
      <c r="F1294" s="41">
        <v>-76.978491000000005</v>
      </c>
      <c r="G1294" s="41">
        <v>-12.126734000000001</v>
      </c>
      <c r="H1294" s="41">
        <v>-76.976878999999997</v>
      </c>
      <c r="I1294" s="41">
        <v>-12.043281</v>
      </c>
      <c r="J1294" s="41">
        <v>-76.985573000000002</v>
      </c>
    </row>
    <row r="1295" spans="1:10" x14ac:dyDescent="0.25">
      <c r="A1295" s="15" t="s">
        <v>4323</v>
      </c>
      <c r="B1295" s="15" t="s">
        <v>4267</v>
      </c>
      <c r="C1295" s="42">
        <v>19.523</v>
      </c>
      <c r="D1295" s="25">
        <v>2.2916666666666665E-2</v>
      </c>
      <c r="E1295" s="43">
        <v>-12.166273</v>
      </c>
      <c r="F1295" s="43">
        <v>-77.026748999999995</v>
      </c>
      <c r="G1295" s="43">
        <v>-12.136844999999999</v>
      </c>
      <c r="H1295" s="43">
        <v>-77.026004</v>
      </c>
      <c r="I1295" s="43">
        <v>-12.101919000000001</v>
      </c>
      <c r="J1295" s="43">
        <v>-77.027029999999996</v>
      </c>
    </row>
    <row r="1296" spans="1:10" x14ac:dyDescent="0.25">
      <c r="A1296" s="15" t="s">
        <v>4323</v>
      </c>
      <c r="B1296" s="15" t="s">
        <v>4280</v>
      </c>
      <c r="C1296" s="40">
        <v>2.6659999999999999</v>
      </c>
      <c r="D1296" s="29">
        <v>6.2500000000000003E-3</v>
      </c>
      <c r="E1296" s="41">
        <v>-12.186144000000001</v>
      </c>
      <c r="F1296" s="41">
        <v>-77.006882000000004</v>
      </c>
      <c r="G1296" s="41">
        <v>-12.18622</v>
      </c>
      <c r="H1296" s="41">
        <v>-77.007619000000005</v>
      </c>
      <c r="I1296" s="41">
        <v>-12.182812999999999</v>
      </c>
      <c r="J1296" s="41">
        <v>-77.010861000000006</v>
      </c>
    </row>
    <row r="1297" spans="1:10" x14ac:dyDescent="0.25">
      <c r="A1297" s="15" t="s">
        <v>4323</v>
      </c>
      <c r="B1297" s="15" t="s">
        <v>4281</v>
      </c>
      <c r="C1297" s="42">
        <v>19.381</v>
      </c>
      <c r="D1297" s="25">
        <v>2.013888888888889E-2</v>
      </c>
      <c r="E1297" s="43">
        <v>-12.172281999999999</v>
      </c>
      <c r="F1297" s="43">
        <v>-76.981234000000001</v>
      </c>
      <c r="G1297" s="43">
        <v>-12.147648999999999</v>
      </c>
      <c r="H1297" s="43">
        <v>-76.982412999999994</v>
      </c>
      <c r="I1297" s="43">
        <v>-12.082938</v>
      </c>
      <c r="J1297" s="43">
        <v>-76.969421999999994</v>
      </c>
    </row>
    <row r="1298" spans="1:10" x14ac:dyDescent="0.25">
      <c r="A1298" s="15" t="s">
        <v>4323</v>
      </c>
      <c r="B1298" s="15" t="s">
        <v>4296</v>
      </c>
      <c r="C1298" s="40">
        <v>20.245000000000001</v>
      </c>
      <c r="D1298" s="29">
        <v>2.2916666666666665E-2</v>
      </c>
      <c r="E1298" s="41">
        <v>-12.165573999999999</v>
      </c>
      <c r="F1298" s="41">
        <v>-77.025835999999998</v>
      </c>
      <c r="G1298" s="41">
        <v>-12.134161000000001</v>
      </c>
      <c r="H1298" s="41">
        <v>-77.020719</v>
      </c>
      <c r="I1298" s="41">
        <v>-12.074268999999999</v>
      </c>
      <c r="J1298" s="41">
        <v>-77.029892000000004</v>
      </c>
    </row>
    <row r="1299" spans="1:10" x14ac:dyDescent="0.25">
      <c r="A1299" s="15" t="s">
        <v>4323</v>
      </c>
      <c r="B1299" s="15" t="s">
        <v>4297</v>
      </c>
      <c r="C1299" s="42">
        <v>18.094000000000001</v>
      </c>
      <c r="D1299" s="25">
        <v>2.0833333333333332E-2</v>
      </c>
      <c r="E1299" s="43">
        <v>-12.182637</v>
      </c>
      <c r="F1299" s="43">
        <v>-77.011049999999997</v>
      </c>
      <c r="G1299" s="43">
        <v>-12.139509</v>
      </c>
      <c r="H1299" s="43">
        <v>-77.027682999999996</v>
      </c>
      <c r="I1299" s="43">
        <v>-12.108029</v>
      </c>
      <c r="J1299" s="43">
        <v>-77.026381000000001</v>
      </c>
    </row>
    <row r="1300" spans="1:10" x14ac:dyDescent="0.25">
      <c r="A1300" s="15" t="s">
        <v>4323</v>
      </c>
      <c r="B1300" s="15" t="s">
        <v>4298</v>
      </c>
      <c r="C1300" s="40">
        <v>11.914999999999999</v>
      </c>
      <c r="D1300" s="29">
        <v>1.5277777777777777E-2</v>
      </c>
      <c r="E1300" s="41">
        <v>-12.184716999999999</v>
      </c>
      <c r="F1300" s="41">
        <v>-77.007300999999998</v>
      </c>
      <c r="G1300" s="41">
        <v>-12.152939</v>
      </c>
      <c r="H1300" s="41">
        <v>-77.024417</v>
      </c>
      <c r="I1300" s="41">
        <v>-12.134104000000001</v>
      </c>
      <c r="J1300" s="41">
        <v>-77.019389000000004</v>
      </c>
    </row>
    <row r="1301" spans="1:10" x14ac:dyDescent="0.25">
      <c r="A1301" s="15" t="s">
        <v>4323</v>
      </c>
      <c r="B1301" s="15" t="s">
        <v>4299</v>
      </c>
      <c r="C1301" s="42">
        <v>12.276999999999999</v>
      </c>
      <c r="D1301" s="25">
        <v>1.7361111111111112E-2</v>
      </c>
      <c r="E1301" s="43">
        <v>-12.184006</v>
      </c>
      <c r="F1301" s="43">
        <v>-77.007779999999997</v>
      </c>
      <c r="G1301" s="43">
        <v>-12.149186</v>
      </c>
      <c r="H1301" s="43">
        <v>-77.024341000000007</v>
      </c>
      <c r="I1301" s="43">
        <v>-12.134264</v>
      </c>
      <c r="J1301" s="43">
        <v>-77.020025000000004</v>
      </c>
    </row>
    <row r="1302" spans="1:10" x14ac:dyDescent="0.25">
      <c r="A1302" s="15" t="s">
        <v>4323</v>
      </c>
      <c r="B1302" s="15" t="s">
        <v>4300</v>
      </c>
      <c r="C1302" s="40">
        <v>13.454000000000001</v>
      </c>
      <c r="D1302" s="29">
        <v>1.5277777777777777E-2</v>
      </c>
      <c r="E1302" s="41">
        <v>-12.174664999999999</v>
      </c>
      <c r="F1302" s="41">
        <v>-76.989489000000006</v>
      </c>
      <c r="G1302" s="41">
        <v>-12.167597000000001</v>
      </c>
      <c r="H1302" s="41">
        <v>-76.978815999999995</v>
      </c>
      <c r="I1302" s="41">
        <v>-12.128707</v>
      </c>
      <c r="J1302" s="41">
        <v>-76.977196000000006</v>
      </c>
    </row>
    <row r="1303" spans="1:10" x14ac:dyDescent="0.25">
      <c r="A1303" s="15" t="s">
        <v>4323</v>
      </c>
      <c r="B1303" s="15" t="s">
        <v>4301</v>
      </c>
      <c r="C1303" s="42">
        <v>41.899000000000001</v>
      </c>
      <c r="D1303" s="25">
        <v>3.4027777777777775E-2</v>
      </c>
      <c r="E1303" s="43">
        <v>-12.167597000000001</v>
      </c>
      <c r="F1303" s="43">
        <v>-76.978815999999995</v>
      </c>
      <c r="G1303" s="43">
        <v>-12.073001</v>
      </c>
      <c r="H1303" s="43">
        <v>-76.973752000000005</v>
      </c>
      <c r="I1303" s="43">
        <v>-12.042923999999999</v>
      </c>
      <c r="J1303" s="43">
        <v>-77.022464999999997</v>
      </c>
    </row>
    <row r="1304" spans="1:10" x14ac:dyDescent="0.25">
      <c r="A1304" s="15" t="s">
        <v>4323</v>
      </c>
      <c r="B1304" s="15" t="s">
        <v>4302</v>
      </c>
      <c r="C1304" s="40">
        <v>17.850999999999999</v>
      </c>
      <c r="D1304" s="29">
        <v>1.7361111111111112E-2</v>
      </c>
      <c r="E1304" s="41">
        <v>-12.172530999999999</v>
      </c>
      <c r="F1304" s="41">
        <v>-76.982483000000002</v>
      </c>
      <c r="G1304" s="41">
        <v>-12.151781</v>
      </c>
      <c r="H1304" s="41">
        <v>-76.983632999999998</v>
      </c>
      <c r="I1304" s="41">
        <v>-12.084135</v>
      </c>
      <c r="J1304" s="41">
        <v>-76.980840999999998</v>
      </c>
    </row>
    <row r="1305" spans="1:10" x14ac:dyDescent="0.25">
      <c r="A1305" s="15" t="s">
        <v>4323</v>
      </c>
      <c r="B1305" s="15" t="s">
        <v>4303</v>
      </c>
      <c r="C1305" s="42">
        <v>17.832999999999998</v>
      </c>
      <c r="D1305" s="25">
        <v>2.013888888888889E-2</v>
      </c>
      <c r="E1305" s="43">
        <v>-12.182637</v>
      </c>
      <c r="F1305" s="43">
        <v>-77.011049999999997</v>
      </c>
      <c r="G1305" s="43">
        <v>-12.139509</v>
      </c>
      <c r="H1305" s="43">
        <v>-77.027682999999996</v>
      </c>
      <c r="I1305" s="43">
        <v>-12.108029</v>
      </c>
      <c r="J1305" s="43">
        <v>-77.026381000000001</v>
      </c>
    </row>
    <row r="1306" spans="1:10" x14ac:dyDescent="0.25">
      <c r="A1306" s="15" t="s">
        <v>4323</v>
      </c>
      <c r="B1306" s="15" t="s">
        <v>4304</v>
      </c>
      <c r="C1306" s="40">
        <v>17.565999999999999</v>
      </c>
      <c r="D1306" s="29">
        <v>1.9444444444444445E-2</v>
      </c>
      <c r="E1306" s="41">
        <v>-12.182637</v>
      </c>
      <c r="F1306" s="41">
        <v>-77.011049999999997</v>
      </c>
      <c r="G1306" s="41">
        <v>-12.139509</v>
      </c>
      <c r="H1306" s="41">
        <v>-77.027682999999996</v>
      </c>
      <c r="I1306" s="41">
        <v>-12.108029</v>
      </c>
      <c r="J1306" s="41">
        <v>-77.026381000000001</v>
      </c>
    </row>
    <row r="1307" spans="1:10" x14ac:dyDescent="0.25">
      <c r="A1307" s="15" t="s">
        <v>4323</v>
      </c>
      <c r="B1307" s="15" t="s">
        <v>4269</v>
      </c>
      <c r="C1307" s="42">
        <v>17.189</v>
      </c>
      <c r="D1307" s="25">
        <v>1.8749999999999999E-2</v>
      </c>
      <c r="E1307" s="43">
        <v>-12.165844</v>
      </c>
      <c r="F1307" s="43">
        <v>-77.026089999999996</v>
      </c>
      <c r="G1307" s="43">
        <v>-12.130725999999999</v>
      </c>
      <c r="H1307" s="43">
        <v>-77.034313999999995</v>
      </c>
      <c r="I1307" s="43">
        <v>-12.105864</v>
      </c>
      <c r="J1307" s="43">
        <v>-77.061139999999995</v>
      </c>
    </row>
    <row r="1308" spans="1:10" x14ac:dyDescent="0.25">
      <c r="A1308" s="15" t="s">
        <v>4323</v>
      </c>
      <c r="B1308" s="15" t="s">
        <v>4305</v>
      </c>
      <c r="C1308" s="40">
        <v>19.236000000000001</v>
      </c>
      <c r="D1308" s="29">
        <v>2.2222222222222223E-2</v>
      </c>
      <c r="E1308" s="41">
        <v>-12.163252999999999</v>
      </c>
      <c r="F1308" s="41">
        <v>-77.024953999999994</v>
      </c>
      <c r="G1308" s="41">
        <v>-12.134652000000001</v>
      </c>
      <c r="H1308" s="41">
        <v>-77.019057000000004</v>
      </c>
      <c r="I1308" s="41">
        <v>-12.060172</v>
      </c>
      <c r="J1308" s="41">
        <v>-77.035402000000005</v>
      </c>
    </row>
    <row r="1309" spans="1:10" x14ac:dyDescent="0.25">
      <c r="A1309" s="15" t="s">
        <v>4323</v>
      </c>
      <c r="B1309" s="15" t="s">
        <v>4306</v>
      </c>
      <c r="C1309" s="42">
        <v>9.3930000000000007</v>
      </c>
      <c r="D1309" s="25">
        <v>1.1805555555555555E-2</v>
      </c>
      <c r="E1309" s="43">
        <v>-12.174851</v>
      </c>
      <c r="F1309" s="43">
        <v>-76.989885000000001</v>
      </c>
      <c r="G1309" s="43">
        <v>-12.166589999999999</v>
      </c>
      <c r="H1309" s="43">
        <v>-76.978154000000004</v>
      </c>
      <c r="I1309" s="43">
        <v>-12.146062000000001</v>
      </c>
      <c r="J1309" s="43">
        <v>-76.981992000000005</v>
      </c>
    </row>
    <row r="1310" spans="1:10" x14ac:dyDescent="0.25">
      <c r="A1310" s="15" t="s">
        <v>4323</v>
      </c>
      <c r="B1310" s="15" t="s">
        <v>4277</v>
      </c>
      <c r="C1310" s="40">
        <v>16.167000000000002</v>
      </c>
      <c r="D1310" s="29">
        <v>1.8749999999999999E-2</v>
      </c>
      <c r="E1310" s="41">
        <v>-12.183977000000001</v>
      </c>
      <c r="F1310" s="41">
        <v>-77.008106999999995</v>
      </c>
      <c r="G1310" s="41">
        <v>-12.142683</v>
      </c>
      <c r="H1310" s="41">
        <v>-77.026039999999995</v>
      </c>
      <c r="I1310" s="41">
        <v>-12.121236</v>
      </c>
      <c r="J1310" s="41">
        <v>-77.025045000000006</v>
      </c>
    </row>
    <row r="1311" spans="1:10" x14ac:dyDescent="0.25">
      <c r="A1311" s="15" t="s">
        <v>4323</v>
      </c>
      <c r="B1311" s="15" t="s">
        <v>4307</v>
      </c>
      <c r="C1311" s="42">
        <v>21.762</v>
      </c>
      <c r="D1311" s="25">
        <v>2.1527777777777778E-2</v>
      </c>
      <c r="E1311" s="43">
        <v>-12.172281999999999</v>
      </c>
      <c r="F1311" s="43">
        <v>-76.981234000000001</v>
      </c>
      <c r="G1311" s="43">
        <v>-12.147648999999999</v>
      </c>
      <c r="H1311" s="43">
        <v>-76.982412999999994</v>
      </c>
      <c r="I1311" s="43">
        <v>-12.067361999999999</v>
      </c>
      <c r="J1311" s="43">
        <v>-76.971562000000006</v>
      </c>
    </row>
    <row r="1312" spans="1:10" x14ac:dyDescent="0.25">
      <c r="A1312" s="15" t="s">
        <v>4323</v>
      </c>
      <c r="B1312" s="15" t="s">
        <v>4308</v>
      </c>
      <c r="C1312" s="40">
        <v>18.192</v>
      </c>
      <c r="D1312" s="29">
        <v>2.1527777777777778E-2</v>
      </c>
      <c r="E1312" s="41">
        <v>-12.166207999999999</v>
      </c>
      <c r="F1312" s="41">
        <v>-77.026644000000005</v>
      </c>
      <c r="G1312" s="41">
        <v>-12.131964</v>
      </c>
      <c r="H1312" s="41">
        <v>-77.031893999999994</v>
      </c>
      <c r="I1312" s="41">
        <v>-12.106885</v>
      </c>
      <c r="J1312" s="41">
        <v>-77.060447999999994</v>
      </c>
    </row>
    <row r="1313" spans="1:10" x14ac:dyDescent="0.25">
      <c r="A1313" s="15" t="s">
        <v>4323</v>
      </c>
      <c r="B1313" s="15" t="s">
        <v>4309</v>
      </c>
      <c r="C1313" s="42">
        <v>16.119</v>
      </c>
      <c r="D1313" s="25">
        <v>1.7361111111111112E-2</v>
      </c>
      <c r="E1313" s="43">
        <v>-12.183977000000001</v>
      </c>
      <c r="F1313" s="43">
        <v>-77.008106999999995</v>
      </c>
      <c r="G1313" s="43">
        <v>-12.142683</v>
      </c>
      <c r="H1313" s="43">
        <v>-77.026039999999995</v>
      </c>
      <c r="I1313" s="43">
        <v>-12.121236</v>
      </c>
      <c r="J1313" s="43">
        <v>-77.025045000000006</v>
      </c>
    </row>
    <row r="1314" spans="1:10" x14ac:dyDescent="0.25">
      <c r="A1314" s="15" t="s">
        <v>4323</v>
      </c>
      <c r="B1314" s="15" t="s">
        <v>4278</v>
      </c>
      <c r="C1314" s="40">
        <v>33.448</v>
      </c>
      <c r="D1314" s="29">
        <v>2.8472222222222222E-2</v>
      </c>
      <c r="E1314" s="41">
        <v>-12.167666000000001</v>
      </c>
      <c r="F1314" s="41">
        <v>-76.978908000000004</v>
      </c>
      <c r="G1314" s="41">
        <v>-12.067361999999999</v>
      </c>
      <c r="H1314" s="41">
        <v>-76.971562000000006</v>
      </c>
      <c r="I1314" s="41">
        <v>-12.042907</v>
      </c>
      <c r="J1314" s="41">
        <v>-77.029464000000004</v>
      </c>
    </row>
    <row r="1315" spans="1:10" x14ac:dyDescent="0.25">
      <c r="A1315" s="15" t="s">
        <v>4323</v>
      </c>
      <c r="B1315" s="15" t="s">
        <v>4310</v>
      </c>
      <c r="C1315" s="42">
        <v>22.727</v>
      </c>
      <c r="D1315" s="25">
        <v>2.1527777777777778E-2</v>
      </c>
      <c r="E1315" s="43">
        <v>-12.167246</v>
      </c>
      <c r="F1315" s="43">
        <v>-76.978491000000005</v>
      </c>
      <c r="G1315" s="43">
        <v>-12.126734000000001</v>
      </c>
      <c r="H1315" s="43">
        <v>-76.976878999999997</v>
      </c>
      <c r="I1315" s="43">
        <v>-12.043281</v>
      </c>
      <c r="J1315" s="43">
        <v>-76.985573000000002</v>
      </c>
    </row>
    <row r="1316" spans="1:10" x14ac:dyDescent="0.25">
      <c r="A1316" s="15" t="s">
        <v>4323</v>
      </c>
      <c r="B1316" s="15" t="s">
        <v>4311</v>
      </c>
      <c r="C1316" s="40">
        <v>18.013999999999999</v>
      </c>
      <c r="D1316" s="29">
        <v>2.0833333333333332E-2</v>
      </c>
      <c r="E1316" s="41">
        <v>-12.165844</v>
      </c>
      <c r="F1316" s="41">
        <v>-77.026089999999996</v>
      </c>
      <c r="G1316" s="41">
        <v>-12.134361999999999</v>
      </c>
      <c r="H1316" s="41">
        <v>-77.021394000000001</v>
      </c>
      <c r="I1316" s="41">
        <v>-12.088846</v>
      </c>
      <c r="J1316" s="41">
        <v>-77.023703999999995</v>
      </c>
    </row>
    <row r="1317" spans="1:10" x14ac:dyDescent="0.25">
      <c r="A1317" s="15" t="s">
        <v>4323</v>
      </c>
      <c r="B1317" s="15" t="s">
        <v>4312</v>
      </c>
      <c r="C1317" s="42">
        <v>17.826000000000001</v>
      </c>
      <c r="D1317" s="25">
        <v>1.9444444444444445E-2</v>
      </c>
      <c r="E1317" s="43">
        <v>-12.182637</v>
      </c>
      <c r="F1317" s="43">
        <v>-77.011049999999997</v>
      </c>
      <c r="G1317" s="43">
        <v>-12.139509</v>
      </c>
      <c r="H1317" s="43">
        <v>-77.027682999999996</v>
      </c>
      <c r="I1317" s="43">
        <v>-12.108029</v>
      </c>
      <c r="J1317" s="43">
        <v>-77.026381000000001</v>
      </c>
    </row>
    <row r="1318" spans="1:10" x14ac:dyDescent="0.25">
      <c r="A1318" s="15" t="s">
        <v>4323</v>
      </c>
      <c r="B1318" s="15" t="s">
        <v>4313</v>
      </c>
      <c r="C1318" s="40">
        <v>20.356999999999999</v>
      </c>
      <c r="D1318" s="29">
        <v>2.2916666666666665E-2</v>
      </c>
      <c r="E1318" s="41">
        <v>-12.163252999999999</v>
      </c>
      <c r="F1318" s="41">
        <v>-77.024953999999994</v>
      </c>
      <c r="G1318" s="41">
        <v>-12.134652000000001</v>
      </c>
      <c r="H1318" s="41">
        <v>-77.019057000000004</v>
      </c>
      <c r="I1318" s="41">
        <v>-12.060172</v>
      </c>
      <c r="J1318" s="41">
        <v>-77.035402000000005</v>
      </c>
    </row>
    <row r="1319" spans="1:10" x14ac:dyDescent="0.25">
      <c r="A1319" s="15" t="s">
        <v>4323</v>
      </c>
      <c r="B1319" s="15" t="s">
        <v>4314</v>
      </c>
      <c r="C1319" s="42">
        <v>17.849</v>
      </c>
      <c r="D1319" s="25">
        <v>2.1527777777777778E-2</v>
      </c>
      <c r="E1319" s="43">
        <v>-12.163968000000001</v>
      </c>
      <c r="F1319" s="43">
        <v>-77.025150999999994</v>
      </c>
      <c r="G1319" s="43">
        <v>-12.125109</v>
      </c>
      <c r="H1319" s="43">
        <v>-77.039139000000006</v>
      </c>
      <c r="I1319" s="43">
        <v>-12.099793</v>
      </c>
      <c r="J1319" s="43">
        <v>-77.070544999999996</v>
      </c>
    </row>
    <row r="1320" spans="1:10" x14ac:dyDescent="0.25">
      <c r="A1320" s="15" t="s">
        <v>4323</v>
      </c>
      <c r="B1320" s="15" t="s">
        <v>4315</v>
      </c>
      <c r="C1320" s="40">
        <v>11.726000000000001</v>
      </c>
      <c r="D1320" s="29">
        <v>1.2500000000000001E-2</v>
      </c>
      <c r="E1320" s="41">
        <v>-12.174664999999999</v>
      </c>
      <c r="F1320" s="41">
        <v>-76.989489000000006</v>
      </c>
      <c r="G1320" s="41">
        <v>-12.167597000000001</v>
      </c>
      <c r="H1320" s="41">
        <v>-76.978815999999995</v>
      </c>
      <c r="I1320" s="41">
        <v>-12.128707</v>
      </c>
      <c r="J1320" s="41">
        <v>-76.977196000000006</v>
      </c>
    </row>
    <row r="1321" spans="1:10" x14ac:dyDescent="0.25">
      <c r="A1321" s="15" t="s">
        <v>4323</v>
      </c>
      <c r="B1321" s="15" t="s">
        <v>4316</v>
      </c>
      <c r="C1321" s="42">
        <v>14.446999999999999</v>
      </c>
      <c r="D1321" s="25">
        <v>1.7361111111111112E-2</v>
      </c>
      <c r="E1321" s="43">
        <v>-12.183254</v>
      </c>
      <c r="F1321" s="43">
        <v>-77.010159000000002</v>
      </c>
      <c r="G1321" s="43">
        <v>-12.139991</v>
      </c>
      <c r="H1321" s="43">
        <v>-77.027840999999995</v>
      </c>
      <c r="I1321" s="43">
        <v>-12.113371000000001</v>
      </c>
      <c r="J1321" s="43">
        <v>-77.050904000000003</v>
      </c>
    </row>
    <row r="1322" spans="1:10" x14ac:dyDescent="0.25">
      <c r="A1322" s="15" t="s">
        <v>4323</v>
      </c>
      <c r="B1322" s="15" t="s">
        <v>4317</v>
      </c>
      <c r="C1322" s="40">
        <v>7.3109999999999999</v>
      </c>
      <c r="D1322" s="29">
        <v>1.1805555555555555E-2</v>
      </c>
      <c r="E1322" s="41">
        <v>-12.174956</v>
      </c>
      <c r="F1322" s="41">
        <v>-76.992001999999999</v>
      </c>
      <c r="G1322" s="41">
        <v>-12.172281999999999</v>
      </c>
      <c r="H1322" s="41">
        <v>-76.981234000000001</v>
      </c>
      <c r="I1322" s="41">
        <v>-12.158579</v>
      </c>
      <c r="J1322" s="41">
        <v>-76.972892999999999</v>
      </c>
    </row>
    <row r="1323" spans="1:10" x14ac:dyDescent="0.25">
      <c r="A1323" s="15" t="s">
        <v>4323</v>
      </c>
      <c r="B1323" s="15" t="s">
        <v>4318</v>
      </c>
      <c r="C1323" s="42">
        <v>15.339</v>
      </c>
      <c r="D1323" s="25">
        <v>1.7361111111111112E-2</v>
      </c>
      <c r="E1323" s="43">
        <v>-12.183977000000001</v>
      </c>
      <c r="F1323" s="43">
        <v>-77.008106999999995</v>
      </c>
      <c r="G1323" s="43">
        <v>-12.142683</v>
      </c>
      <c r="H1323" s="43">
        <v>-77.026039999999995</v>
      </c>
      <c r="I1323" s="43">
        <v>-12.121236</v>
      </c>
      <c r="J1323" s="43">
        <v>-77.025045000000006</v>
      </c>
    </row>
    <row r="1324" spans="1:10" x14ac:dyDescent="0.25">
      <c r="A1324" s="15" t="s">
        <v>4323</v>
      </c>
      <c r="B1324" s="15" t="s">
        <v>4319</v>
      </c>
      <c r="C1324" s="40">
        <v>15.065</v>
      </c>
      <c r="D1324" s="29">
        <v>1.6666666666666666E-2</v>
      </c>
      <c r="E1324" s="41">
        <v>-12.172048999999999</v>
      </c>
      <c r="F1324" s="41">
        <v>-76.985197999999997</v>
      </c>
      <c r="G1324" s="41">
        <v>-12.155486</v>
      </c>
      <c r="H1324" s="41">
        <v>-76.983565999999996</v>
      </c>
      <c r="I1324" s="41">
        <v>-12.103253</v>
      </c>
      <c r="J1324" s="41">
        <v>-76.983109999999996</v>
      </c>
    </row>
    <row r="1325" spans="1:10" x14ac:dyDescent="0.25">
      <c r="A1325" s="15" t="s">
        <v>4323</v>
      </c>
      <c r="B1325" s="15" t="s">
        <v>4279</v>
      </c>
      <c r="C1325" s="42">
        <v>25.646999999999998</v>
      </c>
      <c r="D1325" s="25">
        <v>2.7083333333333334E-2</v>
      </c>
      <c r="E1325" s="43">
        <v>-12.159219999999999</v>
      </c>
      <c r="F1325" s="43">
        <v>-77.025189999999995</v>
      </c>
      <c r="G1325" s="43">
        <v>-12.114416</v>
      </c>
      <c r="H1325" s="43">
        <v>-77.050334000000007</v>
      </c>
      <c r="I1325" s="43">
        <v>-12.07854</v>
      </c>
      <c r="J1325" s="43">
        <v>-77.113426000000004</v>
      </c>
    </row>
    <row r="1326" spans="1:10" x14ac:dyDescent="0.25">
      <c r="A1326" s="15" t="s">
        <v>4323</v>
      </c>
      <c r="B1326" s="15" t="s">
        <v>4320</v>
      </c>
      <c r="C1326" s="40">
        <v>17.702000000000002</v>
      </c>
      <c r="D1326" s="29">
        <v>1.7361111111111112E-2</v>
      </c>
      <c r="E1326" s="41">
        <v>-12.172048999999999</v>
      </c>
      <c r="F1326" s="41">
        <v>-76.985197999999997</v>
      </c>
      <c r="G1326" s="41">
        <v>-12.155486</v>
      </c>
      <c r="H1326" s="41">
        <v>-76.983565999999996</v>
      </c>
      <c r="I1326" s="41">
        <v>-12.084611000000001</v>
      </c>
      <c r="J1326" s="41">
        <v>-76.981786999999997</v>
      </c>
    </row>
    <row r="1327" spans="1:10" x14ac:dyDescent="0.25">
      <c r="A1327" s="15" t="s">
        <v>4323</v>
      </c>
      <c r="B1327" s="15" t="s">
        <v>4321</v>
      </c>
      <c r="C1327" s="42">
        <v>47.790999999999997</v>
      </c>
      <c r="D1327" s="25">
        <v>4.2361111111111113E-2</v>
      </c>
      <c r="E1327" s="43">
        <v>-12.167287999999999</v>
      </c>
      <c r="F1327" s="43">
        <v>-76.980147000000002</v>
      </c>
      <c r="G1327" s="43">
        <v>-12.050679000000001</v>
      </c>
      <c r="H1327" s="43">
        <v>-76.977222999999995</v>
      </c>
      <c r="I1327" s="43">
        <v>-12.033492000000001</v>
      </c>
      <c r="J1327" s="43">
        <v>-77.053096999999994</v>
      </c>
    </row>
    <row r="1328" spans="1:10" x14ac:dyDescent="0.25">
      <c r="A1328" s="15" t="s">
        <v>4323</v>
      </c>
      <c r="B1328" s="15" t="s">
        <v>4322</v>
      </c>
      <c r="C1328" s="40">
        <v>0.89700000000000002</v>
      </c>
      <c r="D1328" s="29">
        <v>2.7777777777777779E-3</v>
      </c>
      <c r="E1328" s="41">
        <v>-12.185183</v>
      </c>
      <c r="F1328" s="41">
        <v>-77.003687999999997</v>
      </c>
      <c r="G1328" s="41">
        <v>-12.186652</v>
      </c>
      <c r="H1328" s="41">
        <v>-77.006879999999995</v>
      </c>
      <c r="I1328" s="41">
        <v>-12.186446999999999</v>
      </c>
      <c r="J1328" s="41">
        <v>-77.007267999999996</v>
      </c>
    </row>
    <row r="1329" spans="1:10" x14ac:dyDescent="0.25">
      <c r="A1329" s="15" t="s">
        <v>4323</v>
      </c>
      <c r="B1329" s="15" t="s">
        <v>4323</v>
      </c>
      <c r="C1329" s="42">
        <v>0</v>
      </c>
      <c r="D1329" s="25">
        <v>0</v>
      </c>
      <c r="E1329" s="43" t="e">
        <f>'1 ubicaciones'!#REF!</f>
        <v>#REF!</v>
      </c>
      <c r="F1329" s="43" t="e">
        <f>'1 ubicaciones'!#REF!</f>
        <v>#REF!</v>
      </c>
      <c r="G1329" s="43" t="e">
        <f>'1 ubicaciones'!#REF!</f>
        <v>#REF!</v>
      </c>
      <c r="H1329" s="43" t="e">
        <f>'1 ubicaciones'!#REF!</f>
        <v>#REF!</v>
      </c>
      <c r="I1329" s="43" t="e">
        <f>'1 ubicaciones'!#REF!</f>
        <v>#REF!</v>
      </c>
      <c r="J1329" s="43" t="e">
        <f>'1 ubicaciones'!#REF!</f>
        <v>#REF!</v>
      </c>
    </row>
    <row r="1330" spans="1:10" x14ac:dyDescent="0.25">
      <c r="A1330" s="15" t="s">
        <v>4323</v>
      </c>
      <c r="B1330" s="15" t="s">
        <v>4324</v>
      </c>
      <c r="C1330" s="40">
        <v>17.007000000000001</v>
      </c>
      <c r="D1330" s="29">
        <v>2.2916666666666665E-2</v>
      </c>
      <c r="E1330" s="41">
        <v>-12.166207999999999</v>
      </c>
      <c r="F1330" s="41">
        <v>-77.026644000000005</v>
      </c>
      <c r="G1330" s="41">
        <v>-12.131964</v>
      </c>
      <c r="H1330" s="41">
        <v>-77.031893999999994</v>
      </c>
      <c r="I1330" s="41">
        <v>-12.106885</v>
      </c>
      <c r="J1330" s="41">
        <v>-77.060447999999994</v>
      </c>
    </row>
    <row r="1331" spans="1:10" x14ac:dyDescent="0.25">
      <c r="A1331" s="15" t="s">
        <v>4323</v>
      </c>
      <c r="B1331" s="15" t="s">
        <v>4325</v>
      </c>
      <c r="C1331" s="42">
        <v>10.67</v>
      </c>
      <c r="D1331" s="25">
        <v>1.8055555555555554E-2</v>
      </c>
      <c r="E1331" s="43">
        <v>-12.174664999999999</v>
      </c>
      <c r="F1331" s="43">
        <v>-76.989489000000006</v>
      </c>
      <c r="G1331" s="43">
        <v>-12.158543</v>
      </c>
      <c r="H1331" s="43">
        <v>-76.973240000000004</v>
      </c>
      <c r="I1331" s="43">
        <v>-12.159639</v>
      </c>
      <c r="J1331" s="43">
        <v>-76.956220999999999</v>
      </c>
    </row>
    <row r="1332" spans="1:10" x14ac:dyDescent="0.25">
      <c r="A1332" s="15" t="s">
        <v>4323</v>
      </c>
      <c r="B1332" s="15" t="s">
        <v>4268</v>
      </c>
      <c r="C1332" s="40">
        <v>22.187999999999999</v>
      </c>
      <c r="D1332" s="29">
        <v>2.013888888888889E-2</v>
      </c>
      <c r="E1332" s="41">
        <v>-12.167246</v>
      </c>
      <c r="F1332" s="41">
        <v>-76.978491000000005</v>
      </c>
      <c r="G1332" s="41">
        <v>-12.126734000000001</v>
      </c>
      <c r="H1332" s="41">
        <v>-76.976878999999997</v>
      </c>
      <c r="I1332" s="41">
        <v>-12.043281</v>
      </c>
      <c r="J1332" s="41">
        <v>-76.985573000000002</v>
      </c>
    </row>
    <row r="1333" spans="1:10" x14ac:dyDescent="0.25">
      <c r="A1333" s="15" t="s">
        <v>4324</v>
      </c>
      <c r="B1333" s="15" t="s">
        <v>4267</v>
      </c>
      <c r="C1333" s="42">
        <v>6.3029999999999999</v>
      </c>
      <c r="D1333" s="25">
        <v>1.4583333333333334E-2</v>
      </c>
      <c r="E1333" s="43">
        <v>-12.068192</v>
      </c>
      <c r="F1333" s="43">
        <v>-77.061035000000004</v>
      </c>
      <c r="G1333" s="43">
        <v>-12.057426</v>
      </c>
      <c r="H1333" s="43">
        <v>-77.057997</v>
      </c>
      <c r="I1333" s="43">
        <v>-12.046628999999999</v>
      </c>
      <c r="J1333" s="43">
        <v>-77.043097000000003</v>
      </c>
    </row>
    <row r="1334" spans="1:10" x14ac:dyDescent="0.25">
      <c r="A1334" s="15" t="s">
        <v>4324</v>
      </c>
      <c r="B1334" s="15" t="s">
        <v>4280</v>
      </c>
      <c r="C1334" s="40">
        <v>15.048</v>
      </c>
      <c r="D1334" s="29">
        <v>1.8055555555555554E-2</v>
      </c>
      <c r="E1334" s="41">
        <v>-12.104236</v>
      </c>
      <c r="F1334" s="41">
        <v>-77.063581999999997</v>
      </c>
      <c r="G1334" s="41">
        <v>-12.130181</v>
      </c>
      <c r="H1334" s="41">
        <v>-77.035334000000006</v>
      </c>
      <c r="I1334" s="41">
        <v>-12.161906</v>
      </c>
      <c r="J1334" s="41">
        <v>-77.025818000000001</v>
      </c>
    </row>
    <row r="1335" spans="1:10" x14ac:dyDescent="0.25">
      <c r="A1335" s="15" t="s">
        <v>4324</v>
      </c>
      <c r="B1335" s="15" t="s">
        <v>4281</v>
      </c>
      <c r="C1335" s="42">
        <v>16.489999999999998</v>
      </c>
      <c r="D1335" s="25">
        <v>2.1527777777777778E-2</v>
      </c>
      <c r="E1335" s="43">
        <v>-12.08555</v>
      </c>
      <c r="F1335" s="43">
        <v>-77.064318</v>
      </c>
      <c r="G1335" s="43">
        <v>-12.086</v>
      </c>
      <c r="H1335" s="43">
        <v>-76.987904999999998</v>
      </c>
      <c r="I1335" s="43">
        <v>-12.074628000000001</v>
      </c>
      <c r="J1335" s="43">
        <v>-76.96266</v>
      </c>
    </row>
    <row r="1336" spans="1:10" x14ac:dyDescent="0.25">
      <c r="A1336" s="15" t="s">
        <v>4324</v>
      </c>
      <c r="B1336" s="15" t="s">
        <v>4296</v>
      </c>
      <c r="C1336" s="40">
        <v>2.3969999999999998</v>
      </c>
      <c r="D1336" s="29">
        <v>6.2500000000000003E-3</v>
      </c>
      <c r="E1336" s="41">
        <v>-12.078703000000001</v>
      </c>
      <c r="F1336" s="41">
        <v>-77.065389999999994</v>
      </c>
      <c r="G1336" s="41">
        <v>-12.081021</v>
      </c>
      <c r="H1336" s="41">
        <v>-77.059521000000004</v>
      </c>
      <c r="I1336" s="41">
        <v>-12.080498</v>
      </c>
      <c r="J1336" s="41">
        <v>-77.058532999999997</v>
      </c>
    </row>
    <row r="1337" spans="1:10" x14ac:dyDescent="0.25">
      <c r="A1337" s="15" t="s">
        <v>4324</v>
      </c>
      <c r="B1337" s="15" t="s">
        <v>4297</v>
      </c>
      <c r="C1337" s="42">
        <v>7.7450000000000001</v>
      </c>
      <c r="D1337" s="25">
        <v>1.5972222222222221E-2</v>
      </c>
      <c r="E1337" s="43">
        <v>-12.080552000000001</v>
      </c>
      <c r="F1337" s="43">
        <v>-77.058465999999996</v>
      </c>
      <c r="G1337" s="43">
        <v>-12.082853</v>
      </c>
      <c r="H1337" s="43">
        <v>-77.045760999999999</v>
      </c>
      <c r="I1337" s="43">
        <v>-12.079095000000001</v>
      </c>
      <c r="J1337" s="43">
        <v>-77.031132999999997</v>
      </c>
    </row>
    <row r="1338" spans="1:10" x14ac:dyDescent="0.25">
      <c r="A1338" s="15" t="s">
        <v>4324</v>
      </c>
      <c r="B1338" s="15" t="s">
        <v>4298</v>
      </c>
      <c r="C1338" s="40">
        <v>8.5969999999999995</v>
      </c>
      <c r="D1338" s="29">
        <v>1.5972222222222221E-2</v>
      </c>
      <c r="E1338" s="41">
        <v>-12.083784</v>
      </c>
      <c r="F1338" s="41">
        <v>-77.065545</v>
      </c>
      <c r="G1338" s="41">
        <v>-12.092366999999999</v>
      </c>
      <c r="H1338" s="41">
        <v>-77.033585000000002</v>
      </c>
      <c r="I1338" s="41">
        <v>-12.094726</v>
      </c>
      <c r="J1338" s="41">
        <v>-77.023883999999995</v>
      </c>
    </row>
    <row r="1339" spans="1:10" x14ac:dyDescent="0.25">
      <c r="A1339" s="15" t="s">
        <v>4324</v>
      </c>
      <c r="B1339" s="15" t="s">
        <v>4299</v>
      </c>
      <c r="C1339" s="42">
        <v>6.9669999999999996</v>
      </c>
      <c r="D1339" s="25">
        <v>1.3194444444444444E-2</v>
      </c>
      <c r="E1339" s="43">
        <v>-12.083784</v>
      </c>
      <c r="F1339" s="43">
        <v>-77.065545</v>
      </c>
      <c r="G1339" s="43">
        <v>-12.094455999999999</v>
      </c>
      <c r="H1339" s="43">
        <v>-77.048423</v>
      </c>
      <c r="I1339" s="43">
        <v>-12.105662000000001</v>
      </c>
      <c r="J1339" s="43">
        <v>-77.039094000000006</v>
      </c>
    </row>
    <row r="1340" spans="1:10" x14ac:dyDescent="0.25">
      <c r="A1340" s="15" t="s">
        <v>4324</v>
      </c>
      <c r="B1340" s="15" t="s">
        <v>4300</v>
      </c>
      <c r="C1340" s="40">
        <v>13.358000000000001</v>
      </c>
      <c r="D1340" s="29">
        <v>1.7361111111111112E-2</v>
      </c>
      <c r="E1340" s="41">
        <v>-12.084447000000001</v>
      </c>
      <c r="F1340" s="41">
        <v>-77.064701999999997</v>
      </c>
      <c r="G1340" s="41">
        <v>-12.086795</v>
      </c>
      <c r="H1340" s="41">
        <v>-76.997088000000005</v>
      </c>
      <c r="I1340" s="41">
        <v>-12.094454000000001</v>
      </c>
      <c r="J1340" s="41">
        <v>-76.980540000000005</v>
      </c>
    </row>
    <row r="1341" spans="1:10" x14ac:dyDescent="0.25">
      <c r="A1341" s="15" t="s">
        <v>4324</v>
      </c>
      <c r="B1341" s="15" t="s">
        <v>4301</v>
      </c>
      <c r="C1341" s="42">
        <v>21.443999999999999</v>
      </c>
      <c r="D1341" s="25">
        <v>2.5694444444444443E-2</v>
      </c>
      <c r="E1341" s="43">
        <v>-12.057426</v>
      </c>
      <c r="F1341" s="43">
        <v>-77.057997</v>
      </c>
      <c r="G1341" s="43">
        <v>-12.04402</v>
      </c>
      <c r="H1341" s="43">
        <v>-77.042910000000006</v>
      </c>
      <c r="I1341" s="43">
        <v>-12.033492000000001</v>
      </c>
      <c r="J1341" s="43">
        <v>-77.053096999999994</v>
      </c>
    </row>
    <row r="1342" spans="1:10" x14ac:dyDescent="0.25">
      <c r="A1342" s="15" t="s">
        <v>4324</v>
      </c>
      <c r="B1342" s="15" t="s">
        <v>4302</v>
      </c>
      <c r="C1342" s="40">
        <v>9.4019999999999992</v>
      </c>
      <c r="D1342" s="29">
        <v>1.5972222222222221E-2</v>
      </c>
      <c r="E1342" s="41">
        <v>-12.083306</v>
      </c>
      <c r="F1342" s="41">
        <v>-77.066322</v>
      </c>
      <c r="G1342" s="41">
        <v>-12.08555</v>
      </c>
      <c r="H1342" s="41">
        <v>-77.064318</v>
      </c>
      <c r="I1342" s="41">
        <v>-12.092343</v>
      </c>
      <c r="J1342" s="41">
        <v>-77.033406999999997</v>
      </c>
    </row>
    <row r="1343" spans="1:10" x14ac:dyDescent="0.25">
      <c r="A1343" s="15" t="s">
        <v>4324</v>
      </c>
      <c r="B1343" s="15" t="s">
        <v>4303</v>
      </c>
      <c r="C1343" s="42">
        <v>7.484</v>
      </c>
      <c r="D1343" s="25">
        <v>1.5972222222222221E-2</v>
      </c>
      <c r="E1343" s="43">
        <v>-12.080552000000001</v>
      </c>
      <c r="F1343" s="43">
        <v>-77.058465999999996</v>
      </c>
      <c r="G1343" s="43">
        <v>-12.082853</v>
      </c>
      <c r="H1343" s="43">
        <v>-77.045760999999999</v>
      </c>
      <c r="I1343" s="43">
        <v>-12.079095000000001</v>
      </c>
      <c r="J1343" s="43">
        <v>-77.031132999999997</v>
      </c>
    </row>
    <row r="1344" spans="1:10" x14ac:dyDescent="0.25">
      <c r="A1344" s="15" t="s">
        <v>4324</v>
      </c>
      <c r="B1344" s="15" t="s">
        <v>4304</v>
      </c>
      <c r="C1344" s="40">
        <v>7.2169999999999996</v>
      </c>
      <c r="D1344" s="29">
        <v>1.5277777777777777E-2</v>
      </c>
      <c r="E1344" s="41">
        <v>-12.080498</v>
      </c>
      <c r="F1344" s="41">
        <v>-77.058532999999997</v>
      </c>
      <c r="G1344" s="41">
        <v>-12.082716</v>
      </c>
      <c r="H1344" s="41">
        <v>-77.045813999999993</v>
      </c>
      <c r="I1344" s="41">
        <v>-12.081166</v>
      </c>
      <c r="J1344" s="41">
        <v>-77.033805999999998</v>
      </c>
    </row>
    <row r="1345" spans="1:10" x14ac:dyDescent="0.25">
      <c r="A1345" s="15" t="s">
        <v>4324</v>
      </c>
      <c r="B1345" s="15" t="s">
        <v>4269</v>
      </c>
      <c r="C1345" s="42">
        <v>2.9350000000000001</v>
      </c>
      <c r="D1345" s="25">
        <v>6.9444444444444441E-3</v>
      </c>
      <c r="E1345" s="43">
        <v>-12.078847</v>
      </c>
      <c r="F1345" s="43">
        <v>-77.065467999999996</v>
      </c>
      <c r="G1345" s="43">
        <v>-12.082995</v>
      </c>
      <c r="H1345" s="43">
        <v>-77.067224999999993</v>
      </c>
      <c r="I1345" s="43">
        <v>-12.079928000000001</v>
      </c>
      <c r="J1345" s="43">
        <v>-77.075742000000005</v>
      </c>
    </row>
    <row r="1346" spans="1:10" x14ac:dyDescent="0.25">
      <c r="A1346" s="15" t="s">
        <v>4324</v>
      </c>
      <c r="B1346" s="15" t="s">
        <v>4305</v>
      </c>
      <c r="C1346" s="40">
        <v>3.8029999999999999</v>
      </c>
      <c r="D1346" s="29">
        <v>8.3333333333333332E-3</v>
      </c>
      <c r="E1346" s="41">
        <v>-12.068192</v>
      </c>
      <c r="F1346" s="41">
        <v>-77.061035000000004</v>
      </c>
      <c r="G1346" s="41">
        <v>-12.065403999999999</v>
      </c>
      <c r="H1346" s="41">
        <v>-77.053591999999995</v>
      </c>
      <c r="I1346" s="41">
        <v>-12.061502000000001</v>
      </c>
      <c r="J1346" s="41">
        <v>-77.047954000000004</v>
      </c>
    </row>
    <row r="1347" spans="1:10" x14ac:dyDescent="0.25">
      <c r="A1347" s="15" t="s">
        <v>4324</v>
      </c>
      <c r="B1347" s="15" t="s">
        <v>4306</v>
      </c>
      <c r="C1347" s="42">
        <v>16.015999999999998</v>
      </c>
      <c r="D1347" s="25">
        <v>1.8749999999999999E-2</v>
      </c>
      <c r="E1347" s="43">
        <v>-12.084199999999999</v>
      </c>
      <c r="F1347" s="43">
        <v>-77.064874000000003</v>
      </c>
      <c r="G1347" s="43">
        <v>-12.087486999999999</v>
      </c>
      <c r="H1347" s="43">
        <v>-76.998773999999997</v>
      </c>
      <c r="I1347" s="43">
        <v>-12.088449000000001</v>
      </c>
      <c r="J1347" s="43">
        <v>-76.981604000000004</v>
      </c>
    </row>
    <row r="1348" spans="1:10" x14ac:dyDescent="0.25">
      <c r="A1348" s="15" t="s">
        <v>4324</v>
      </c>
      <c r="B1348" s="15" t="s">
        <v>4277</v>
      </c>
      <c r="C1348" s="40">
        <v>4.0049999999999999</v>
      </c>
      <c r="D1348" s="29">
        <v>8.3333333333333332E-3</v>
      </c>
      <c r="E1348" s="41">
        <v>-12.082599</v>
      </c>
      <c r="F1348" s="41">
        <v>-77.066063999999997</v>
      </c>
      <c r="G1348" s="41">
        <v>-12.084447000000001</v>
      </c>
      <c r="H1348" s="41">
        <v>-77.064701999999997</v>
      </c>
      <c r="I1348" s="41">
        <v>-12.094590999999999</v>
      </c>
      <c r="J1348" s="41">
        <v>-77.051033000000004</v>
      </c>
    </row>
    <row r="1349" spans="1:10" x14ac:dyDescent="0.25">
      <c r="A1349" s="15" t="s">
        <v>4324</v>
      </c>
      <c r="B1349" s="15" t="s">
        <v>4307</v>
      </c>
      <c r="C1349" s="42">
        <v>19.018999999999998</v>
      </c>
      <c r="D1349" s="25">
        <v>2.2916666666666665E-2</v>
      </c>
      <c r="E1349" s="43">
        <v>-12.09488</v>
      </c>
      <c r="F1349" s="43">
        <v>-77.052615000000003</v>
      </c>
      <c r="G1349" s="43">
        <v>-12.085900000000001</v>
      </c>
      <c r="H1349" s="43">
        <v>-76.981693000000007</v>
      </c>
      <c r="I1349" s="43">
        <v>-12.055498</v>
      </c>
      <c r="J1349" s="43">
        <v>-76.974523000000005</v>
      </c>
    </row>
    <row r="1350" spans="1:10" x14ac:dyDescent="0.25">
      <c r="A1350" s="15" t="s">
        <v>4324</v>
      </c>
      <c r="B1350" s="15" t="s">
        <v>4308</v>
      </c>
      <c r="C1350" s="40">
        <v>3.6930000000000001</v>
      </c>
      <c r="D1350" s="29">
        <v>6.9444444444444441E-3</v>
      </c>
      <c r="E1350" s="41">
        <v>-12.082888000000001</v>
      </c>
      <c r="F1350" s="41">
        <v>-77.067182000000003</v>
      </c>
      <c r="G1350" s="41">
        <v>-12.078503</v>
      </c>
      <c r="H1350" s="41">
        <v>-77.079609000000005</v>
      </c>
      <c r="I1350" s="41">
        <v>-12.07793</v>
      </c>
      <c r="J1350" s="41">
        <v>-77.090357999999995</v>
      </c>
    </row>
    <row r="1351" spans="1:10" x14ac:dyDescent="0.25">
      <c r="A1351" s="15" t="s">
        <v>4324</v>
      </c>
      <c r="B1351" s="15" t="s">
        <v>4309</v>
      </c>
      <c r="C1351" s="42">
        <v>5.77</v>
      </c>
      <c r="D1351" s="25">
        <v>1.2500000000000001E-2</v>
      </c>
      <c r="E1351" s="43">
        <v>-12.080469000000001</v>
      </c>
      <c r="F1351" s="43">
        <v>-77.058570000000003</v>
      </c>
      <c r="G1351" s="43">
        <v>-12.082034</v>
      </c>
      <c r="H1351" s="43">
        <v>-77.047319000000002</v>
      </c>
      <c r="I1351" s="43">
        <v>-12.081521</v>
      </c>
      <c r="J1351" s="43">
        <v>-77.036063999999996</v>
      </c>
    </row>
    <row r="1352" spans="1:10" x14ac:dyDescent="0.25">
      <c r="A1352" s="15" t="s">
        <v>4324</v>
      </c>
      <c r="B1352" s="15" t="s">
        <v>4278</v>
      </c>
      <c r="C1352" s="40">
        <v>12.993</v>
      </c>
      <c r="D1352" s="29">
        <v>1.9444444444444445E-2</v>
      </c>
      <c r="E1352" s="41">
        <v>-12.055592000000001</v>
      </c>
      <c r="F1352" s="41">
        <v>-77.057547</v>
      </c>
      <c r="G1352" s="41">
        <v>-12.038353000000001</v>
      </c>
      <c r="H1352" s="41">
        <v>-77.043417000000005</v>
      </c>
      <c r="I1352" s="41">
        <v>-12.031428999999999</v>
      </c>
      <c r="J1352" s="41">
        <v>-77.055999</v>
      </c>
    </row>
    <row r="1353" spans="1:10" x14ac:dyDescent="0.25">
      <c r="A1353" s="15" t="s">
        <v>4324</v>
      </c>
      <c r="B1353" s="15" t="s">
        <v>4310</v>
      </c>
      <c r="C1353" s="42">
        <v>12.506</v>
      </c>
      <c r="D1353" s="25">
        <v>1.9444444444444445E-2</v>
      </c>
      <c r="E1353" s="43">
        <v>-12.051365000000001</v>
      </c>
      <c r="F1353" s="43">
        <v>-77.054732999999999</v>
      </c>
      <c r="G1353" s="43">
        <v>-12.040813999999999</v>
      </c>
      <c r="H1353" s="43">
        <v>-77.043109000000001</v>
      </c>
      <c r="I1353" s="43">
        <v>-12.040430000000001</v>
      </c>
      <c r="J1353" s="43">
        <v>-77.014131000000006</v>
      </c>
    </row>
    <row r="1354" spans="1:10" x14ac:dyDescent="0.25">
      <c r="A1354" s="15" t="s">
        <v>4324</v>
      </c>
      <c r="B1354" s="15" t="s">
        <v>4311</v>
      </c>
      <c r="C1354" s="40">
        <v>4.5410000000000004</v>
      </c>
      <c r="D1354" s="29">
        <v>1.0416666666666666E-2</v>
      </c>
      <c r="E1354" s="41">
        <v>-12.080498</v>
      </c>
      <c r="F1354" s="41">
        <v>-77.058532999999997</v>
      </c>
      <c r="G1354" s="41">
        <v>-12.082350999999999</v>
      </c>
      <c r="H1354" s="41">
        <v>-77.046125000000004</v>
      </c>
      <c r="I1354" s="41">
        <v>-12.075049999999999</v>
      </c>
      <c r="J1354" s="41">
        <v>-77.041977000000003</v>
      </c>
    </row>
    <row r="1355" spans="1:10" x14ac:dyDescent="0.25">
      <c r="A1355" s="15" t="s">
        <v>4324</v>
      </c>
      <c r="B1355" s="15" t="s">
        <v>4312</v>
      </c>
      <c r="C1355" s="42">
        <v>7.4770000000000003</v>
      </c>
      <c r="D1355" s="25">
        <v>1.5277777777777777E-2</v>
      </c>
      <c r="E1355" s="43">
        <v>-12.080498</v>
      </c>
      <c r="F1355" s="43">
        <v>-77.058532999999997</v>
      </c>
      <c r="G1355" s="43">
        <v>-12.082716</v>
      </c>
      <c r="H1355" s="43">
        <v>-77.045813999999993</v>
      </c>
      <c r="I1355" s="43">
        <v>-12.081166</v>
      </c>
      <c r="J1355" s="43">
        <v>-77.033805999999998</v>
      </c>
    </row>
    <row r="1356" spans="1:10" x14ac:dyDescent="0.25">
      <c r="A1356" s="15" t="s">
        <v>4324</v>
      </c>
      <c r="B1356" s="15" t="s">
        <v>4313</v>
      </c>
      <c r="C1356" s="40">
        <v>2.6760000000000002</v>
      </c>
      <c r="D1356" s="29">
        <v>6.9444444444444441E-3</v>
      </c>
      <c r="E1356" s="41">
        <v>-12.078709999999999</v>
      </c>
      <c r="F1356" s="41">
        <v>-77.06532</v>
      </c>
      <c r="G1356" s="41">
        <v>-12.080408</v>
      </c>
      <c r="H1356" s="41">
        <v>-77.058645999999996</v>
      </c>
      <c r="I1356" s="41">
        <v>-12.081477</v>
      </c>
      <c r="J1356" s="41">
        <v>-77.057310000000001</v>
      </c>
    </row>
    <row r="1357" spans="1:10" x14ac:dyDescent="0.25">
      <c r="A1357" s="15" t="s">
        <v>4324</v>
      </c>
      <c r="B1357" s="15" t="s">
        <v>4314</v>
      </c>
      <c r="C1357" s="42">
        <v>2.5529999999999999</v>
      </c>
      <c r="D1357" s="25">
        <v>5.5555555555555558E-3</v>
      </c>
      <c r="E1357" s="43">
        <v>-12.078847</v>
      </c>
      <c r="F1357" s="43">
        <v>-77.065467999999996</v>
      </c>
      <c r="G1357" s="43">
        <v>-12.082995</v>
      </c>
      <c r="H1357" s="43">
        <v>-77.067224999999993</v>
      </c>
      <c r="I1357" s="43">
        <v>-12.078167000000001</v>
      </c>
      <c r="J1357" s="43">
        <v>-77.081068000000002</v>
      </c>
    </row>
    <row r="1358" spans="1:10" x14ac:dyDescent="0.25">
      <c r="A1358" s="15" t="s">
        <v>4324</v>
      </c>
      <c r="B1358" s="15" t="s">
        <v>4315</v>
      </c>
      <c r="C1358" s="40">
        <v>14.565</v>
      </c>
      <c r="D1358" s="29">
        <v>1.8749999999999999E-2</v>
      </c>
      <c r="E1358" s="41">
        <v>-12.085309000000001</v>
      </c>
      <c r="F1358" s="41">
        <v>-77.064458999999999</v>
      </c>
      <c r="G1358" s="41">
        <v>-12.086880000000001</v>
      </c>
      <c r="H1358" s="41">
        <v>-76.994710999999995</v>
      </c>
      <c r="I1358" s="41">
        <v>-12.102952</v>
      </c>
      <c r="J1358" s="41">
        <v>-76.979686999999998</v>
      </c>
    </row>
    <row r="1359" spans="1:10" x14ac:dyDescent="0.25">
      <c r="A1359" s="15" t="s">
        <v>4324</v>
      </c>
      <c r="B1359" s="15" t="s">
        <v>4316</v>
      </c>
      <c r="C1359" s="42">
        <v>3.077</v>
      </c>
      <c r="D1359" s="25">
        <v>6.2500000000000003E-3</v>
      </c>
      <c r="E1359" s="43">
        <v>-12.082542999999999</v>
      </c>
      <c r="F1359" s="43">
        <v>-77.066042999999993</v>
      </c>
      <c r="G1359" s="43">
        <v>-12.083784</v>
      </c>
      <c r="H1359" s="43">
        <v>-77.065545</v>
      </c>
      <c r="I1359" s="43">
        <v>-12.086558</v>
      </c>
      <c r="J1359" s="43">
        <v>-77.063126999999994</v>
      </c>
    </row>
    <row r="1360" spans="1:10" x14ac:dyDescent="0.25">
      <c r="A1360" s="15" t="s">
        <v>4324</v>
      </c>
      <c r="B1360" s="15" t="s">
        <v>4317</v>
      </c>
      <c r="C1360" s="40">
        <v>21.302</v>
      </c>
      <c r="D1360" s="29">
        <v>2.361111111111111E-2</v>
      </c>
      <c r="E1360" s="41">
        <v>-12.086558</v>
      </c>
      <c r="F1360" s="41">
        <v>-77.063126999999994</v>
      </c>
      <c r="G1360" s="41">
        <v>-12.085934999999999</v>
      </c>
      <c r="H1360" s="41">
        <v>-76.985097999999994</v>
      </c>
      <c r="I1360" s="41">
        <v>-12.150183999999999</v>
      </c>
      <c r="J1360" s="41">
        <v>-76.983569000000003</v>
      </c>
    </row>
    <row r="1361" spans="1:10" x14ac:dyDescent="0.25">
      <c r="A1361" s="15" t="s">
        <v>4324</v>
      </c>
      <c r="B1361" s="15" t="s">
        <v>4318</v>
      </c>
      <c r="C1361" s="42">
        <v>8.1289999999999996</v>
      </c>
      <c r="D1361" s="25">
        <v>1.2500000000000001E-2</v>
      </c>
      <c r="E1361" s="43">
        <v>-12.082599</v>
      </c>
      <c r="F1361" s="43">
        <v>-77.066063999999997</v>
      </c>
      <c r="G1361" s="43">
        <v>-12.084447000000001</v>
      </c>
      <c r="H1361" s="43">
        <v>-77.064701999999997</v>
      </c>
      <c r="I1361" s="43">
        <v>-12.09488</v>
      </c>
      <c r="J1361" s="43">
        <v>-77.052615000000003</v>
      </c>
    </row>
    <row r="1362" spans="1:10" x14ac:dyDescent="0.25">
      <c r="A1362" s="15" t="s">
        <v>4324</v>
      </c>
      <c r="B1362" s="15" t="s">
        <v>4319</v>
      </c>
      <c r="C1362" s="40">
        <v>10.847</v>
      </c>
      <c r="D1362" s="29">
        <v>1.6666666666666666E-2</v>
      </c>
      <c r="E1362" s="41">
        <v>-12.083306</v>
      </c>
      <c r="F1362" s="41">
        <v>-77.066322</v>
      </c>
      <c r="G1362" s="41">
        <v>-12.08555</v>
      </c>
      <c r="H1362" s="41">
        <v>-77.064318</v>
      </c>
      <c r="I1362" s="41">
        <v>-12.092343</v>
      </c>
      <c r="J1362" s="41">
        <v>-77.033406999999997</v>
      </c>
    </row>
    <row r="1363" spans="1:10" x14ac:dyDescent="0.25">
      <c r="A1363" s="15" t="s">
        <v>4324</v>
      </c>
      <c r="B1363" s="15" t="s">
        <v>4279</v>
      </c>
      <c r="C1363" s="42">
        <v>6.5910000000000002</v>
      </c>
      <c r="D1363" s="25">
        <v>1.1111111111111112E-2</v>
      </c>
      <c r="E1363" s="43">
        <v>-12.074932</v>
      </c>
      <c r="F1363" s="43">
        <v>-77.079222999999999</v>
      </c>
      <c r="G1363" s="43">
        <v>-12.069940000000001</v>
      </c>
      <c r="H1363" s="43">
        <v>-77.077833999999996</v>
      </c>
      <c r="I1363" s="43">
        <v>-12.055751000000001</v>
      </c>
      <c r="J1363" s="43">
        <v>-77.081231000000002</v>
      </c>
    </row>
    <row r="1364" spans="1:10" x14ac:dyDescent="0.25">
      <c r="A1364" s="15" t="s">
        <v>4324</v>
      </c>
      <c r="B1364" s="15" t="s">
        <v>4320</v>
      </c>
      <c r="C1364" s="40">
        <v>14.959</v>
      </c>
      <c r="D1364" s="29">
        <v>1.9444444444444445E-2</v>
      </c>
      <c r="E1364" s="41">
        <v>-12.086696</v>
      </c>
      <c r="F1364" s="41">
        <v>-77.062949000000003</v>
      </c>
      <c r="G1364" s="41">
        <v>-12.085198</v>
      </c>
      <c r="H1364" s="41">
        <v>-76.981576000000004</v>
      </c>
      <c r="I1364" s="41">
        <v>-12.067361999999999</v>
      </c>
      <c r="J1364" s="41">
        <v>-76.971562000000006</v>
      </c>
    </row>
    <row r="1365" spans="1:10" x14ac:dyDescent="0.25">
      <c r="A1365" s="15" t="s">
        <v>4324</v>
      </c>
      <c r="B1365" s="15" t="s">
        <v>4321</v>
      </c>
      <c r="C1365" s="42">
        <v>27.335999999999999</v>
      </c>
      <c r="D1365" s="25">
        <v>3.4027777777777775E-2</v>
      </c>
      <c r="E1365" s="43">
        <v>-12.047527000000001</v>
      </c>
      <c r="F1365" s="43">
        <v>-77.053878999999995</v>
      </c>
      <c r="G1365" s="43">
        <v>-12.036379999999999</v>
      </c>
      <c r="H1365" s="43">
        <v>-77.042231999999998</v>
      </c>
      <c r="I1365" s="43">
        <v>-11.948202</v>
      </c>
      <c r="J1365" s="43">
        <v>-77.070563000000007</v>
      </c>
    </row>
    <row r="1366" spans="1:10" x14ac:dyDescent="0.25">
      <c r="A1366" s="15" t="s">
        <v>4324</v>
      </c>
      <c r="B1366" s="15" t="s">
        <v>4322</v>
      </c>
      <c r="C1366" s="40">
        <v>16.007999999999999</v>
      </c>
      <c r="D1366" s="29">
        <v>2.013888888888889E-2</v>
      </c>
      <c r="E1366" s="41">
        <v>-12.102239000000001</v>
      </c>
      <c r="F1366" s="41">
        <v>-77.065613999999997</v>
      </c>
      <c r="G1366" s="41">
        <v>-12.124352999999999</v>
      </c>
      <c r="H1366" s="41">
        <v>-77.040341999999995</v>
      </c>
      <c r="I1366" s="41">
        <v>-12.151467999999999</v>
      </c>
      <c r="J1366" s="41">
        <v>-77.024715</v>
      </c>
    </row>
    <row r="1367" spans="1:10" x14ac:dyDescent="0.25">
      <c r="A1367" s="15" t="s">
        <v>4324</v>
      </c>
      <c r="B1367" s="15" t="s">
        <v>4323</v>
      </c>
      <c r="C1367" s="42">
        <v>16.518000000000001</v>
      </c>
      <c r="D1367" s="25">
        <v>2.0833333333333332E-2</v>
      </c>
      <c r="E1367" s="43">
        <v>-12.102997999999999</v>
      </c>
      <c r="F1367" s="43">
        <v>-77.064746999999997</v>
      </c>
      <c r="G1367" s="43">
        <v>-12.125451</v>
      </c>
      <c r="H1367" s="43">
        <v>-77.039016000000004</v>
      </c>
      <c r="I1367" s="43">
        <v>-12.155326000000001</v>
      </c>
      <c r="J1367" s="43">
        <v>-77.025108000000003</v>
      </c>
    </row>
    <row r="1368" spans="1:10" x14ac:dyDescent="0.25">
      <c r="A1368" s="15" t="s">
        <v>4324</v>
      </c>
      <c r="B1368" s="15" t="s">
        <v>4324</v>
      </c>
      <c r="C1368" s="40">
        <v>0</v>
      </c>
      <c r="D1368" s="29">
        <v>0</v>
      </c>
      <c r="E1368" s="41" t="e">
        <f>'1 ubicaciones'!#REF!</f>
        <v>#REF!</v>
      </c>
      <c r="F1368" s="41" t="e">
        <f>'1 ubicaciones'!#REF!</f>
        <v>#REF!</v>
      </c>
      <c r="G1368" s="41" t="e">
        <f>'1 ubicaciones'!#REF!</f>
        <v>#REF!</v>
      </c>
      <c r="H1368" s="41" t="e">
        <f>'1 ubicaciones'!#REF!</f>
        <v>#REF!</v>
      </c>
      <c r="I1368" s="41" t="e">
        <f>'1 ubicaciones'!#REF!</f>
        <v>#REF!</v>
      </c>
      <c r="J1368" s="41" t="e">
        <f>'1 ubicaciones'!#REF!</f>
        <v>#REF!</v>
      </c>
    </row>
    <row r="1369" spans="1:10" x14ac:dyDescent="0.25">
      <c r="A1369" s="15" t="s">
        <v>4324</v>
      </c>
      <c r="B1369" s="15" t="s">
        <v>4325</v>
      </c>
      <c r="C1369" s="42">
        <v>21.542000000000002</v>
      </c>
      <c r="D1369" s="25">
        <v>2.8472222222222222E-2</v>
      </c>
      <c r="E1369" s="43">
        <v>-12.092343</v>
      </c>
      <c r="F1369" s="43">
        <v>-77.033406999999997</v>
      </c>
      <c r="G1369" s="43">
        <v>-12.127554999999999</v>
      </c>
      <c r="H1369" s="43">
        <v>-76.976748999999998</v>
      </c>
      <c r="I1369" s="43">
        <v>-12.143283</v>
      </c>
      <c r="J1369" s="43">
        <v>-76.959165999999996</v>
      </c>
    </row>
    <row r="1370" spans="1:10" x14ac:dyDescent="0.25">
      <c r="A1370" s="15" t="s">
        <v>4324</v>
      </c>
      <c r="B1370" s="15" t="s">
        <v>4268</v>
      </c>
      <c r="C1370" s="40">
        <v>11.967000000000001</v>
      </c>
      <c r="D1370" s="29">
        <v>1.8055555555555554E-2</v>
      </c>
      <c r="E1370" s="41">
        <v>-12.051365000000001</v>
      </c>
      <c r="F1370" s="41">
        <v>-77.054732999999999</v>
      </c>
      <c r="G1370" s="41">
        <v>-12.040813999999999</v>
      </c>
      <c r="H1370" s="41">
        <v>-77.043109000000001</v>
      </c>
      <c r="I1370" s="41">
        <v>-12.040430000000001</v>
      </c>
      <c r="J1370" s="41">
        <v>-77.014131000000006</v>
      </c>
    </row>
    <row r="1371" spans="1:10" x14ac:dyDescent="0.25">
      <c r="A1371" s="15" t="s">
        <v>4325</v>
      </c>
      <c r="B1371" s="15" t="s">
        <v>4267</v>
      </c>
      <c r="C1371" s="42">
        <v>24.343</v>
      </c>
      <c r="D1371" s="25">
        <v>2.7083333333333334E-2</v>
      </c>
      <c r="E1371" s="43">
        <v>-12.152438999999999</v>
      </c>
      <c r="F1371" s="43">
        <v>-76.955235000000002</v>
      </c>
      <c r="G1371" s="43">
        <v>-12.116587000000001</v>
      </c>
      <c r="H1371" s="43">
        <v>-76.977292000000006</v>
      </c>
      <c r="I1371" s="43">
        <v>-12.090265</v>
      </c>
      <c r="J1371" s="43">
        <v>-77.019711000000001</v>
      </c>
    </row>
    <row r="1372" spans="1:10" x14ac:dyDescent="0.25">
      <c r="A1372" s="15" t="s">
        <v>4325</v>
      </c>
      <c r="B1372" s="15" t="s">
        <v>4280</v>
      </c>
      <c r="C1372" s="40">
        <v>14.491</v>
      </c>
      <c r="D1372" s="29">
        <v>2.361111111111111E-2</v>
      </c>
      <c r="E1372" s="41">
        <v>-12.152027</v>
      </c>
      <c r="F1372" s="41">
        <v>-76.955731999999998</v>
      </c>
      <c r="G1372" s="41">
        <v>-12.148892</v>
      </c>
      <c r="H1372" s="41">
        <v>-76.983165999999997</v>
      </c>
      <c r="I1372" s="41">
        <v>-12.173551</v>
      </c>
      <c r="J1372" s="41">
        <v>-76.990882999999997</v>
      </c>
    </row>
    <row r="1373" spans="1:10" x14ac:dyDescent="0.25">
      <c r="A1373" s="15" t="s">
        <v>4325</v>
      </c>
      <c r="B1373" s="15" t="s">
        <v>4281</v>
      </c>
      <c r="C1373" s="42">
        <v>19.131</v>
      </c>
      <c r="D1373" s="25">
        <v>2.2222222222222223E-2</v>
      </c>
      <c r="E1373" s="43">
        <v>-12.150511</v>
      </c>
      <c r="F1373" s="43">
        <v>-76.954727000000005</v>
      </c>
      <c r="G1373" s="43">
        <v>-12.147221</v>
      </c>
      <c r="H1373" s="43">
        <v>-76.982285000000005</v>
      </c>
      <c r="I1373" s="43">
        <v>-12.081474</v>
      </c>
      <c r="J1373" s="43">
        <v>-76.967291000000003</v>
      </c>
    </row>
    <row r="1374" spans="1:10" x14ac:dyDescent="0.25">
      <c r="A1374" s="15" t="s">
        <v>4325</v>
      </c>
      <c r="B1374" s="15" t="s">
        <v>4296</v>
      </c>
      <c r="C1374" s="40">
        <v>25.065000000000001</v>
      </c>
      <c r="D1374" s="29">
        <v>2.7083333333333334E-2</v>
      </c>
      <c r="E1374" s="41">
        <v>-12.154139000000001</v>
      </c>
      <c r="F1374" s="41">
        <v>-76.956633999999994</v>
      </c>
      <c r="G1374" s="41">
        <v>-12.085789999999999</v>
      </c>
      <c r="H1374" s="41">
        <v>-76.982185999999999</v>
      </c>
      <c r="I1374" s="41">
        <v>-12.087759999999999</v>
      </c>
      <c r="J1374" s="41">
        <v>-77.024265999999997</v>
      </c>
    </row>
    <row r="1375" spans="1:10" x14ac:dyDescent="0.25">
      <c r="A1375" s="15" t="s">
        <v>4325</v>
      </c>
      <c r="B1375" s="15" t="s">
        <v>4297</v>
      </c>
      <c r="C1375" s="42">
        <v>19.359000000000002</v>
      </c>
      <c r="D1375" s="25">
        <v>2.2222222222222223E-2</v>
      </c>
      <c r="E1375" s="43">
        <v>-12.152060000000001</v>
      </c>
      <c r="F1375" s="43">
        <v>-76.955719000000002</v>
      </c>
      <c r="G1375" s="43">
        <v>-12.126734000000001</v>
      </c>
      <c r="H1375" s="43">
        <v>-76.976878999999997</v>
      </c>
      <c r="I1375" s="43">
        <v>-12.087738999999999</v>
      </c>
      <c r="J1375" s="43">
        <v>-77.001706999999996</v>
      </c>
    </row>
    <row r="1376" spans="1:10" x14ac:dyDescent="0.25">
      <c r="A1376" s="15" t="s">
        <v>4325</v>
      </c>
      <c r="B1376" s="15" t="s">
        <v>4298</v>
      </c>
      <c r="C1376" s="40">
        <v>12.465</v>
      </c>
      <c r="D1376" s="29">
        <v>2.013888888888889E-2</v>
      </c>
      <c r="E1376" s="41">
        <v>-12.144966</v>
      </c>
      <c r="F1376" s="41">
        <v>-76.954818000000003</v>
      </c>
      <c r="G1376" s="41">
        <v>-12.155725</v>
      </c>
      <c r="H1376" s="41">
        <v>-76.960621000000003</v>
      </c>
      <c r="I1376" s="41">
        <v>-12.146775999999999</v>
      </c>
      <c r="J1376" s="41">
        <v>-76.987474000000006</v>
      </c>
    </row>
    <row r="1377" spans="1:10" x14ac:dyDescent="0.25">
      <c r="A1377" s="15" t="s">
        <v>4325</v>
      </c>
      <c r="B1377" s="15" t="s">
        <v>4299</v>
      </c>
      <c r="C1377" s="42">
        <v>22.542000000000002</v>
      </c>
      <c r="D1377" s="25">
        <v>2.4305555555555556E-2</v>
      </c>
      <c r="E1377" s="43">
        <v>-12.152488</v>
      </c>
      <c r="F1377" s="43">
        <v>-76.955174</v>
      </c>
      <c r="G1377" s="43">
        <v>-12.090525</v>
      </c>
      <c r="H1377" s="43">
        <v>-76.980827000000005</v>
      </c>
      <c r="I1377" s="43">
        <v>-12.090716</v>
      </c>
      <c r="J1377" s="43">
        <v>-77.023172000000002</v>
      </c>
    </row>
    <row r="1378" spans="1:10" x14ac:dyDescent="0.25">
      <c r="A1378" s="15" t="s">
        <v>4325</v>
      </c>
      <c r="B1378" s="15" t="s">
        <v>4300</v>
      </c>
      <c r="C1378" s="40">
        <v>13.204000000000001</v>
      </c>
      <c r="D1378" s="29">
        <v>1.7361111111111112E-2</v>
      </c>
      <c r="E1378" s="41">
        <v>-12.144966</v>
      </c>
      <c r="F1378" s="41">
        <v>-76.954818000000003</v>
      </c>
      <c r="G1378" s="41">
        <v>-12.155725</v>
      </c>
      <c r="H1378" s="41">
        <v>-76.960621000000003</v>
      </c>
      <c r="I1378" s="41">
        <v>-12.136862000000001</v>
      </c>
      <c r="J1378" s="41">
        <v>-76.980290999999994</v>
      </c>
    </row>
    <row r="1379" spans="1:10" x14ac:dyDescent="0.25">
      <c r="A1379" s="15" t="s">
        <v>4325</v>
      </c>
      <c r="B1379" s="15" t="s">
        <v>4301</v>
      </c>
      <c r="C1379" s="42">
        <v>41.649000000000001</v>
      </c>
      <c r="D1379" s="25">
        <v>3.6111111111111108E-2</v>
      </c>
      <c r="E1379" s="43">
        <v>-12.15578</v>
      </c>
      <c r="F1379" s="43">
        <v>-76.960663999999994</v>
      </c>
      <c r="G1379" s="43">
        <v>-12.073001</v>
      </c>
      <c r="H1379" s="43">
        <v>-76.973752000000005</v>
      </c>
      <c r="I1379" s="43">
        <v>-12.043201</v>
      </c>
      <c r="J1379" s="43">
        <v>-77.024106000000003</v>
      </c>
    </row>
    <row r="1380" spans="1:10" x14ac:dyDescent="0.25">
      <c r="A1380" s="15" t="s">
        <v>4325</v>
      </c>
      <c r="B1380" s="15" t="s">
        <v>4302</v>
      </c>
      <c r="C1380" s="40">
        <v>17.600999999999999</v>
      </c>
      <c r="D1380" s="29">
        <v>2.013888888888889E-2</v>
      </c>
      <c r="E1380" s="41">
        <v>-12.148667</v>
      </c>
      <c r="F1380" s="41">
        <v>-76.954618999999994</v>
      </c>
      <c r="G1380" s="41">
        <v>-12.149877999999999</v>
      </c>
      <c r="H1380" s="41">
        <v>-76.981181000000007</v>
      </c>
      <c r="I1380" s="41">
        <v>-12.084303</v>
      </c>
      <c r="J1380" s="41">
        <v>-76.981491000000005</v>
      </c>
    </row>
    <row r="1381" spans="1:10" x14ac:dyDescent="0.25">
      <c r="A1381" s="15" t="s">
        <v>4325</v>
      </c>
      <c r="B1381" s="15" t="s">
        <v>4303</v>
      </c>
      <c r="C1381" s="42">
        <v>19.260000000000002</v>
      </c>
      <c r="D1381" s="25">
        <v>2.2222222222222223E-2</v>
      </c>
      <c r="E1381" s="43">
        <v>-12.152438999999999</v>
      </c>
      <c r="F1381" s="43">
        <v>-76.955235000000002</v>
      </c>
      <c r="G1381" s="43">
        <v>-12.116587000000001</v>
      </c>
      <c r="H1381" s="43">
        <v>-76.977292000000006</v>
      </c>
      <c r="I1381" s="43">
        <v>-12.087405</v>
      </c>
      <c r="J1381" s="43">
        <v>-77.003219000000001</v>
      </c>
    </row>
    <row r="1382" spans="1:10" x14ac:dyDescent="0.25">
      <c r="A1382" s="15" t="s">
        <v>4325</v>
      </c>
      <c r="B1382" s="15" t="s">
        <v>4304</v>
      </c>
      <c r="C1382" s="40">
        <v>18.843</v>
      </c>
      <c r="D1382" s="29">
        <v>2.1527777777777778E-2</v>
      </c>
      <c r="E1382" s="41">
        <v>-12.152060000000001</v>
      </c>
      <c r="F1382" s="41">
        <v>-76.955719000000002</v>
      </c>
      <c r="G1382" s="41">
        <v>-12.126734000000001</v>
      </c>
      <c r="H1382" s="41">
        <v>-76.976878999999997</v>
      </c>
      <c r="I1382" s="41">
        <v>-12.087738999999999</v>
      </c>
      <c r="J1382" s="41">
        <v>-77.001706999999996</v>
      </c>
    </row>
    <row r="1383" spans="1:10" x14ac:dyDescent="0.25">
      <c r="A1383" s="15" t="s">
        <v>4325</v>
      </c>
      <c r="B1383" s="15" t="s">
        <v>4269</v>
      </c>
      <c r="C1383" s="42">
        <v>23.968</v>
      </c>
      <c r="D1383" s="25">
        <v>3.0555555555555555E-2</v>
      </c>
      <c r="E1383" s="43">
        <v>-12.150505000000001</v>
      </c>
      <c r="F1383" s="43">
        <v>-76.980082999999993</v>
      </c>
      <c r="G1383" s="43">
        <v>-12.134347999999999</v>
      </c>
      <c r="H1383" s="43">
        <v>-77.021557999999999</v>
      </c>
      <c r="I1383" s="43">
        <v>-12.110471</v>
      </c>
      <c r="J1383" s="43">
        <v>-77.054231000000001</v>
      </c>
    </row>
    <row r="1384" spans="1:10" x14ac:dyDescent="0.25">
      <c r="A1384" s="15" t="s">
        <v>4325</v>
      </c>
      <c r="B1384" s="15" t="s">
        <v>4305</v>
      </c>
      <c r="C1384" s="40">
        <v>24.056000000000001</v>
      </c>
      <c r="D1384" s="29">
        <v>2.5694444444444443E-2</v>
      </c>
      <c r="E1384" s="41">
        <v>-12.155725</v>
      </c>
      <c r="F1384" s="41">
        <v>-76.960621000000003</v>
      </c>
      <c r="G1384" s="41">
        <v>-12.084199999999999</v>
      </c>
      <c r="H1384" s="41">
        <v>-76.981269999999995</v>
      </c>
      <c r="I1384" s="41">
        <v>-12.060078000000001</v>
      </c>
      <c r="J1384" s="41">
        <v>-77.035393999999997</v>
      </c>
    </row>
    <row r="1385" spans="1:10" x14ac:dyDescent="0.25">
      <c r="A1385" s="15" t="s">
        <v>4325</v>
      </c>
      <c r="B1385" s="15" t="s">
        <v>4306</v>
      </c>
      <c r="C1385" s="42">
        <v>6.7619999999999996</v>
      </c>
      <c r="D1385" s="25">
        <v>1.3888888888888888E-2</v>
      </c>
      <c r="E1385" s="43">
        <v>-12.139289</v>
      </c>
      <c r="F1385" s="43">
        <v>-76.951911999999993</v>
      </c>
      <c r="G1385" s="43">
        <v>-12.142016999999999</v>
      </c>
      <c r="H1385" s="43">
        <v>-76.958905000000001</v>
      </c>
      <c r="I1385" s="43">
        <v>-12.142809</v>
      </c>
      <c r="J1385" s="43">
        <v>-76.974048999999994</v>
      </c>
    </row>
    <row r="1386" spans="1:10" x14ac:dyDescent="0.25">
      <c r="A1386" s="15" t="s">
        <v>4325</v>
      </c>
      <c r="B1386" s="15" t="s">
        <v>4277</v>
      </c>
      <c r="C1386" s="40">
        <v>20.748000000000001</v>
      </c>
      <c r="D1386" s="29">
        <v>2.1527777777777778E-2</v>
      </c>
      <c r="E1386" s="41">
        <v>-12.148667</v>
      </c>
      <c r="F1386" s="41">
        <v>-76.954618999999994</v>
      </c>
      <c r="G1386" s="41">
        <v>-12.149877999999999</v>
      </c>
      <c r="H1386" s="41">
        <v>-76.981181000000007</v>
      </c>
      <c r="I1386" s="41">
        <v>-12.084303</v>
      </c>
      <c r="J1386" s="41">
        <v>-76.981491000000005</v>
      </c>
    </row>
    <row r="1387" spans="1:10" x14ac:dyDescent="0.25">
      <c r="A1387" s="15" t="s">
        <v>4325</v>
      </c>
      <c r="B1387" s="15" t="s">
        <v>4307</v>
      </c>
      <c r="C1387" s="42">
        <v>21.512</v>
      </c>
      <c r="D1387" s="25">
        <v>2.361111111111111E-2</v>
      </c>
      <c r="E1387" s="43">
        <v>-12.150511</v>
      </c>
      <c r="F1387" s="43">
        <v>-76.954727000000005</v>
      </c>
      <c r="G1387" s="43">
        <v>-12.147221</v>
      </c>
      <c r="H1387" s="43">
        <v>-76.982285000000005</v>
      </c>
      <c r="I1387" s="43">
        <v>-12.066178000000001</v>
      </c>
      <c r="J1387" s="43">
        <v>-76.971248000000003</v>
      </c>
    </row>
    <row r="1388" spans="1:10" x14ac:dyDescent="0.25">
      <c r="A1388" s="15" t="s">
        <v>4325</v>
      </c>
      <c r="B1388" s="15" t="s">
        <v>4308</v>
      </c>
      <c r="C1388" s="40">
        <v>26.710999999999999</v>
      </c>
      <c r="D1388" s="29">
        <v>3.2638888888888891E-2</v>
      </c>
      <c r="E1388" s="41">
        <v>-12.152027</v>
      </c>
      <c r="F1388" s="41">
        <v>-76.955731999999998</v>
      </c>
      <c r="G1388" s="41">
        <v>-12.128707</v>
      </c>
      <c r="H1388" s="41">
        <v>-76.977196000000006</v>
      </c>
      <c r="I1388" s="41">
        <v>-12.086687</v>
      </c>
      <c r="J1388" s="41">
        <v>-76.997055000000003</v>
      </c>
    </row>
    <row r="1389" spans="1:10" x14ac:dyDescent="0.25">
      <c r="A1389" s="15" t="s">
        <v>4325</v>
      </c>
      <c r="B1389" s="15" t="s">
        <v>4309</v>
      </c>
      <c r="C1389" s="42">
        <v>20.939</v>
      </c>
      <c r="D1389" s="25">
        <v>2.0833333333333332E-2</v>
      </c>
      <c r="E1389" s="43">
        <v>-12.150565</v>
      </c>
      <c r="F1389" s="43">
        <v>-76.954769999999996</v>
      </c>
      <c r="G1389" s="43">
        <v>-12.136862000000001</v>
      </c>
      <c r="H1389" s="43">
        <v>-76.980290999999994</v>
      </c>
      <c r="I1389" s="43">
        <v>-12.085720999999999</v>
      </c>
      <c r="J1389" s="43">
        <v>-76.987510999999998</v>
      </c>
    </row>
    <row r="1390" spans="1:10" x14ac:dyDescent="0.25">
      <c r="A1390" s="15" t="s">
        <v>4325</v>
      </c>
      <c r="B1390" s="15" t="s">
        <v>4278</v>
      </c>
      <c r="C1390" s="40">
        <v>33.198</v>
      </c>
      <c r="D1390" s="29">
        <v>3.0555555555555555E-2</v>
      </c>
      <c r="E1390" s="41">
        <v>-12.15578</v>
      </c>
      <c r="F1390" s="41">
        <v>-76.960663999999994</v>
      </c>
      <c r="G1390" s="41">
        <v>-12.073001</v>
      </c>
      <c r="H1390" s="41">
        <v>-76.973752000000005</v>
      </c>
      <c r="I1390" s="41">
        <v>-12.043112000000001</v>
      </c>
      <c r="J1390" s="41">
        <v>-77.02807</v>
      </c>
    </row>
    <row r="1391" spans="1:10" x14ac:dyDescent="0.25">
      <c r="A1391" s="15" t="s">
        <v>4325</v>
      </c>
      <c r="B1391" s="15" t="s">
        <v>4310</v>
      </c>
      <c r="C1391" s="42">
        <v>22.477</v>
      </c>
      <c r="D1391" s="25">
        <v>2.361111111111111E-2</v>
      </c>
      <c r="E1391" s="43">
        <v>-12.152027</v>
      </c>
      <c r="F1391" s="43">
        <v>-76.955731999999998</v>
      </c>
      <c r="G1391" s="43">
        <v>-12.128707</v>
      </c>
      <c r="H1391" s="43">
        <v>-76.977196000000006</v>
      </c>
      <c r="I1391" s="43">
        <v>-12.052244</v>
      </c>
      <c r="J1391" s="43">
        <v>-76.976022999999998</v>
      </c>
    </row>
    <row r="1392" spans="1:10" x14ac:dyDescent="0.25">
      <c r="A1392" s="15" t="s">
        <v>4325</v>
      </c>
      <c r="B1392" s="15" t="s">
        <v>4311</v>
      </c>
      <c r="C1392" s="40">
        <v>22.834</v>
      </c>
      <c r="D1392" s="29">
        <v>2.5000000000000001E-2</v>
      </c>
      <c r="E1392" s="41">
        <v>-12.152825</v>
      </c>
      <c r="F1392" s="41">
        <v>-76.955483000000001</v>
      </c>
      <c r="G1392" s="41">
        <v>-12.087759</v>
      </c>
      <c r="H1392" s="41">
        <v>-76.981299000000007</v>
      </c>
      <c r="I1392" s="41">
        <v>-12.089695000000001</v>
      </c>
      <c r="J1392" s="41">
        <v>-77.022923000000006</v>
      </c>
    </row>
    <row r="1393" spans="1:10" x14ac:dyDescent="0.25">
      <c r="A1393" s="15" t="s">
        <v>4325</v>
      </c>
      <c r="B1393" s="15" t="s">
        <v>4312</v>
      </c>
      <c r="C1393" s="42">
        <v>19.568000000000001</v>
      </c>
      <c r="D1393" s="25">
        <v>2.2916666666666665E-2</v>
      </c>
      <c r="E1393" s="43">
        <v>-12.152060000000001</v>
      </c>
      <c r="F1393" s="43">
        <v>-76.955719000000002</v>
      </c>
      <c r="G1393" s="43">
        <v>-12.126734000000001</v>
      </c>
      <c r="H1393" s="43">
        <v>-76.976878999999997</v>
      </c>
      <c r="I1393" s="43">
        <v>-12.087738999999999</v>
      </c>
      <c r="J1393" s="43">
        <v>-77.001706999999996</v>
      </c>
    </row>
    <row r="1394" spans="1:10" x14ac:dyDescent="0.25">
      <c r="A1394" s="15" t="s">
        <v>4325</v>
      </c>
      <c r="B1394" s="15" t="s">
        <v>4313</v>
      </c>
      <c r="C1394" s="40">
        <v>25.177</v>
      </c>
      <c r="D1394" s="29">
        <v>2.7083333333333334E-2</v>
      </c>
      <c r="E1394" s="41">
        <v>-12.155725</v>
      </c>
      <c r="F1394" s="41">
        <v>-76.960621000000003</v>
      </c>
      <c r="G1394" s="41">
        <v>-12.084199999999999</v>
      </c>
      <c r="H1394" s="41">
        <v>-76.981269999999995</v>
      </c>
      <c r="I1394" s="41">
        <v>-12.060078000000001</v>
      </c>
      <c r="J1394" s="41">
        <v>-77.035393999999997</v>
      </c>
    </row>
    <row r="1395" spans="1:10" x14ac:dyDescent="0.25">
      <c r="A1395" s="15" t="s">
        <v>4325</v>
      </c>
      <c r="B1395" s="15" t="s">
        <v>4314</v>
      </c>
      <c r="C1395" s="42">
        <v>25.571000000000002</v>
      </c>
      <c r="D1395" s="25">
        <v>3.0555555555555555E-2</v>
      </c>
      <c r="E1395" s="43">
        <v>-12.150565</v>
      </c>
      <c r="F1395" s="43">
        <v>-76.954769999999996</v>
      </c>
      <c r="G1395" s="43">
        <v>-12.136862000000001</v>
      </c>
      <c r="H1395" s="43">
        <v>-76.980290999999994</v>
      </c>
      <c r="I1395" s="43">
        <v>-12.085720999999999</v>
      </c>
      <c r="J1395" s="43">
        <v>-76.987510999999998</v>
      </c>
    </row>
    <row r="1396" spans="1:10" x14ac:dyDescent="0.25">
      <c r="A1396" s="15" t="s">
        <v>4325</v>
      </c>
      <c r="B1396" s="15" t="s">
        <v>4315</v>
      </c>
      <c r="C1396" s="40">
        <v>11.476000000000001</v>
      </c>
      <c r="D1396" s="29">
        <v>1.5277777777777777E-2</v>
      </c>
      <c r="E1396" s="41">
        <v>-12.144966</v>
      </c>
      <c r="F1396" s="41">
        <v>-76.954818000000003</v>
      </c>
      <c r="G1396" s="41">
        <v>-12.155725</v>
      </c>
      <c r="H1396" s="41">
        <v>-76.960621000000003</v>
      </c>
      <c r="I1396" s="41">
        <v>-12.136862000000001</v>
      </c>
      <c r="J1396" s="41">
        <v>-76.980290999999994</v>
      </c>
    </row>
    <row r="1397" spans="1:10" x14ac:dyDescent="0.25">
      <c r="A1397" s="15" t="s">
        <v>4325</v>
      </c>
      <c r="B1397" s="15" t="s">
        <v>4316</v>
      </c>
      <c r="C1397" s="42">
        <v>22.495999999999999</v>
      </c>
      <c r="D1397" s="25">
        <v>2.5000000000000001E-2</v>
      </c>
      <c r="E1397" s="43">
        <v>-12.148667</v>
      </c>
      <c r="F1397" s="43">
        <v>-76.954618999999994</v>
      </c>
      <c r="G1397" s="43">
        <v>-12.149877999999999</v>
      </c>
      <c r="H1397" s="43">
        <v>-76.981181000000007</v>
      </c>
      <c r="I1397" s="43">
        <v>-12.084303</v>
      </c>
      <c r="J1397" s="43">
        <v>-76.981491000000005</v>
      </c>
    </row>
    <row r="1398" spans="1:10" x14ac:dyDescent="0.25">
      <c r="A1398" s="15" t="s">
        <v>4325</v>
      </c>
      <c r="B1398" s="15" t="s">
        <v>4317</v>
      </c>
      <c r="C1398" s="40">
        <v>3.7130000000000001</v>
      </c>
      <c r="D1398" s="29">
        <v>7.6388888888888886E-3</v>
      </c>
      <c r="E1398" s="41">
        <v>-12.136386</v>
      </c>
      <c r="F1398" s="41">
        <v>-76.947001999999998</v>
      </c>
      <c r="G1398" s="41">
        <v>-12.141519000000001</v>
      </c>
      <c r="H1398" s="41">
        <v>-76.949741000000003</v>
      </c>
      <c r="I1398" s="41">
        <v>-12.153643000000001</v>
      </c>
      <c r="J1398" s="41">
        <v>-76.953861000000003</v>
      </c>
    </row>
    <row r="1399" spans="1:10" x14ac:dyDescent="0.25">
      <c r="A1399" s="15" t="s">
        <v>4325</v>
      </c>
      <c r="B1399" s="15" t="s">
        <v>4318</v>
      </c>
      <c r="C1399" s="42">
        <v>17.018999999999998</v>
      </c>
      <c r="D1399" s="25">
        <v>1.8749999999999999E-2</v>
      </c>
      <c r="E1399" s="43">
        <v>-12.148667</v>
      </c>
      <c r="F1399" s="43">
        <v>-76.954618999999994</v>
      </c>
      <c r="G1399" s="43">
        <v>-12.149877999999999</v>
      </c>
      <c r="H1399" s="43">
        <v>-76.981181000000007</v>
      </c>
      <c r="I1399" s="43">
        <v>-12.084303</v>
      </c>
      <c r="J1399" s="43">
        <v>-76.981491000000005</v>
      </c>
    </row>
    <row r="1400" spans="1:10" x14ac:dyDescent="0.25">
      <c r="A1400" s="15" t="s">
        <v>4325</v>
      </c>
      <c r="B1400" s="15" t="s">
        <v>4319</v>
      </c>
      <c r="C1400" s="40">
        <v>14.815</v>
      </c>
      <c r="D1400" s="29">
        <v>1.8749999999999999E-2</v>
      </c>
      <c r="E1400" s="41">
        <v>-12.148667</v>
      </c>
      <c r="F1400" s="41">
        <v>-76.954618999999994</v>
      </c>
      <c r="G1400" s="41">
        <v>-12.149877999999999</v>
      </c>
      <c r="H1400" s="41">
        <v>-76.981181000000007</v>
      </c>
      <c r="I1400" s="41">
        <v>-12.103258</v>
      </c>
      <c r="J1400" s="41">
        <v>-76.983181999999999</v>
      </c>
    </row>
    <row r="1401" spans="1:10" x14ac:dyDescent="0.25">
      <c r="A1401" s="15" t="s">
        <v>4325</v>
      </c>
      <c r="B1401" s="15" t="s">
        <v>4279</v>
      </c>
      <c r="C1401" s="42">
        <v>35.179000000000002</v>
      </c>
      <c r="D1401" s="25">
        <v>3.3333333333333333E-2</v>
      </c>
      <c r="E1401" s="43">
        <v>-12.150525999999999</v>
      </c>
      <c r="F1401" s="43">
        <v>-76.979935999999995</v>
      </c>
      <c r="G1401" s="43">
        <v>-12.050679000000001</v>
      </c>
      <c r="H1401" s="43">
        <v>-76.977222999999995</v>
      </c>
      <c r="I1401" s="43">
        <v>-12.039097</v>
      </c>
      <c r="J1401" s="43">
        <v>-77.038191999999995</v>
      </c>
    </row>
    <row r="1402" spans="1:10" x14ac:dyDescent="0.25">
      <c r="A1402" s="15" t="s">
        <v>4325</v>
      </c>
      <c r="B1402" s="15" t="s">
        <v>4320</v>
      </c>
      <c r="C1402" s="40">
        <v>17.452000000000002</v>
      </c>
      <c r="D1402" s="29">
        <v>2.013888888888889E-2</v>
      </c>
      <c r="E1402" s="41">
        <v>-12.148667</v>
      </c>
      <c r="F1402" s="41">
        <v>-76.954618999999994</v>
      </c>
      <c r="G1402" s="41">
        <v>-12.149877999999999</v>
      </c>
      <c r="H1402" s="41">
        <v>-76.981181000000007</v>
      </c>
      <c r="I1402" s="41">
        <v>-12.080475</v>
      </c>
      <c r="J1402" s="41">
        <v>-76.977480999999997</v>
      </c>
    </row>
    <row r="1403" spans="1:10" x14ac:dyDescent="0.25">
      <c r="A1403" s="15" t="s">
        <v>4325</v>
      </c>
      <c r="B1403" s="15" t="s">
        <v>4321</v>
      </c>
      <c r="C1403" s="42">
        <v>47.540999999999997</v>
      </c>
      <c r="D1403" s="25">
        <v>4.4444444444444446E-2</v>
      </c>
      <c r="E1403" s="43">
        <v>-12.153352999999999</v>
      </c>
      <c r="F1403" s="43">
        <v>-76.973262000000005</v>
      </c>
      <c r="G1403" s="43">
        <v>-12.055498</v>
      </c>
      <c r="H1403" s="43">
        <v>-76.974523000000005</v>
      </c>
      <c r="I1403" s="43">
        <v>-12.035731999999999</v>
      </c>
      <c r="J1403" s="43">
        <v>-77.046904999999995</v>
      </c>
    </row>
    <row r="1404" spans="1:10" x14ac:dyDescent="0.25">
      <c r="A1404" s="15" t="s">
        <v>4325</v>
      </c>
      <c r="B1404" s="15" t="s">
        <v>4322</v>
      </c>
      <c r="C1404" s="40">
        <v>19.446000000000002</v>
      </c>
      <c r="D1404" s="29">
        <v>2.2222222222222223E-2</v>
      </c>
      <c r="E1404" s="41">
        <v>-12.148424</v>
      </c>
      <c r="F1404" s="41">
        <v>-76.955309</v>
      </c>
      <c r="G1404" s="41">
        <v>-12.150525999999999</v>
      </c>
      <c r="H1404" s="41">
        <v>-76.979935999999995</v>
      </c>
      <c r="I1404" s="41">
        <v>-12.190284999999999</v>
      </c>
      <c r="J1404" s="41">
        <v>-76.973084999999998</v>
      </c>
    </row>
    <row r="1405" spans="1:10" x14ac:dyDescent="0.25">
      <c r="A1405" s="15" t="s">
        <v>4325</v>
      </c>
      <c r="B1405" s="15" t="s">
        <v>4323</v>
      </c>
      <c r="C1405" s="42">
        <v>12.32</v>
      </c>
      <c r="D1405" s="25">
        <v>1.9444444444444445E-2</v>
      </c>
      <c r="E1405" s="43">
        <v>-12.150148</v>
      </c>
      <c r="F1405" s="43">
        <v>-76.955050999999997</v>
      </c>
      <c r="G1405" s="43">
        <v>-12.14935</v>
      </c>
      <c r="H1405" s="43">
        <v>-76.983510999999993</v>
      </c>
      <c r="I1405" s="43">
        <v>-12.171719</v>
      </c>
      <c r="J1405" s="43">
        <v>-76.981111999999996</v>
      </c>
    </row>
    <row r="1406" spans="1:10" x14ac:dyDescent="0.25">
      <c r="A1406" s="15" t="s">
        <v>4325</v>
      </c>
      <c r="B1406" s="15" t="s">
        <v>4324</v>
      </c>
      <c r="C1406" s="40">
        <v>24.501999999999999</v>
      </c>
      <c r="D1406" s="29">
        <v>2.9166666666666667E-2</v>
      </c>
      <c r="E1406" s="41">
        <v>-12.152027</v>
      </c>
      <c r="F1406" s="41">
        <v>-76.955731999999998</v>
      </c>
      <c r="G1406" s="41">
        <v>-12.128707</v>
      </c>
      <c r="H1406" s="41">
        <v>-76.977196000000006</v>
      </c>
      <c r="I1406" s="41">
        <v>-12.086687</v>
      </c>
      <c r="J1406" s="41">
        <v>-76.997055000000003</v>
      </c>
    </row>
    <row r="1407" spans="1:10" x14ac:dyDescent="0.25">
      <c r="A1407" s="15" t="s">
        <v>4325</v>
      </c>
      <c r="B1407" s="15" t="s">
        <v>4325</v>
      </c>
      <c r="C1407" s="42">
        <v>0</v>
      </c>
      <c r="D1407" s="25">
        <v>0</v>
      </c>
      <c r="E1407" s="43" t="e">
        <f>'1 ubicaciones'!#REF!</f>
        <v>#REF!</v>
      </c>
      <c r="F1407" s="43" t="e">
        <f>'1 ubicaciones'!#REF!</f>
        <v>#REF!</v>
      </c>
      <c r="G1407" s="43" t="e">
        <f>'1 ubicaciones'!#REF!</f>
        <v>#REF!</v>
      </c>
      <c r="H1407" s="43" t="e">
        <f>'1 ubicaciones'!#REF!</f>
        <v>#REF!</v>
      </c>
      <c r="I1407" s="43" t="e">
        <f>'1 ubicaciones'!#REF!</f>
        <v>#REF!</v>
      </c>
      <c r="J1407" s="43" t="e">
        <f>'1 ubicaciones'!#REF!</f>
        <v>#REF!</v>
      </c>
    </row>
    <row r="1408" spans="1:10" x14ac:dyDescent="0.25">
      <c r="A1408" s="15" t="s">
        <v>4325</v>
      </c>
      <c r="B1408" s="15" t="s">
        <v>4268</v>
      </c>
      <c r="C1408" s="40">
        <v>21.937999999999999</v>
      </c>
      <c r="D1408" s="29">
        <v>2.2916666666666665E-2</v>
      </c>
      <c r="E1408" s="41">
        <v>-12.152027</v>
      </c>
      <c r="F1408" s="41">
        <v>-76.955731999999998</v>
      </c>
      <c r="G1408" s="41">
        <v>-12.128707</v>
      </c>
      <c r="H1408" s="41">
        <v>-76.977196000000006</v>
      </c>
      <c r="I1408" s="41">
        <v>-12.052244</v>
      </c>
      <c r="J1408" s="41">
        <v>-76.976022999999998</v>
      </c>
    </row>
    <row r="1409" spans="1:10" x14ac:dyDescent="0.25">
      <c r="A1409" s="15" t="s">
        <v>4268</v>
      </c>
      <c r="B1409" s="15" t="s">
        <v>4267</v>
      </c>
      <c r="C1409" s="42">
        <v>6.8949999999999996</v>
      </c>
      <c r="D1409" s="25">
        <v>1.1805555555555555E-2</v>
      </c>
      <c r="E1409" s="43">
        <v>-12.029852999999999</v>
      </c>
      <c r="F1409" s="43">
        <v>-77.000964999999994</v>
      </c>
      <c r="G1409" s="43">
        <v>-12.043042</v>
      </c>
      <c r="H1409" s="43">
        <v>-77.028893999999994</v>
      </c>
      <c r="I1409" s="43">
        <v>-12.039042</v>
      </c>
      <c r="J1409" s="43">
        <v>-77.033036999999993</v>
      </c>
    </row>
    <row r="1410" spans="1:10" x14ac:dyDescent="0.25">
      <c r="A1410" s="15" t="s">
        <v>4268</v>
      </c>
      <c r="B1410" s="15" t="s">
        <v>4280</v>
      </c>
      <c r="C1410" s="40">
        <v>22.192</v>
      </c>
      <c r="D1410" s="29">
        <v>2.361111111111111E-2</v>
      </c>
      <c r="E1410" s="41">
        <v>-12.04261</v>
      </c>
      <c r="F1410" s="41">
        <v>-77.024235000000004</v>
      </c>
      <c r="G1410" s="41">
        <v>-12.100593</v>
      </c>
      <c r="H1410" s="41">
        <v>-77.026944999999998</v>
      </c>
      <c r="I1410" s="41">
        <v>-12.149248</v>
      </c>
      <c r="J1410" s="41">
        <v>-77.024454000000006</v>
      </c>
    </row>
    <row r="1411" spans="1:10" x14ac:dyDescent="0.25">
      <c r="A1411" s="15" t="s">
        <v>4268</v>
      </c>
      <c r="B1411" s="15" t="s">
        <v>4281</v>
      </c>
      <c r="C1411" s="42">
        <v>15.029</v>
      </c>
      <c r="D1411" s="25">
        <v>1.6666666666666666E-2</v>
      </c>
      <c r="E1411" s="43">
        <v>-12.033245000000001</v>
      </c>
      <c r="F1411" s="43">
        <v>-76.990701000000001</v>
      </c>
      <c r="G1411" s="43">
        <v>-12.069197000000001</v>
      </c>
      <c r="H1411" s="43">
        <v>-76.972356000000005</v>
      </c>
      <c r="I1411" s="43">
        <v>-12.082938</v>
      </c>
      <c r="J1411" s="43">
        <v>-76.969421999999994</v>
      </c>
    </row>
    <row r="1412" spans="1:10" x14ac:dyDescent="0.25">
      <c r="A1412" s="15" t="s">
        <v>4268</v>
      </c>
      <c r="B1412" s="15" t="s">
        <v>4296</v>
      </c>
      <c r="C1412" s="40">
        <v>9.6690000000000005</v>
      </c>
      <c r="D1412" s="29">
        <v>1.5277777777777777E-2</v>
      </c>
      <c r="E1412" s="41">
        <v>-12.030815</v>
      </c>
      <c r="F1412" s="41">
        <v>-77.003265999999996</v>
      </c>
      <c r="G1412" s="41">
        <v>-12.042573000000001</v>
      </c>
      <c r="H1412" s="41">
        <v>-77.024263000000005</v>
      </c>
      <c r="I1412" s="41">
        <v>-12.060452</v>
      </c>
      <c r="J1412" s="41">
        <v>-77.036019999999994</v>
      </c>
    </row>
    <row r="1413" spans="1:10" x14ac:dyDescent="0.25">
      <c r="A1413" s="15" t="s">
        <v>4268</v>
      </c>
      <c r="B1413" s="15" t="s">
        <v>4297</v>
      </c>
      <c r="C1413" s="42">
        <v>6.2119999999999997</v>
      </c>
      <c r="D1413" s="25">
        <v>1.1805555555555555E-2</v>
      </c>
      <c r="E1413" s="43">
        <v>-12.027825</v>
      </c>
      <c r="F1413" s="43">
        <v>-77.001154</v>
      </c>
      <c r="G1413" s="43">
        <v>-12.040457</v>
      </c>
      <c r="H1413" s="43">
        <v>-76.997595000000004</v>
      </c>
      <c r="I1413" s="43">
        <v>-12.059170999999999</v>
      </c>
      <c r="J1413" s="43">
        <v>-77.008078999999995</v>
      </c>
    </row>
    <row r="1414" spans="1:10" x14ac:dyDescent="0.25">
      <c r="A1414" s="15" t="s">
        <v>4268</v>
      </c>
      <c r="B1414" s="15" t="s">
        <v>4298</v>
      </c>
      <c r="C1414" s="40">
        <v>14.329000000000001</v>
      </c>
      <c r="D1414" s="29">
        <v>1.6666666666666666E-2</v>
      </c>
      <c r="E1414" s="41">
        <v>-12.033364000000001</v>
      </c>
      <c r="F1414" s="41">
        <v>-77.007960999999995</v>
      </c>
      <c r="G1414" s="41">
        <v>-12.05495</v>
      </c>
      <c r="H1414" s="41">
        <v>-77.030555000000007</v>
      </c>
      <c r="I1414" s="41">
        <v>-12.08808</v>
      </c>
      <c r="J1414" s="41">
        <v>-77.024433000000002</v>
      </c>
    </row>
    <row r="1415" spans="1:10" x14ac:dyDescent="0.25">
      <c r="A1415" s="15" t="s">
        <v>4268</v>
      </c>
      <c r="B1415" s="15" t="s">
        <v>4299</v>
      </c>
      <c r="C1415" s="42">
        <v>14.484</v>
      </c>
      <c r="D1415" s="25">
        <v>1.7361111111111112E-2</v>
      </c>
      <c r="E1415" s="43">
        <v>-12.034475</v>
      </c>
      <c r="F1415" s="43">
        <v>-77.009604999999993</v>
      </c>
      <c r="G1415" s="43">
        <v>-12.054465</v>
      </c>
      <c r="H1415" s="43">
        <v>-77.031347999999994</v>
      </c>
      <c r="I1415" s="43">
        <v>-12.090925</v>
      </c>
      <c r="J1415" s="43">
        <v>-77.022936000000001</v>
      </c>
    </row>
    <row r="1416" spans="1:10" x14ac:dyDescent="0.25">
      <c r="A1416" s="15" t="s">
        <v>4268</v>
      </c>
      <c r="B1416" s="15" t="s">
        <v>4300</v>
      </c>
      <c r="C1416" s="40">
        <v>11.837</v>
      </c>
      <c r="D1416" s="29">
        <v>1.2500000000000001E-2</v>
      </c>
      <c r="E1416" s="41">
        <v>-12.029299999999999</v>
      </c>
      <c r="F1416" s="41">
        <v>-76.997405999999998</v>
      </c>
      <c r="G1416" s="41">
        <v>-12.052004</v>
      </c>
      <c r="H1416" s="41">
        <v>-76.976377999999997</v>
      </c>
      <c r="I1416" s="41">
        <v>-12.079006</v>
      </c>
      <c r="J1416" s="41">
        <v>-76.976590999999999</v>
      </c>
    </row>
    <row r="1417" spans="1:10" x14ac:dyDescent="0.25">
      <c r="A1417" s="15" t="s">
        <v>4268</v>
      </c>
      <c r="B1417" s="15" t="s">
        <v>4301</v>
      </c>
      <c r="C1417" s="42">
        <v>20.963999999999999</v>
      </c>
      <c r="D1417" s="25">
        <v>1.8749999999999999E-2</v>
      </c>
      <c r="E1417" s="43">
        <v>-12.029852999999999</v>
      </c>
      <c r="F1417" s="43">
        <v>-77.000964999999994</v>
      </c>
      <c r="G1417" s="43">
        <v>-12.042987999999999</v>
      </c>
      <c r="H1417" s="43">
        <v>-77.029161999999999</v>
      </c>
      <c r="I1417" s="43">
        <v>-12.031039</v>
      </c>
      <c r="J1417" s="43">
        <v>-77.056336000000002</v>
      </c>
    </row>
    <row r="1418" spans="1:10" x14ac:dyDescent="0.25">
      <c r="A1418" s="15" t="s">
        <v>4268</v>
      </c>
      <c r="B1418" s="15" t="s">
        <v>4302</v>
      </c>
      <c r="C1418" s="40">
        <v>12.621</v>
      </c>
      <c r="D1418" s="29">
        <v>1.3194444444444444E-2</v>
      </c>
      <c r="E1418" s="41">
        <v>-12.029169</v>
      </c>
      <c r="F1418" s="41">
        <v>-76.996744000000007</v>
      </c>
      <c r="G1418" s="41">
        <v>-12.058089000000001</v>
      </c>
      <c r="H1418" s="41">
        <v>-76.973586999999995</v>
      </c>
      <c r="I1418" s="41">
        <v>-12.083377</v>
      </c>
      <c r="J1418" s="41">
        <v>-76.98075</v>
      </c>
    </row>
    <row r="1419" spans="1:10" x14ac:dyDescent="0.25">
      <c r="A1419" s="15" t="s">
        <v>4268</v>
      </c>
      <c r="B1419" s="15" t="s">
        <v>4303</v>
      </c>
      <c r="C1419" s="42">
        <v>6.4619999999999997</v>
      </c>
      <c r="D1419" s="25">
        <v>1.2500000000000001E-2</v>
      </c>
      <c r="E1419" s="43">
        <v>-12.027825</v>
      </c>
      <c r="F1419" s="43">
        <v>-77.001154</v>
      </c>
      <c r="G1419" s="43">
        <v>-12.040457</v>
      </c>
      <c r="H1419" s="43">
        <v>-76.997595000000004</v>
      </c>
      <c r="I1419" s="43">
        <v>-12.059170999999999</v>
      </c>
      <c r="J1419" s="43">
        <v>-77.008078999999995</v>
      </c>
    </row>
    <row r="1420" spans="1:10" x14ac:dyDescent="0.25">
      <c r="A1420" s="15" t="s">
        <v>4268</v>
      </c>
      <c r="B1420" s="15" t="s">
        <v>4304</v>
      </c>
      <c r="C1420" s="40">
        <v>6.9139999999999997</v>
      </c>
      <c r="D1420" s="29">
        <v>1.2500000000000001E-2</v>
      </c>
      <c r="E1420" s="41">
        <v>-12.027737</v>
      </c>
      <c r="F1420" s="41">
        <v>-77.001185000000007</v>
      </c>
      <c r="G1420" s="41">
        <v>-12.040231</v>
      </c>
      <c r="H1420" s="41">
        <v>-76.997750999999994</v>
      </c>
      <c r="I1420" s="41">
        <v>-12.055196</v>
      </c>
      <c r="J1420" s="41">
        <v>-77.004514</v>
      </c>
    </row>
    <row r="1421" spans="1:10" x14ac:dyDescent="0.25">
      <c r="A1421" s="15" t="s">
        <v>4268</v>
      </c>
      <c r="B1421" s="15" t="s">
        <v>4269</v>
      </c>
      <c r="C1421" s="42">
        <v>17.172999999999998</v>
      </c>
      <c r="D1421" s="25">
        <v>2.2222222222222223E-2</v>
      </c>
      <c r="E1421" s="43">
        <v>-12.038166</v>
      </c>
      <c r="F1421" s="43">
        <v>-77.013807999999997</v>
      </c>
      <c r="G1421" s="43">
        <v>-12.036714999999999</v>
      </c>
      <c r="H1421" s="43">
        <v>-77.056535999999994</v>
      </c>
      <c r="I1421" s="43">
        <v>-12.055239</v>
      </c>
      <c r="J1421" s="43">
        <v>-77.078063</v>
      </c>
    </row>
    <row r="1422" spans="1:10" x14ac:dyDescent="0.25">
      <c r="A1422" s="15" t="s">
        <v>4268</v>
      </c>
      <c r="B1422" s="15" t="s">
        <v>4305</v>
      </c>
      <c r="C1422" s="40">
        <v>9.5289999999999999</v>
      </c>
      <c r="D1422" s="29">
        <v>1.2500000000000001E-2</v>
      </c>
      <c r="E1422" s="41">
        <v>-12.029324000000001</v>
      </c>
      <c r="F1422" s="41">
        <v>-77.000483000000003</v>
      </c>
      <c r="G1422" s="41">
        <v>-12.042923999999999</v>
      </c>
      <c r="H1422" s="41">
        <v>-77.022464999999997</v>
      </c>
      <c r="I1422" s="41">
        <v>-12.037134999999999</v>
      </c>
      <c r="J1422" s="41">
        <v>-77.041436000000004</v>
      </c>
    </row>
    <row r="1423" spans="1:10" x14ac:dyDescent="0.25">
      <c r="A1423" s="15" t="s">
        <v>4268</v>
      </c>
      <c r="B1423" s="15" t="s">
        <v>4306</v>
      </c>
      <c r="C1423" s="42">
        <v>14.494999999999999</v>
      </c>
      <c r="D1423" s="25">
        <v>1.3194444444444444E-2</v>
      </c>
      <c r="E1423" s="43">
        <v>-12.029299999999999</v>
      </c>
      <c r="F1423" s="43">
        <v>-76.997405999999998</v>
      </c>
      <c r="G1423" s="43">
        <v>-12.052004</v>
      </c>
      <c r="H1423" s="43">
        <v>-76.976377999999997</v>
      </c>
      <c r="I1423" s="43">
        <v>-12.079006</v>
      </c>
      <c r="J1423" s="43">
        <v>-76.976590999999999</v>
      </c>
    </row>
    <row r="1424" spans="1:10" x14ac:dyDescent="0.25">
      <c r="A1424" s="15" t="s">
        <v>4268</v>
      </c>
      <c r="B1424" s="15" t="s">
        <v>4277</v>
      </c>
      <c r="C1424" s="40">
        <v>15.768000000000001</v>
      </c>
      <c r="D1424" s="29">
        <v>1.5277777777777777E-2</v>
      </c>
      <c r="E1424" s="41">
        <v>-12.029169</v>
      </c>
      <c r="F1424" s="41">
        <v>-76.996744000000007</v>
      </c>
      <c r="G1424" s="41">
        <v>-12.058089000000001</v>
      </c>
      <c r="H1424" s="41">
        <v>-76.973586999999995</v>
      </c>
      <c r="I1424" s="41">
        <v>-12.083377</v>
      </c>
      <c r="J1424" s="41">
        <v>-76.98075</v>
      </c>
    </row>
    <row r="1425" spans="1:10" x14ac:dyDescent="0.25">
      <c r="A1425" s="15" t="s">
        <v>4268</v>
      </c>
      <c r="B1425" s="15" t="s">
        <v>4307</v>
      </c>
      <c r="C1425" s="42">
        <v>5.2889999999999997</v>
      </c>
      <c r="D1425" s="25">
        <v>1.0416666666666666E-2</v>
      </c>
      <c r="E1425" s="43">
        <v>-12.027825</v>
      </c>
      <c r="F1425" s="43">
        <v>-77.001154</v>
      </c>
      <c r="G1425" s="43">
        <v>-12.040324</v>
      </c>
      <c r="H1425" s="43">
        <v>-76.997552999999996</v>
      </c>
      <c r="I1425" s="43">
        <v>-12.039598</v>
      </c>
      <c r="J1425" s="43">
        <v>-76.987898000000001</v>
      </c>
    </row>
    <row r="1426" spans="1:10" x14ac:dyDescent="0.25">
      <c r="A1426" s="15" t="s">
        <v>4268</v>
      </c>
      <c r="B1426" s="15" t="s">
        <v>4308</v>
      </c>
      <c r="C1426" s="40">
        <v>17.254000000000001</v>
      </c>
      <c r="D1426" s="29">
        <v>2.0833333333333332E-2</v>
      </c>
      <c r="E1426" s="41">
        <v>-12.033958999999999</v>
      </c>
      <c r="F1426" s="41">
        <v>-77.008855999999994</v>
      </c>
      <c r="G1426" s="41">
        <v>-12.042306999999999</v>
      </c>
      <c r="H1426" s="41">
        <v>-77.031937999999997</v>
      </c>
      <c r="I1426" s="41">
        <v>-12.034960999999999</v>
      </c>
      <c r="J1426" s="41">
        <v>-77.073317000000003</v>
      </c>
    </row>
    <row r="1427" spans="1:10" x14ac:dyDescent="0.25">
      <c r="A1427" s="15" t="s">
        <v>4268</v>
      </c>
      <c r="B1427" s="15" t="s">
        <v>4309</v>
      </c>
      <c r="C1427" s="42">
        <v>9.3010000000000002</v>
      </c>
      <c r="D1427" s="25">
        <v>1.3194444444444444E-2</v>
      </c>
      <c r="E1427" s="43">
        <v>-12.029242</v>
      </c>
      <c r="F1427" s="43">
        <v>-77.000496999999996</v>
      </c>
      <c r="G1427" s="43">
        <v>-12.041183999999999</v>
      </c>
      <c r="H1427" s="43">
        <v>-77.018489000000002</v>
      </c>
      <c r="I1427" s="43">
        <v>-12.043229</v>
      </c>
      <c r="J1427" s="43">
        <v>-77.024353000000005</v>
      </c>
    </row>
    <row r="1428" spans="1:10" x14ac:dyDescent="0.25">
      <c r="A1428" s="15" t="s">
        <v>4268</v>
      </c>
      <c r="B1428" s="15" t="s">
        <v>4278</v>
      </c>
      <c r="C1428" s="40">
        <v>12.513</v>
      </c>
      <c r="D1428" s="29">
        <v>1.3194444444444444E-2</v>
      </c>
      <c r="E1428" s="41">
        <v>-12.029852999999999</v>
      </c>
      <c r="F1428" s="41">
        <v>-77.000964999999994</v>
      </c>
      <c r="G1428" s="41">
        <v>-12.042907</v>
      </c>
      <c r="H1428" s="41">
        <v>-77.029464000000004</v>
      </c>
      <c r="I1428" s="41">
        <v>-12.029108000000001</v>
      </c>
      <c r="J1428" s="41">
        <v>-77.057633999999993</v>
      </c>
    </row>
    <row r="1429" spans="1:10" x14ac:dyDescent="0.25">
      <c r="A1429" s="15" t="s">
        <v>4268</v>
      </c>
      <c r="B1429" s="15" t="s">
        <v>4310</v>
      </c>
      <c r="C1429" s="42">
        <v>0.39500000000000002</v>
      </c>
      <c r="D1429" s="25">
        <v>1.3888888888888889E-3</v>
      </c>
      <c r="E1429" s="43">
        <v>-12.025242</v>
      </c>
      <c r="F1429" s="43">
        <v>-76.999787999999995</v>
      </c>
      <c r="G1429" s="43">
        <v>-12.025067</v>
      </c>
      <c r="H1429" s="43">
        <v>-76.999018000000007</v>
      </c>
      <c r="I1429" s="43">
        <v>-12.024940000000001</v>
      </c>
      <c r="J1429" s="43">
        <v>-76.998495000000005</v>
      </c>
    </row>
    <row r="1430" spans="1:10" x14ac:dyDescent="0.25">
      <c r="A1430" s="15" t="s">
        <v>4268</v>
      </c>
      <c r="B1430" s="15" t="s">
        <v>4311</v>
      </c>
      <c r="C1430" s="40">
        <v>8.3740000000000006</v>
      </c>
      <c r="D1430" s="29">
        <v>1.3194444444444444E-2</v>
      </c>
      <c r="E1430" s="41">
        <v>-12.029324000000001</v>
      </c>
      <c r="F1430" s="41">
        <v>-77.000483000000003</v>
      </c>
      <c r="G1430" s="41">
        <v>-12.043148</v>
      </c>
      <c r="H1430" s="41">
        <v>-77.023544000000001</v>
      </c>
      <c r="I1430" s="41">
        <v>-12.058935999999999</v>
      </c>
      <c r="J1430" s="41">
        <v>-77.029936000000006</v>
      </c>
    </row>
    <row r="1431" spans="1:10" x14ac:dyDescent="0.25">
      <c r="A1431" s="15" t="s">
        <v>4268</v>
      </c>
      <c r="B1431" s="15" t="s">
        <v>4312</v>
      </c>
      <c r="C1431" s="42">
        <v>6.4210000000000003</v>
      </c>
      <c r="D1431" s="25">
        <v>1.2500000000000001E-2</v>
      </c>
      <c r="E1431" s="43">
        <v>-12.027825</v>
      </c>
      <c r="F1431" s="43">
        <v>-77.001154</v>
      </c>
      <c r="G1431" s="43">
        <v>-12.040457</v>
      </c>
      <c r="H1431" s="43">
        <v>-76.997595000000004</v>
      </c>
      <c r="I1431" s="43">
        <v>-12.059170999999999</v>
      </c>
      <c r="J1431" s="43">
        <v>-77.008078999999995</v>
      </c>
    </row>
    <row r="1432" spans="1:10" x14ac:dyDescent="0.25">
      <c r="A1432" s="15" t="s">
        <v>4268</v>
      </c>
      <c r="B1432" s="15" t="s">
        <v>4313</v>
      </c>
      <c r="C1432" s="40">
        <v>9.7810000000000006</v>
      </c>
      <c r="D1432" s="29">
        <v>1.5277777777777777E-2</v>
      </c>
      <c r="E1432" s="41">
        <v>-12.031862</v>
      </c>
      <c r="F1432" s="41">
        <v>-77.005296999999999</v>
      </c>
      <c r="G1432" s="41">
        <v>-12.043229</v>
      </c>
      <c r="H1432" s="41">
        <v>-77.024353000000005</v>
      </c>
      <c r="I1432" s="41">
        <v>-12.063814000000001</v>
      </c>
      <c r="J1432" s="41">
        <v>-77.034717999999998</v>
      </c>
    </row>
    <row r="1433" spans="1:10" x14ac:dyDescent="0.25">
      <c r="A1433" s="15" t="s">
        <v>4268</v>
      </c>
      <c r="B1433" s="15" t="s">
        <v>4314</v>
      </c>
      <c r="C1433" s="42">
        <v>15.663</v>
      </c>
      <c r="D1433" s="25">
        <v>1.9444444444444445E-2</v>
      </c>
      <c r="E1433" s="43">
        <v>-12.037084</v>
      </c>
      <c r="F1433" s="43">
        <v>-77.013229999999993</v>
      </c>
      <c r="G1433" s="43">
        <v>-12.036118</v>
      </c>
      <c r="H1433" s="43">
        <v>-77.050306000000006</v>
      </c>
      <c r="I1433" s="43">
        <v>-12.049764</v>
      </c>
      <c r="J1433" s="43">
        <v>-77.078265999999999</v>
      </c>
    </row>
    <row r="1434" spans="1:10" x14ac:dyDescent="0.25">
      <c r="A1434" s="15" t="s">
        <v>4268</v>
      </c>
      <c r="B1434" s="15" t="s">
        <v>4315</v>
      </c>
      <c r="C1434" s="40">
        <v>13.044</v>
      </c>
      <c r="D1434" s="29">
        <v>1.3888888888888888E-2</v>
      </c>
      <c r="E1434" s="41">
        <v>-12.029169</v>
      </c>
      <c r="F1434" s="41">
        <v>-76.996744000000007</v>
      </c>
      <c r="G1434" s="41">
        <v>-12.058089000000001</v>
      </c>
      <c r="H1434" s="41">
        <v>-76.973586999999995</v>
      </c>
      <c r="I1434" s="41">
        <v>-12.084585000000001</v>
      </c>
      <c r="J1434" s="41">
        <v>-76.981942000000004</v>
      </c>
    </row>
    <row r="1435" spans="1:10" x14ac:dyDescent="0.25">
      <c r="A1435" s="15" t="s">
        <v>4268</v>
      </c>
      <c r="B1435" s="15" t="s">
        <v>4316</v>
      </c>
      <c r="C1435" s="42">
        <v>17.515999999999998</v>
      </c>
      <c r="D1435" s="25">
        <v>1.8749999999999999E-2</v>
      </c>
      <c r="E1435" s="43">
        <v>-12.029169</v>
      </c>
      <c r="F1435" s="43">
        <v>-76.996744000000007</v>
      </c>
      <c r="G1435" s="43">
        <v>-12.058089000000001</v>
      </c>
      <c r="H1435" s="43">
        <v>-76.973586999999995</v>
      </c>
      <c r="I1435" s="43">
        <v>-12.083377</v>
      </c>
      <c r="J1435" s="43">
        <v>-76.98075</v>
      </c>
    </row>
    <row r="1436" spans="1:10" x14ac:dyDescent="0.25">
      <c r="A1436" s="15" t="s">
        <v>4268</v>
      </c>
      <c r="B1436" s="15" t="s">
        <v>4317</v>
      </c>
      <c r="C1436" s="40">
        <v>19.780999999999999</v>
      </c>
      <c r="D1436" s="29">
        <v>1.8749999999999999E-2</v>
      </c>
      <c r="E1436" s="41">
        <v>-12.031952</v>
      </c>
      <c r="F1436" s="41">
        <v>-76.991851999999994</v>
      </c>
      <c r="G1436" s="41">
        <v>-12.067679999999999</v>
      </c>
      <c r="H1436" s="41">
        <v>-76.971858999999995</v>
      </c>
      <c r="I1436" s="41">
        <v>-12.136905</v>
      </c>
      <c r="J1436" s="41">
        <v>-76.980447999999996</v>
      </c>
    </row>
    <row r="1437" spans="1:10" x14ac:dyDescent="0.25">
      <c r="A1437" s="15" t="s">
        <v>4268</v>
      </c>
      <c r="B1437" s="15" t="s">
        <v>4318</v>
      </c>
      <c r="C1437" s="42">
        <v>12.039</v>
      </c>
      <c r="D1437" s="25">
        <v>1.2500000000000001E-2</v>
      </c>
      <c r="E1437" s="43">
        <v>-12.029169</v>
      </c>
      <c r="F1437" s="43">
        <v>-76.996744000000007</v>
      </c>
      <c r="G1437" s="43">
        <v>-12.058089000000001</v>
      </c>
      <c r="H1437" s="43">
        <v>-76.973586999999995</v>
      </c>
      <c r="I1437" s="43">
        <v>-12.083377</v>
      </c>
      <c r="J1437" s="43">
        <v>-76.98075</v>
      </c>
    </row>
    <row r="1438" spans="1:10" x14ac:dyDescent="0.25">
      <c r="A1438" s="15" t="s">
        <v>4268</v>
      </c>
      <c r="B1438" s="15" t="s">
        <v>4319</v>
      </c>
      <c r="C1438" s="40">
        <v>12.36</v>
      </c>
      <c r="D1438" s="29">
        <v>1.3888888888888888E-2</v>
      </c>
      <c r="E1438" s="41">
        <v>-12.029299999999999</v>
      </c>
      <c r="F1438" s="41">
        <v>-76.997405999999998</v>
      </c>
      <c r="G1438" s="41">
        <v>-12.052004</v>
      </c>
      <c r="H1438" s="41">
        <v>-76.976377999999997</v>
      </c>
      <c r="I1438" s="41">
        <v>-12.079006</v>
      </c>
      <c r="J1438" s="41">
        <v>-76.976590999999999</v>
      </c>
    </row>
    <row r="1439" spans="1:10" x14ac:dyDescent="0.25">
      <c r="A1439" s="15" t="s">
        <v>4268</v>
      </c>
      <c r="B1439" s="15" t="s">
        <v>4279</v>
      </c>
      <c r="C1439" s="42">
        <v>14.494</v>
      </c>
      <c r="D1439" s="25">
        <v>1.5972222222222221E-2</v>
      </c>
      <c r="E1439" s="43">
        <v>-12.032476000000001</v>
      </c>
      <c r="F1439" s="43">
        <v>-77.006474999999995</v>
      </c>
      <c r="G1439" s="43">
        <v>-12.043193</v>
      </c>
      <c r="H1439" s="43">
        <v>-77.029883999999996</v>
      </c>
      <c r="I1439" s="43">
        <v>-12.035050999999999</v>
      </c>
      <c r="J1439" s="43">
        <v>-77.073762000000002</v>
      </c>
    </row>
    <row r="1440" spans="1:10" x14ac:dyDescent="0.25">
      <c r="A1440" s="15" t="s">
        <v>4268</v>
      </c>
      <c r="B1440" s="15" t="s">
        <v>4320</v>
      </c>
      <c r="C1440" s="40">
        <v>6.4669999999999996</v>
      </c>
      <c r="D1440" s="29">
        <v>9.0277777777777769E-3</v>
      </c>
      <c r="E1440" s="41">
        <v>-12.030167</v>
      </c>
      <c r="F1440" s="41">
        <v>-76.999864000000002</v>
      </c>
      <c r="G1440" s="41">
        <v>-12.034058</v>
      </c>
      <c r="H1440" s="41">
        <v>-76.990100999999996</v>
      </c>
      <c r="I1440" s="41">
        <v>-12.056775999999999</v>
      </c>
      <c r="J1440" s="41">
        <v>-76.974525999999997</v>
      </c>
    </row>
    <row r="1441" spans="1:10" x14ac:dyDescent="0.25">
      <c r="A1441" s="15" t="s">
        <v>4268</v>
      </c>
      <c r="B1441" s="15" t="s">
        <v>4321</v>
      </c>
      <c r="C1441" s="42">
        <v>26.856000000000002</v>
      </c>
      <c r="D1441" s="25">
        <v>2.7083333333333334E-2</v>
      </c>
      <c r="E1441" s="43">
        <v>-12.033364000000001</v>
      </c>
      <c r="F1441" s="43">
        <v>-77.007960999999995</v>
      </c>
      <c r="G1441" s="43">
        <v>-12.035731999999999</v>
      </c>
      <c r="H1441" s="43">
        <v>-77.046904999999995</v>
      </c>
      <c r="I1441" s="43">
        <v>-11.914160000000001</v>
      </c>
      <c r="J1441" s="43">
        <v>-77.073823000000004</v>
      </c>
    </row>
    <row r="1442" spans="1:10" x14ac:dyDescent="0.25">
      <c r="A1442" s="15" t="s">
        <v>4268</v>
      </c>
      <c r="B1442" s="15" t="s">
        <v>4322</v>
      </c>
      <c r="C1442" s="40">
        <v>29.103000000000002</v>
      </c>
      <c r="D1442" s="29">
        <v>2.4305555555555556E-2</v>
      </c>
      <c r="E1442" s="41">
        <v>-12.033245000000001</v>
      </c>
      <c r="F1442" s="41">
        <v>-76.990701000000001</v>
      </c>
      <c r="G1442" s="41">
        <v>-12.069197000000001</v>
      </c>
      <c r="H1442" s="41">
        <v>-76.972356000000005</v>
      </c>
      <c r="I1442" s="41">
        <v>-12.153060999999999</v>
      </c>
      <c r="J1442" s="41">
        <v>-76.983917000000005</v>
      </c>
    </row>
    <row r="1443" spans="1:10" x14ac:dyDescent="0.25">
      <c r="A1443" s="15" t="s">
        <v>4268</v>
      </c>
      <c r="B1443" s="15" t="s">
        <v>4323</v>
      </c>
      <c r="C1443" s="42">
        <v>21.977</v>
      </c>
      <c r="D1443" s="25">
        <v>2.1527777777777778E-2</v>
      </c>
      <c r="E1443" s="43">
        <v>-12.036507</v>
      </c>
      <c r="F1443" s="43">
        <v>-76.989037999999994</v>
      </c>
      <c r="G1443" s="43">
        <v>-12.080036</v>
      </c>
      <c r="H1443" s="43">
        <v>-76.977311999999998</v>
      </c>
      <c r="I1443" s="43">
        <v>-12.169637</v>
      </c>
      <c r="J1443" s="43">
        <v>-76.980304000000004</v>
      </c>
    </row>
    <row r="1444" spans="1:10" x14ac:dyDescent="0.25">
      <c r="A1444" s="15" t="s">
        <v>4268</v>
      </c>
      <c r="B1444" s="15" t="s">
        <v>4324</v>
      </c>
      <c r="C1444" s="40">
        <v>12.522</v>
      </c>
      <c r="D1444" s="29">
        <v>1.7361111111111112E-2</v>
      </c>
      <c r="E1444" s="41">
        <v>-12.032476000000001</v>
      </c>
      <c r="F1444" s="41">
        <v>-77.006474999999995</v>
      </c>
      <c r="G1444" s="41">
        <v>-12.037883000000001</v>
      </c>
      <c r="H1444" s="41">
        <v>-77.038887000000003</v>
      </c>
      <c r="I1444" s="41">
        <v>-12.047427000000001</v>
      </c>
      <c r="J1444" s="41">
        <v>-77.053888999999998</v>
      </c>
    </row>
    <row r="1445" spans="1:10" x14ac:dyDescent="0.25">
      <c r="A1445" s="15" t="s">
        <v>4268</v>
      </c>
      <c r="B1445" s="15" t="s">
        <v>4325</v>
      </c>
      <c r="C1445" s="42">
        <v>20.021000000000001</v>
      </c>
      <c r="D1445" s="25">
        <v>2.361111111111111E-2</v>
      </c>
      <c r="E1445" s="43">
        <v>-12.039477</v>
      </c>
      <c r="F1445" s="43">
        <v>-76.988256000000007</v>
      </c>
      <c r="G1445" s="43">
        <v>-12.084585000000001</v>
      </c>
      <c r="H1445" s="43">
        <v>-76.981942000000004</v>
      </c>
      <c r="I1445" s="43">
        <v>-12.144221</v>
      </c>
      <c r="J1445" s="43">
        <v>-76.965073000000004</v>
      </c>
    </row>
    <row r="1446" spans="1:10" x14ac:dyDescent="0.25">
      <c r="A1446" s="6" t="s">
        <v>4268</v>
      </c>
      <c r="B1446" s="6" t="s">
        <v>4268</v>
      </c>
      <c r="C1446" s="38">
        <v>0</v>
      </c>
      <c r="D1446" s="27">
        <v>0</v>
      </c>
      <c r="E1446" s="39" t="e">
        <f>'1 ubicaciones'!#REF!</f>
        <v>#REF!</v>
      </c>
      <c r="F1446" s="39" t="e">
        <f>'1 ubicaciones'!#REF!</f>
        <v>#REF!</v>
      </c>
      <c r="G1446" s="39" t="e">
        <f>'1 ubicaciones'!#REF!</f>
        <v>#REF!</v>
      </c>
      <c r="H1446" s="39" t="e">
        <f>'1 ubicaciones'!#REF!</f>
        <v>#REF!</v>
      </c>
      <c r="I1446" s="39" t="e">
        <f>'1 ubicaciones'!#REF!</f>
        <v>#REF!</v>
      </c>
      <c r="J1446" s="39" t="e">
        <f>'1 ubicaciones'!#REF!</f>
        <v>#REF!</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83652-6A1B-4B01-A022-4CACE6EA0D07}">
  <dimension ref="A1:M26"/>
  <sheetViews>
    <sheetView topLeftCell="A3" workbookViewId="0">
      <selection activeCell="H3" sqref="H3:H25"/>
    </sheetView>
  </sheetViews>
  <sheetFormatPr baseColWidth="10" defaultRowHeight="15" x14ac:dyDescent="0.25"/>
  <cols>
    <col min="1" max="1" width="15.140625" bestFit="1" customWidth="1"/>
    <col min="2" max="2" width="14.7109375" bestFit="1" customWidth="1"/>
    <col min="3" max="3" width="9.7109375" bestFit="1" customWidth="1"/>
    <col min="4" max="4" width="16.85546875" bestFit="1" customWidth="1"/>
    <col min="5" max="5" width="26.140625" bestFit="1" customWidth="1"/>
    <col min="6" max="6" width="22.85546875" bestFit="1" customWidth="1"/>
    <col min="7" max="7" width="16.7109375" bestFit="1" customWidth="1"/>
    <col min="8" max="8" width="22.28515625" bestFit="1" customWidth="1"/>
    <col min="9" max="9" width="28.28515625" bestFit="1" customWidth="1"/>
    <col min="10" max="10" width="24.42578125" bestFit="1" customWidth="1"/>
    <col min="11" max="11" width="20.85546875" bestFit="1" customWidth="1"/>
    <col min="12" max="12" width="12" hidden="1" customWidth="1"/>
    <col min="13" max="13" width="18.85546875" bestFit="1" customWidth="1"/>
  </cols>
  <sheetData>
    <row r="1" spans="1:13" x14ac:dyDescent="0.25">
      <c r="A1" s="19" t="s">
        <v>1411</v>
      </c>
      <c r="B1" s="19" t="s">
        <v>1430</v>
      </c>
      <c r="C1" s="19" t="s">
        <v>846</v>
      </c>
      <c r="D1" s="19" t="s">
        <v>875</v>
      </c>
      <c r="E1" s="19" t="s">
        <v>847</v>
      </c>
      <c r="F1" s="19" t="s">
        <v>869</v>
      </c>
      <c r="G1" s="19" t="s">
        <v>858</v>
      </c>
      <c r="H1" s="19" t="s">
        <v>1449</v>
      </c>
      <c r="I1" s="19" t="s">
        <v>866</v>
      </c>
      <c r="J1" s="19" t="s">
        <v>1451</v>
      </c>
      <c r="K1" s="19" t="s">
        <v>1402</v>
      </c>
      <c r="L1" s="19" t="s">
        <v>853</v>
      </c>
      <c r="M1" s="19" t="s">
        <v>1386</v>
      </c>
    </row>
    <row r="2" spans="1:13" x14ac:dyDescent="0.25">
      <c r="A2" s="93" t="s">
        <v>4267</v>
      </c>
      <c r="B2" s="16" t="s">
        <v>4283</v>
      </c>
      <c r="C2" s="16">
        <v>1</v>
      </c>
      <c r="D2" s="80">
        <v>0</v>
      </c>
      <c r="E2" s="80">
        <v>1</v>
      </c>
      <c r="F2" s="80">
        <v>1</v>
      </c>
      <c r="G2" s="80">
        <v>560</v>
      </c>
      <c r="H2" s="81">
        <v>0.375</v>
      </c>
      <c r="I2" s="82">
        <v>0.375</v>
      </c>
      <c r="J2" s="82">
        <v>0.41666666666666669</v>
      </c>
      <c r="K2" s="16" t="s">
        <v>4267</v>
      </c>
      <c r="L2" s="83" t="str">
        <f>IFERROR(MATCH(K2,'1 ubicaciones'!$B$2:$B$4,0) - 1," ")</f>
        <v xml:space="preserve"> </v>
      </c>
      <c r="M2" s="16">
        <v>1</v>
      </c>
    </row>
    <row r="3" spans="1:13" x14ac:dyDescent="0.25">
      <c r="A3" s="93"/>
      <c r="B3" s="15" t="s">
        <v>4284</v>
      </c>
      <c r="C3" s="15">
        <v>1</v>
      </c>
      <c r="D3" s="47">
        <v>0</v>
      </c>
      <c r="E3" s="47">
        <v>1</v>
      </c>
      <c r="F3" s="47">
        <v>1</v>
      </c>
      <c r="G3" s="47">
        <v>560</v>
      </c>
      <c r="H3" s="84">
        <v>0.375</v>
      </c>
      <c r="I3" s="48">
        <v>0.375</v>
      </c>
      <c r="J3" s="48">
        <v>0.41666666666666669</v>
      </c>
      <c r="K3" s="15" t="s">
        <v>4267</v>
      </c>
      <c r="L3" s="49" t="str">
        <f>IFERROR(MATCH(K3,'1 ubicaciones'!$B$2:$B$4,0) - 1," ")</f>
        <v xml:space="preserve"> </v>
      </c>
      <c r="M3" s="15">
        <v>1</v>
      </c>
    </row>
    <row r="4" spans="1:13" x14ac:dyDescent="0.25">
      <c r="A4" s="93"/>
      <c r="B4" s="15" t="s">
        <v>4285</v>
      </c>
      <c r="C4" s="15">
        <v>1</v>
      </c>
      <c r="D4" s="47">
        <v>0</v>
      </c>
      <c r="E4" s="47">
        <v>1</v>
      </c>
      <c r="F4" s="47">
        <v>1</v>
      </c>
      <c r="G4" s="47">
        <v>560</v>
      </c>
      <c r="H4" s="84">
        <v>0.375</v>
      </c>
      <c r="I4" s="48">
        <v>0.375</v>
      </c>
      <c r="J4" s="48">
        <v>0.41666666666666669</v>
      </c>
      <c r="K4" s="15" t="s">
        <v>4267</v>
      </c>
      <c r="L4" s="49" t="str">
        <f>IFERROR(MATCH(K4,'1 ubicaciones'!$B$2:$B$4,0) - 1," ")</f>
        <v xml:space="preserve"> </v>
      </c>
      <c r="M4" s="15">
        <v>1</v>
      </c>
    </row>
    <row r="5" spans="1:13" x14ac:dyDescent="0.25">
      <c r="A5" s="93"/>
      <c r="B5" s="15" t="s">
        <v>4286</v>
      </c>
      <c r="C5" s="15">
        <v>1</v>
      </c>
      <c r="D5" s="47">
        <v>0</v>
      </c>
      <c r="E5" s="47">
        <v>1</v>
      </c>
      <c r="F5" s="47">
        <v>1</v>
      </c>
      <c r="G5" s="47">
        <v>560</v>
      </c>
      <c r="H5" s="84">
        <v>0.375</v>
      </c>
      <c r="I5" s="48">
        <v>0.375</v>
      </c>
      <c r="J5" s="48">
        <v>0.41666666666666669</v>
      </c>
      <c r="K5" s="15" t="s">
        <v>4267</v>
      </c>
      <c r="L5" s="49" t="str">
        <f>IFERROR(MATCH(K5,'1 ubicaciones'!$B$2:$B$4,0) - 1," ")</f>
        <v xml:space="preserve"> </v>
      </c>
      <c r="M5" s="15">
        <v>1</v>
      </c>
    </row>
    <row r="6" spans="1:13" x14ac:dyDescent="0.25">
      <c r="A6" s="93"/>
      <c r="B6" s="15" t="s">
        <v>4287</v>
      </c>
      <c r="C6" s="15">
        <v>1</v>
      </c>
      <c r="D6" s="47">
        <v>0</v>
      </c>
      <c r="E6" s="47">
        <v>1</v>
      </c>
      <c r="F6" s="47">
        <v>1</v>
      </c>
      <c r="G6" s="47">
        <v>560</v>
      </c>
      <c r="H6" s="84">
        <v>0.375</v>
      </c>
      <c r="I6" s="48">
        <v>0.375</v>
      </c>
      <c r="J6" s="48">
        <v>0.41666666666666669</v>
      </c>
      <c r="K6" s="15" t="s">
        <v>4267</v>
      </c>
      <c r="L6" s="49" t="str">
        <f>IFERROR(MATCH(K6,'1 ubicaciones'!$B$2:$B$4,0) - 1," ")</f>
        <v xml:space="preserve"> </v>
      </c>
      <c r="M6" s="15">
        <v>1</v>
      </c>
    </row>
    <row r="7" spans="1:13" x14ac:dyDescent="0.25">
      <c r="A7" s="93"/>
      <c r="B7" s="15" t="s">
        <v>4288</v>
      </c>
      <c r="C7" s="15">
        <v>1</v>
      </c>
      <c r="D7" s="47">
        <v>0</v>
      </c>
      <c r="E7" s="47">
        <v>1</v>
      </c>
      <c r="F7" s="47">
        <v>1</v>
      </c>
      <c r="G7" s="47">
        <v>560</v>
      </c>
      <c r="H7" s="84">
        <v>0.375</v>
      </c>
      <c r="I7" s="48">
        <v>0.375</v>
      </c>
      <c r="J7" s="48">
        <v>0.41666666666666669</v>
      </c>
      <c r="K7" s="15" t="s">
        <v>4267</v>
      </c>
      <c r="L7" s="49" t="str">
        <f>IFERROR(MATCH(K7,'1 ubicaciones'!$B$2:$B$4,0) - 1," ")</f>
        <v xml:space="preserve"> </v>
      </c>
      <c r="M7" s="15">
        <v>0</v>
      </c>
    </row>
    <row r="8" spans="1:13" x14ac:dyDescent="0.25">
      <c r="A8" s="93"/>
      <c r="B8" s="15" t="s">
        <v>4289</v>
      </c>
      <c r="C8" s="15">
        <v>1</v>
      </c>
      <c r="D8" s="47">
        <v>0</v>
      </c>
      <c r="E8" s="47">
        <v>1</v>
      </c>
      <c r="F8" s="47">
        <v>1</v>
      </c>
      <c r="G8" s="47">
        <v>560</v>
      </c>
      <c r="H8" s="84">
        <v>0.375</v>
      </c>
      <c r="I8" s="48">
        <v>0.375</v>
      </c>
      <c r="J8" s="48">
        <v>0.41666666666666669</v>
      </c>
      <c r="K8" s="15" t="s">
        <v>4267</v>
      </c>
      <c r="L8" s="49" t="str">
        <f>IFERROR(MATCH(K8,'1 ubicaciones'!$B$2:$B$4,0) - 1," ")</f>
        <v xml:space="preserve"> </v>
      </c>
      <c r="M8" s="15">
        <v>0</v>
      </c>
    </row>
    <row r="9" spans="1:13" ht="15.75" thickBot="1" x14ac:dyDescent="0.3">
      <c r="A9" s="93"/>
      <c r="B9" s="15" t="s">
        <v>4290</v>
      </c>
      <c r="C9" s="15">
        <v>1</v>
      </c>
      <c r="D9" s="47">
        <v>0</v>
      </c>
      <c r="E9" s="47">
        <v>1</v>
      </c>
      <c r="F9" s="47">
        <v>1</v>
      </c>
      <c r="G9" s="47">
        <v>560</v>
      </c>
      <c r="H9" s="84">
        <v>0.375</v>
      </c>
      <c r="I9" s="48">
        <v>0.375</v>
      </c>
      <c r="J9" s="48">
        <v>0.41666666666666669</v>
      </c>
      <c r="K9" s="15" t="s">
        <v>4267</v>
      </c>
      <c r="L9" s="49" t="str">
        <f>IFERROR(MATCH(K9,'1 ubicaciones'!$B$2:$B$4,0) - 1," ")</f>
        <v xml:space="preserve"> </v>
      </c>
      <c r="M9" s="15">
        <v>0</v>
      </c>
    </row>
    <row r="10" spans="1:13" ht="15.75" thickTop="1" x14ac:dyDescent="0.25">
      <c r="A10" s="94" t="s">
        <v>4280</v>
      </c>
      <c r="B10" s="53" t="str">
        <f t="shared" ref="B10:G17" si="0">B2</f>
        <v>T1</v>
      </c>
      <c r="C10" s="53">
        <f t="shared" si="0"/>
        <v>1</v>
      </c>
      <c r="D10" s="54">
        <f t="shared" si="0"/>
        <v>0</v>
      </c>
      <c r="E10" s="54">
        <f t="shared" si="0"/>
        <v>1</v>
      </c>
      <c r="F10" s="54">
        <f t="shared" si="0"/>
        <v>1</v>
      </c>
      <c r="G10" s="54">
        <f t="shared" si="0"/>
        <v>560</v>
      </c>
      <c r="H10" s="86">
        <v>0.375</v>
      </c>
      <c r="I10" s="55">
        <v>0.375</v>
      </c>
      <c r="J10" s="55">
        <v>0.41666666666666669</v>
      </c>
      <c r="K10" s="56" t="s">
        <v>4280</v>
      </c>
      <c r="L10" s="53" t="str">
        <f>IFERROR(MATCH(K10,'1 ubicaciones'!$B$2:$B$4,0) - 1," ")</f>
        <v xml:space="preserve"> </v>
      </c>
      <c r="M10" s="56">
        <v>1</v>
      </c>
    </row>
    <row r="11" spans="1:13" x14ac:dyDescent="0.25">
      <c r="A11" s="93"/>
      <c r="B11" s="49" t="str">
        <f t="shared" si="0"/>
        <v>T2</v>
      </c>
      <c r="C11" s="49">
        <f t="shared" si="0"/>
        <v>1</v>
      </c>
      <c r="D11" s="58">
        <f t="shared" si="0"/>
        <v>0</v>
      </c>
      <c r="E11" s="58">
        <f t="shared" si="0"/>
        <v>1</v>
      </c>
      <c r="F11" s="58">
        <f t="shared" si="0"/>
        <v>1</v>
      </c>
      <c r="G11" s="58">
        <f t="shared" si="0"/>
        <v>560</v>
      </c>
      <c r="H11" s="84">
        <v>0.375</v>
      </c>
      <c r="I11" s="48">
        <v>0.375</v>
      </c>
      <c r="J11" s="48">
        <v>0.41666666666666669</v>
      </c>
      <c r="K11" s="15" t="s">
        <v>4280</v>
      </c>
      <c r="L11" s="49" t="str">
        <f>IFERROR(MATCH(K11,'1 ubicaciones'!$B$2:$B$4,0) - 1," ")</f>
        <v xml:space="preserve"> </v>
      </c>
      <c r="M11" s="15">
        <v>1</v>
      </c>
    </row>
    <row r="12" spans="1:13" x14ac:dyDescent="0.25">
      <c r="A12" s="93"/>
      <c r="B12" s="49" t="str">
        <f t="shared" si="0"/>
        <v>T3</v>
      </c>
      <c r="C12" s="49">
        <f t="shared" si="0"/>
        <v>1</v>
      </c>
      <c r="D12" s="58">
        <f t="shared" si="0"/>
        <v>0</v>
      </c>
      <c r="E12" s="58">
        <f t="shared" si="0"/>
        <v>1</v>
      </c>
      <c r="F12" s="58">
        <f t="shared" si="0"/>
        <v>1</v>
      </c>
      <c r="G12" s="58">
        <f t="shared" si="0"/>
        <v>560</v>
      </c>
      <c r="H12" s="84">
        <v>0.375</v>
      </c>
      <c r="I12" s="48">
        <v>0.375</v>
      </c>
      <c r="J12" s="48">
        <v>0.41666666666666669</v>
      </c>
      <c r="K12" s="15" t="s">
        <v>4280</v>
      </c>
      <c r="L12" s="49" t="str">
        <f>IFERROR(MATCH(K12,'1 ubicaciones'!$B$2:$B$4,0) - 1," ")</f>
        <v xml:space="preserve"> </v>
      </c>
      <c r="M12" s="15">
        <v>0</v>
      </c>
    </row>
    <row r="13" spans="1:13" x14ac:dyDescent="0.25">
      <c r="A13" s="93"/>
      <c r="B13" s="49" t="str">
        <f t="shared" si="0"/>
        <v>T4</v>
      </c>
      <c r="C13" s="49">
        <f t="shared" si="0"/>
        <v>1</v>
      </c>
      <c r="D13" s="58">
        <f t="shared" si="0"/>
        <v>0</v>
      </c>
      <c r="E13" s="58">
        <f t="shared" si="0"/>
        <v>1</v>
      </c>
      <c r="F13" s="58">
        <f t="shared" si="0"/>
        <v>1</v>
      </c>
      <c r="G13" s="58">
        <f t="shared" si="0"/>
        <v>560</v>
      </c>
      <c r="H13" s="84">
        <v>0.375</v>
      </c>
      <c r="I13" s="48">
        <v>0.375</v>
      </c>
      <c r="J13" s="48">
        <v>0.41666666666666669</v>
      </c>
      <c r="K13" s="15" t="s">
        <v>4280</v>
      </c>
      <c r="L13" s="49" t="str">
        <f>IFERROR(MATCH(K13,'1 ubicaciones'!$B$2:$B$4,0) - 1," ")</f>
        <v xml:space="preserve"> </v>
      </c>
      <c r="M13" s="15">
        <v>0</v>
      </c>
    </row>
    <row r="14" spans="1:13" x14ac:dyDescent="0.25">
      <c r="A14" s="93"/>
      <c r="B14" s="49" t="str">
        <f t="shared" si="0"/>
        <v>T5</v>
      </c>
      <c r="C14" s="49">
        <f t="shared" si="0"/>
        <v>1</v>
      </c>
      <c r="D14" s="58">
        <f t="shared" si="0"/>
        <v>0</v>
      </c>
      <c r="E14" s="58">
        <f t="shared" si="0"/>
        <v>1</v>
      </c>
      <c r="F14" s="58">
        <f t="shared" si="0"/>
        <v>1</v>
      </c>
      <c r="G14" s="58">
        <f t="shared" si="0"/>
        <v>560</v>
      </c>
      <c r="H14" s="84">
        <v>0.375</v>
      </c>
      <c r="I14" s="48">
        <v>0.375</v>
      </c>
      <c r="J14" s="48">
        <v>0.41666666666666669</v>
      </c>
      <c r="K14" s="15" t="s">
        <v>4280</v>
      </c>
      <c r="L14" s="49" t="str">
        <f>IFERROR(MATCH(K14,'1 ubicaciones'!$B$2:$B$4,0) - 1," ")</f>
        <v xml:space="preserve"> </v>
      </c>
      <c r="M14" s="15">
        <v>0</v>
      </c>
    </row>
    <row r="15" spans="1:13" x14ac:dyDescent="0.25">
      <c r="A15" s="93"/>
      <c r="B15" s="49" t="str">
        <f t="shared" si="0"/>
        <v>T6</v>
      </c>
      <c r="C15" s="49">
        <f t="shared" si="0"/>
        <v>1</v>
      </c>
      <c r="D15" s="58">
        <f t="shared" si="0"/>
        <v>0</v>
      </c>
      <c r="E15" s="58">
        <f t="shared" si="0"/>
        <v>1</v>
      </c>
      <c r="F15" s="58">
        <f t="shared" si="0"/>
        <v>1</v>
      </c>
      <c r="G15" s="58">
        <f t="shared" si="0"/>
        <v>560</v>
      </c>
      <c r="H15" s="84">
        <v>0.375</v>
      </c>
      <c r="I15" s="48">
        <v>0.375</v>
      </c>
      <c r="J15" s="48">
        <v>0.41666666666666669</v>
      </c>
      <c r="K15" s="15" t="s">
        <v>4280</v>
      </c>
      <c r="L15" s="49" t="str">
        <f>IFERROR(MATCH(K15,'1 ubicaciones'!$B$2:$B$4,0) - 1," ")</f>
        <v xml:space="preserve"> </v>
      </c>
      <c r="M15" s="15">
        <v>0</v>
      </c>
    </row>
    <row r="16" spans="1:13" x14ac:dyDescent="0.25">
      <c r="A16" s="93"/>
      <c r="B16" s="49" t="str">
        <f t="shared" si="0"/>
        <v>T7</v>
      </c>
      <c r="C16" s="49">
        <f t="shared" si="0"/>
        <v>1</v>
      </c>
      <c r="D16" s="58">
        <f t="shared" si="0"/>
        <v>0</v>
      </c>
      <c r="E16" s="58">
        <f t="shared" si="0"/>
        <v>1</v>
      </c>
      <c r="F16" s="58">
        <f t="shared" si="0"/>
        <v>1</v>
      </c>
      <c r="G16" s="58">
        <f t="shared" si="0"/>
        <v>560</v>
      </c>
      <c r="H16" s="84">
        <v>0.375</v>
      </c>
      <c r="I16" s="48">
        <v>0.375</v>
      </c>
      <c r="J16" s="48">
        <v>0.41666666666666669</v>
      </c>
      <c r="K16" s="15" t="s">
        <v>4280</v>
      </c>
      <c r="L16" s="49" t="str">
        <f>IFERROR(MATCH(K16,'1 ubicaciones'!$B$2:$B$4,0) - 1," ")</f>
        <v xml:space="preserve"> </v>
      </c>
      <c r="M16" s="15">
        <v>0</v>
      </c>
    </row>
    <row r="17" spans="1:13" ht="15.75" thickBot="1" x14ac:dyDescent="0.3">
      <c r="A17" s="93"/>
      <c r="B17" s="49" t="str">
        <f t="shared" si="0"/>
        <v>T8</v>
      </c>
      <c r="C17" s="49">
        <f t="shared" si="0"/>
        <v>1</v>
      </c>
      <c r="D17" s="58">
        <f t="shared" si="0"/>
        <v>0</v>
      </c>
      <c r="E17" s="58">
        <f t="shared" si="0"/>
        <v>1</v>
      </c>
      <c r="F17" s="58">
        <f t="shared" si="0"/>
        <v>1</v>
      </c>
      <c r="G17" s="58">
        <f t="shared" si="0"/>
        <v>560</v>
      </c>
      <c r="H17" s="84">
        <v>0.375</v>
      </c>
      <c r="I17" s="48">
        <v>0.375</v>
      </c>
      <c r="J17" s="48">
        <v>0.41666666666666669</v>
      </c>
      <c r="K17" s="15" t="s">
        <v>4280</v>
      </c>
      <c r="L17" s="49" t="str">
        <f>IFERROR(MATCH(K17,'1 ubicaciones'!$B$2:$B$4,0) - 1," ")</f>
        <v xml:space="preserve"> </v>
      </c>
      <c r="M17" s="15">
        <v>0</v>
      </c>
    </row>
    <row r="18" spans="1:13" ht="15.75" thickTop="1" x14ac:dyDescent="0.25">
      <c r="A18" s="94" t="s">
        <v>4281</v>
      </c>
      <c r="B18" s="53" t="str">
        <f t="shared" ref="B18:G25" si="1">B2</f>
        <v>T1</v>
      </c>
      <c r="C18" s="53">
        <f t="shared" si="1"/>
        <v>1</v>
      </c>
      <c r="D18" s="54">
        <f t="shared" si="1"/>
        <v>0</v>
      </c>
      <c r="E18" s="54">
        <f t="shared" si="1"/>
        <v>1</v>
      </c>
      <c r="F18" s="54">
        <f t="shared" si="1"/>
        <v>1</v>
      </c>
      <c r="G18" s="54">
        <f t="shared" si="1"/>
        <v>560</v>
      </c>
      <c r="H18" s="86">
        <v>0.375</v>
      </c>
      <c r="I18" s="55">
        <v>0.375</v>
      </c>
      <c r="J18" s="55">
        <v>0.41666666666666669</v>
      </c>
      <c r="K18" s="56" t="s">
        <v>4281</v>
      </c>
      <c r="L18" s="53" t="str">
        <f>IFERROR(MATCH(K18,'1 ubicaciones'!$B$2:$B$4,0) - 1," ")</f>
        <v xml:space="preserve"> </v>
      </c>
      <c r="M18" s="56">
        <v>1</v>
      </c>
    </row>
    <row r="19" spans="1:13" x14ac:dyDescent="0.25">
      <c r="A19" s="93"/>
      <c r="B19" s="49" t="str">
        <f t="shared" si="1"/>
        <v>T2</v>
      </c>
      <c r="C19" s="49">
        <f t="shared" si="1"/>
        <v>1</v>
      </c>
      <c r="D19" s="58">
        <f t="shared" si="1"/>
        <v>0</v>
      </c>
      <c r="E19" s="58">
        <f t="shared" si="1"/>
        <v>1</v>
      </c>
      <c r="F19" s="58">
        <f t="shared" si="1"/>
        <v>1</v>
      </c>
      <c r="G19" s="58">
        <f t="shared" si="1"/>
        <v>560</v>
      </c>
      <c r="H19" s="84">
        <v>0.375</v>
      </c>
      <c r="I19" s="48">
        <v>0.375</v>
      </c>
      <c r="J19" s="48">
        <v>0.41666666666666669</v>
      </c>
      <c r="K19" s="15" t="s">
        <v>4281</v>
      </c>
      <c r="L19" s="49" t="str">
        <f>IFERROR(MATCH(K19,'1 ubicaciones'!$B$2:$B$4,0) - 1," ")</f>
        <v xml:space="preserve"> </v>
      </c>
      <c r="M19" s="15">
        <v>0</v>
      </c>
    </row>
    <row r="20" spans="1:13" x14ac:dyDescent="0.25">
      <c r="A20" s="93"/>
      <c r="B20" s="49" t="str">
        <f t="shared" si="1"/>
        <v>T3</v>
      </c>
      <c r="C20" s="49">
        <f t="shared" si="1"/>
        <v>1</v>
      </c>
      <c r="D20" s="58">
        <f t="shared" si="1"/>
        <v>0</v>
      </c>
      <c r="E20" s="58">
        <f t="shared" si="1"/>
        <v>1</v>
      </c>
      <c r="F20" s="58">
        <f t="shared" si="1"/>
        <v>1</v>
      </c>
      <c r="G20" s="58">
        <f t="shared" si="1"/>
        <v>560</v>
      </c>
      <c r="H20" s="84">
        <v>0.375</v>
      </c>
      <c r="I20" s="48">
        <v>0.375</v>
      </c>
      <c r="J20" s="48">
        <v>0.41666666666666669</v>
      </c>
      <c r="K20" s="15" t="s">
        <v>4281</v>
      </c>
      <c r="L20" s="49" t="str">
        <f>IFERROR(MATCH(K20,'1 ubicaciones'!$B$2:$B$4,0) - 1," ")</f>
        <v xml:space="preserve"> </v>
      </c>
      <c r="M20" s="15">
        <v>0</v>
      </c>
    </row>
    <row r="21" spans="1:13" x14ac:dyDescent="0.25">
      <c r="A21" s="93"/>
      <c r="B21" s="49" t="str">
        <f t="shared" si="1"/>
        <v>T4</v>
      </c>
      <c r="C21" s="49">
        <f t="shared" si="1"/>
        <v>1</v>
      </c>
      <c r="D21" s="58">
        <f t="shared" si="1"/>
        <v>0</v>
      </c>
      <c r="E21" s="58">
        <f t="shared" si="1"/>
        <v>1</v>
      </c>
      <c r="F21" s="58">
        <f t="shared" si="1"/>
        <v>1</v>
      </c>
      <c r="G21" s="58">
        <f t="shared" si="1"/>
        <v>560</v>
      </c>
      <c r="H21" s="84">
        <v>0.375</v>
      </c>
      <c r="I21" s="48">
        <v>0.375</v>
      </c>
      <c r="J21" s="48">
        <v>0.41666666666666669</v>
      </c>
      <c r="K21" s="15" t="s">
        <v>4281</v>
      </c>
      <c r="L21" s="49" t="str">
        <f>IFERROR(MATCH(K21,'1 ubicaciones'!$B$2:$B$4,0) - 1," ")</f>
        <v xml:space="preserve"> </v>
      </c>
      <c r="M21" s="15">
        <v>0</v>
      </c>
    </row>
    <row r="22" spans="1:13" x14ac:dyDescent="0.25">
      <c r="A22" s="93"/>
      <c r="B22" s="49" t="str">
        <f t="shared" si="1"/>
        <v>T5</v>
      </c>
      <c r="C22" s="49">
        <f t="shared" si="1"/>
        <v>1</v>
      </c>
      <c r="D22" s="58">
        <f t="shared" si="1"/>
        <v>0</v>
      </c>
      <c r="E22" s="58">
        <f t="shared" si="1"/>
        <v>1</v>
      </c>
      <c r="F22" s="58">
        <f t="shared" si="1"/>
        <v>1</v>
      </c>
      <c r="G22" s="58">
        <f t="shared" si="1"/>
        <v>560</v>
      </c>
      <c r="H22" s="84">
        <v>0.375</v>
      </c>
      <c r="I22" s="48">
        <v>0.375</v>
      </c>
      <c r="J22" s="48">
        <v>0.41666666666666669</v>
      </c>
      <c r="K22" s="15" t="s">
        <v>4281</v>
      </c>
      <c r="L22" s="49" t="str">
        <f>IFERROR(MATCH(K22,'1 ubicaciones'!$B$2:$B$4,0) - 1," ")</f>
        <v xml:space="preserve"> </v>
      </c>
      <c r="M22" s="15">
        <v>0</v>
      </c>
    </row>
    <row r="23" spans="1:13" x14ac:dyDescent="0.25">
      <c r="A23" s="93"/>
      <c r="B23" s="49" t="str">
        <f t="shared" si="1"/>
        <v>T6</v>
      </c>
      <c r="C23" s="49">
        <f t="shared" si="1"/>
        <v>1</v>
      </c>
      <c r="D23" s="58">
        <f t="shared" si="1"/>
        <v>0</v>
      </c>
      <c r="E23" s="58">
        <f t="shared" si="1"/>
        <v>1</v>
      </c>
      <c r="F23" s="58">
        <f t="shared" si="1"/>
        <v>1</v>
      </c>
      <c r="G23" s="58">
        <f t="shared" si="1"/>
        <v>560</v>
      </c>
      <c r="H23" s="84">
        <v>0.375</v>
      </c>
      <c r="I23" s="48">
        <v>0.375</v>
      </c>
      <c r="J23" s="48">
        <v>0.41666666666666669</v>
      </c>
      <c r="K23" s="15" t="s">
        <v>4281</v>
      </c>
      <c r="L23" s="49" t="str">
        <f>IFERROR(MATCH(K23,'1 ubicaciones'!$B$2:$B$4,0) - 1," ")</f>
        <v xml:space="preserve"> </v>
      </c>
      <c r="M23" s="15">
        <v>0</v>
      </c>
    </row>
    <row r="24" spans="1:13" x14ac:dyDescent="0.25">
      <c r="A24" s="93"/>
      <c r="B24" s="49" t="str">
        <f t="shared" si="1"/>
        <v>T7</v>
      </c>
      <c r="C24" s="49">
        <f t="shared" si="1"/>
        <v>1</v>
      </c>
      <c r="D24" s="58">
        <f t="shared" si="1"/>
        <v>0</v>
      </c>
      <c r="E24" s="58">
        <f t="shared" si="1"/>
        <v>1</v>
      </c>
      <c r="F24" s="58">
        <f t="shared" si="1"/>
        <v>1</v>
      </c>
      <c r="G24" s="58">
        <f t="shared" si="1"/>
        <v>560</v>
      </c>
      <c r="H24" s="84">
        <v>0.375</v>
      </c>
      <c r="I24" s="48">
        <v>0.375</v>
      </c>
      <c r="J24" s="48">
        <v>0.41666666666666669</v>
      </c>
      <c r="K24" s="15" t="s">
        <v>4281</v>
      </c>
      <c r="L24" s="49" t="str">
        <f>IFERROR(MATCH(K24,'1 ubicaciones'!$B$2:$B$4,0) - 1," ")</f>
        <v xml:space="preserve"> </v>
      </c>
      <c r="M24" s="15">
        <v>0</v>
      </c>
    </row>
    <row r="25" spans="1:13" ht="15.75" thickBot="1" x14ac:dyDescent="0.3">
      <c r="A25" s="95"/>
      <c r="B25" s="52" t="str">
        <f t="shared" si="1"/>
        <v>T8</v>
      </c>
      <c r="C25" s="52">
        <f t="shared" si="1"/>
        <v>1</v>
      </c>
      <c r="D25" s="59">
        <f t="shared" si="1"/>
        <v>0</v>
      </c>
      <c r="E25" s="59">
        <f t="shared" si="1"/>
        <v>1</v>
      </c>
      <c r="F25" s="59">
        <f t="shared" si="1"/>
        <v>1</v>
      </c>
      <c r="G25" s="59">
        <f t="shared" si="1"/>
        <v>560</v>
      </c>
      <c r="H25" s="85">
        <v>0.375</v>
      </c>
      <c r="I25" s="51">
        <v>0.375</v>
      </c>
      <c r="J25" s="51">
        <v>0.41666666666666669</v>
      </c>
      <c r="K25" s="50" t="s">
        <v>4281</v>
      </c>
      <c r="L25" s="52" t="str">
        <f>IFERROR(MATCH(K25,'1 ubicaciones'!$B$2:$B$4,0) - 1," ")</f>
        <v xml:space="preserve"> </v>
      </c>
      <c r="M25" s="50">
        <v>0</v>
      </c>
    </row>
    <row r="26" spans="1:13" ht="15.75" thickTop="1" x14ac:dyDescent="0.25"/>
  </sheetData>
  <mergeCells count="3">
    <mergeCell ref="A2:A9"/>
    <mergeCell ref="A10:A17"/>
    <mergeCell ref="A18:A25"/>
  </mergeCells>
  <dataValidations count="3">
    <dataValidation type="decimal" operator="greaterThan" allowBlank="1" showInputMessage="1" showErrorMessage="1" error="Ingrese un valor no negativo" sqref="C2:E25" xr:uid="{665C5A25-7A3C-4236-B59C-D5A3643F118E}">
      <formula1>-0.0001</formula1>
    </dataValidation>
    <dataValidation type="decimal" operator="greaterThan" allowBlank="1" showInputMessage="1" showErrorMessage="1" error="Ingrese un valor positivo" sqref="F2:F25 J2:J25" xr:uid="{D6528C1C-6038-4DB4-9E75-FA1FE4A5F703}">
      <formula1>0</formula1>
    </dataValidation>
    <dataValidation type="whole" operator="greaterThan" allowBlank="1" showInputMessage="1" showErrorMessage="1" error="Ingrese un valor entero no negativo" sqref="G2:G25" xr:uid="{AEDAD5E6-12BB-4E17-B1D8-A35E07F4CDA8}">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errorTitle="Advertencia" error="Seleccione un valor de la lista disponible en la celda seleccionada." xr:uid="{FF8DE4ED-A665-405D-AE68-CA33CAAB754F}">
          <x14:formula1>
            <xm:f>'1 ubicaciones'!$B$2:$B$4</xm:f>
          </x14:formula1>
          <xm:sqref>K2:K25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9D582-6139-4696-87DC-F3A0C2097E9E}">
  <dimension ref="A1:J39"/>
  <sheetViews>
    <sheetView topLeftCell="A15" workbookViewId="0"/>
  </sheetViews>
  <sheetFormatPr baseColWidth="10" defaultRowHeight="15" x14ac:dyDescent="0.25"/>
  <cols>
    <col min="1" max="1" width="13.85546875" bestFit="1" customWidth="1"/>
    <col min="2" max="2" width="29.28515625" bestFit="1" customWidth="1"/>
    <col min="3" max="10" width="13.7109375" customWidth="1"/>
  </cols>
  <sheetData>
    <row r="1" spans="1:10" x14ac:dyDescent="0.25">
      <c r="A1" s="19" t="s">
        <v>882</v>
      </c>
      <c r="B1" s="19" t="s">
        <v>884</v>
      </c>
      <c r="C1" s="19" t="str">
        <f>'3.Vehículos'!B2</f>
        <v>T1</v>
      </c>
      <c r="D1" s="19" t="str">
        <f>'3.Vehículos'!B3</f>
        <v>T2</v>
      </c>
      <c r="E1" s="19" t="str">
        <f>'3.Vehículos'!B4</f>
        <v>T3</v>
      </c>
      <c r="F1" s="19" t="str">
        <f>'3.Vehículos'!B5</f>
        <v>T4</v>
      </c>
      <c r="G1" s="19" t="str">
        <f>'3.Vehículos'!B6</f>
        <v>T5</v>
      </c>
      <c r="H1" s="19" t="str">
        <f>'3.Vehículos'!B7</f>
        <v>T6</v>
      </c>
      <c r="I1" s="19" t="str">
        <f>'3.Vehículos'!B8</f>
        <v>T7</v>
      </c>
      <c r="J1" s="19" t="str">
        <f>'3.Vehículos'!B9</f>
        <v>T8</v>
      </c>
    </row>
    <row r="2" spans="1:10" x14ac:dyDescent="0.25">
      <c r="A2" s="71">
        <f>'1 ubicaciones'!A2</f>
        <v>0</v>
      </c>
      <c r="B2" s="71" t="str">
        <f>'1 ubicaciones'!B2</f>
        <v xml:space="preserve"> Arriola 1</v>
      </c>
      <c r="C2" s="87" t="s">
        <v>521</v>
      </c>
      <c r="D2" s="87" t="s">
        <v>521</v>
      </c>
      <c r="E2" s="87" t="s">
        <v>521</v>
      </c>
      <c r="F2" s="87" t="s">
        <v>521</v>
      </c>
      <c r="G2" s="87" t="s">
        <v>521</v>
      </c>
      <c r="H2" s="87" t="s">
        <v>521</v>
      </c>
      <c r="I2" s="87" t="s">
        <v>521</v>
      </c>
      <c r="J2" s="87" t="s">
        <v>521</v>
      </c>
    </row>
    <row r="3" spans="1:10" x14ac:dyDescent="0.25">
      <c r="A3" s="23">
        <f>'1 ubicaciones'!A3</f>
        <v>1</v>
      </c>
      <c r="B3" s="23" t="str">
        <f>'1 ubicaciones'!B3</f>
        <v xml:space="preserve"> Arriola 2</v>
      </c>
      <c r="C3" s="60" t="s">
        <v>521</v>
      </c>
      <c r="D3" s="60" t="s">
        <v>521</v>
      </c>
      <c r="E3" s="60" t="s">
        <v>521</v>
      </c>
      <c r="F3" s="60" t="s">
        <v>521</v>
      </c>
      <c r="G3" s="60" t="s">
        <v>521</v>
      </c>
      <c r="H3" s="60" t="s">
        <v>521</v>
      </c>
      <c r="I3" s="60" t="s">
        <v>521</v>
      </c>
      <c r="J3" s="60" t="s">
        <v>521</v>
      </c>
    </row>
    <row r="4" spans="1:10" ht="15.75" thickBot="1" x14ac:dyDescent="0.3">
      <c r="A4" s="23">
        <f>'1 ubicaciones'!A4</f>
        <v>2</v>
      </c>
      <c r="B4" s="23" t="str">
        <f>'1 ubicaciones'!B4</f>
        <v xml:space="preserve"> EESS </v>
      </c>
      <c r="C4" s="61" t="s">
        <v>521</v>
      </c>
      <c r="D4" s="61" t="s">
        <v>521</v>
      </c>
      <c r="E4" s="61" t="s">
        <v>521</v>
      </c>
      <c r="F4" s="61" t="s">
        <v>521</v>
      </c>
      <c r="G4" s="61" t="s">
        <v>521</v>
      </c>
      <c r="H4" s="61" t="s">
        <v>521</v>
      </c>
      <c r="I4" s="61" t="s">
        <v>521</v>
      </c>
      <c r="J4" s="61" t="s">
        <v>521</v>
      </c>
    </row>
    <row r="5" spans="1:10" ht="15.75" thickTop="1" x14ac:dyDescent="0.25">
      <c r="A5" s="20">
        <f>'1 ubicaciones'!A5</f>
        <v>3</v>
      </c>
      <c r="B5" s="20" t="str">
        <f>'1 ubicaciones'!B5</f>
        <v xml:space="preserve"> EESS </v>
      </c>
      <c r="C5" s="21" t="s">
        <v>521</v>
      </c>
      <c r="D5" s="21" t="s">
        <v>521</v>
      </c>
      <c r="E5" s="21" t="s">
        <v>521</v>
      </c>
      <c r="F5" s="21" t="s">
        <v>521</v>
      </c>
      <c r="G5" s="21" t="s">
        <v>521</v>
      </c>
      <c r="H5" s="21" t="s">
        <v>521</v>
      </c>
      <c r="I5" s="21" t="s">
        <v>521</v>
      </c>
      <c r="J5" s="21" t="s">
        <v>521</v>
      </c>
    </row>
    <row r="6" spans="1:10" x14ac:dyDescent="0.25">
      <c r="A6" s="23">
        <f>'1 ubicaciones'!A6</f>
        <v>4</v>
      </c>
      <c r="B6" s="23" t="str">
        <f>'1 ubicaciones'!B6</f>
        <v xml:space="preserve"> EESS </v>
      </c>
      <c r="C6" s="24" t="s">
        <v>521</v>
      </c>
      <c r="D6" s="24" t="s">
        <v>521</v>
      </c>
      <c r="E6" s="24" t="s">
        <v>521</v>
      </c>
      <c r="F6" s="24" t="s">
        <v>521</v>
      </c>
      <c r="G6" s="24" t="s">
        <v>521</v>
      </c>
      <c r="H6" s="24" t="s">
        <v>521</v>
      </c>
      <c r="I6" s="24" t="s">
        <v>521</v>
      </c>
      <c r="J6" s="24" t="s">
        <v>521</v>
      </c>
    </row>
    <row r="7" spans="1:10" x14ac:dyDescent="0.25">
      <c r="A7" s="23">
        <f>'1 ubicaciones'!A7</f>
        <v>5</v>
      </c>
      <c r="B7" s="23" t="str">
        <f>'1 ubicaciones'!B7</f>
        <v xml:space="preserve"> Esq. Av. César Vallejo c</v>
      </c>
      <c r="C7" s="28" t="s">
        <v>521</v>
      </c>
      <c r="D7" s="28" t="s">
        <v>521</v>
      </c>
      <c r="E7" s="28" t="s">
        <v>521</v>
      </c>
      <c r="F7" s="28" t="s">
        <v>521</v>
      </c>
      <c r="G7" s="28" t="s">
        <v>521</v>
      </c>
      <c r="H7" s="28" t="s">
        <v>521</v>
      </c>
      <c r="I7" s="28" t="s">
        <v>521</v>
      </c>
      <c r="J7" s="28" t="s">
        <v>521</v>
      </c>
    </row>
    <row r="8" spans="1:10" x14ac:dyDescent="0.25">
      <c r="A8" s="23">
        <f>'1 ubicaciones'!A8</f>
        <v>6</v>
      </c>
      <c r="B8" s="23" t="str">
        <f>'1 ubicaciones'!B8</f>
        <v xml:space="preserve"> METRO LA MARINA</v>
      </c>
      <c r="C8" s="24" t="s">
        <v>521</v>
      </c>
      <c r="D8" s="24" t="s">
        <v>521</v>
      </c>
      <c r="E8" s="24" t="s">
        <v>521</v>
      </c>
      <c r="F8" s="24" t="s">
        <v>521</v>
      </c>
      <c r="G8" s="24" t="s">
        <v>521</v>
      </c>
      <c r="H8" s="24" t="s">
        <v>521</v>
      </c>
      <c r="I8" s="24" t="s">
        <v>521</v>
      </c>
      <c r="J8" s="24" t="s">
        <v>521</v>
      </c>
    </row>
    <row r="9" spans="1:10" x14ac:dyDescent="0.25">
      <c r="A9" s="23">
        <f>'1 ubicaciones'!A9</f>
        <v>7</v>
      </c>
      <c r="B9" s="23" t="str">
        <f>'1 ubicaciones'!B9</f>
        <v xml:space="preserve"> Primax Centauro Venezuela</v>
      </c>
      <c r="C9" s="28" t="s">
        <v>521</v>
      </c>
      <c r="D9" s="28" t="s">
        <v>521</v>
      </c>
      <c r="E9" s="28" t="s">
        <v>521</v>
      </c>
      <c r="F9" s="28" t="s">
        <v>521</v>
      </c>
      <c r="G9" s="28" t="s">
        <v>521</v>
      </c>
      <c r="H9" s="28" t="s">
        <v>521</v>
      </c>
      <c r="I9" s="28" t="s">
        <v>521</v>
      </c>
      <c r="J9" s="28" t="s">
        <v>521</v>
      </c>
    </row>
    <row r="10" spans="1:10" x14ac:dyDescent="0.25">
      <c r="A10" s="23">
        <f>'1 ubicaciones'!A10</f>
        <v>8</v>
      </c>
      <c r="B10" s="23" t="str">
        <f>'1 ubicaciones'!B10</f>
        <v xml:space="preserve"> Primax Javier Prado</v>
      </c>
      <c r="C10" s="24" t="s">
        <v>521</v>
      </c>
      <c r="D10" s="24" t="s">
        <v>521</v>
      </c>
      <c r="E10" s="24" t="s">
        <v>521</v>
      </c>
      <c r="F10" s="24" t="s">
        <v>521</v>
      </c>
      <c r="G10" s="24" t="s">
        <v>521</v>
      </c>
      <c r="H10" s="24" t="s">
        <v>521</v>
      </c>
      <c r="I10" s="24" t="s">
        <v>521</v>
      </c>
      <c r="J10" s="24" t="s">
        <v>521</v>
      </c>
    </row>
    <row r="11" spans="1:10" x14ac:dyDescent="0.25">
      <c r="A11" s="23">
        <f>'1 ubicaciones'!A11</f>
        <v>9</v>
      </c>
      <c r="B11" s="23" t="str">
        <f>'1 ubicaciones'!B11</f>
        <v xml:space="preserve"> REDFIN TIENDA MASS LAS FLORES</v>
      </c>
      <c r="C11" s="28" t="s">
        <v>521</v>
      </c>
      <c r="D11" s="28" t="s">
        <v>521</v>
      </c>
      <c r="E11" s="28" t="s">
        <v>521</v>
      </c>
      <c r="F11" s="28" t="s">
        <v>521</v>
      </c>
      <c r="G11" s="28" t="s">
        <v>521</v>
      </c>
      <c r="H11" s="28" t="s">
        <v>521</v>
      </c>
      <c r="I11" s="28" t="s">
        <v>521</v>
      </c>
      <c r="J11" s="28" t="s">
        <v>521</v>
      </c>
    </row>
    <row r="12" spans="1:10" x14ac:dyDescent="0.25">
      <c r="A12" s="23">
        <f>'1 ubicaciones'!A12</f>
        <v>10</v>
      </c>
      <c r="B12" s="23" t="str">
        <f>'1 ubicaciones'!B12</f>
        <v xml:space="preserve"> Repsol Arequipa</v>
      </c>
      <c r="C12" s="24" t="s">
        <v>521</v>
      </c>
      <c r="D12" s="24" t="s">
        <v>521</v>
      </c>
      <c r="E12" s="24" t="s">
        <v>521</v>
      </c>
      <c r="F12" s="24" t="s">
        <v>521</v>
      </c>
      <c r="G12" s="24" t="s">
        <v>521</v>
      </c>
      <c r="H12" s="24" t="s">
        <v>521</v>
      </c>
      <c r="I12" s="24" t="s">
        <v>521</v>
      </c>
      <c r="J12" s="24" t="s">
        <v>521</v>
      </c>
    </row>
    <row r="13" spans="1:10" x14ac:dyDescent="0.25">
      <c r="A13" s="23">
        <f>'1 ubicaciones'!A13</f>
        <v>11</v>
      </c>
      <c r="B13" s="23" t="str">
        <f>'1 ubicaciones'!B13</f>
        <v xml:space="preserve"> Repsol Parodi</v>
      </c>
      <c r="C13" s="28" t="s">
        <v>521</v>
      </c>
      <c r="D13" s="28" t="s">
        <v>521</v>
      </c>
      <c r="E13" s="28" t="s">
        <v>521</v>
      </c>
      <c r="F13" s="28" t="s">
        <v>521</v>
      </c>
      <c r="G13" s="28" t="s">
        <v>521</v>
      </c>
      <c r="H13" s="28" t="s">
        <v>521</v>
      </c>
      <c r="I13" s="28" t="s">
        <v>521</v>
      </c>
      <c r="J13" s="28" t="s">
        <v>521</v>
      </c>
    </row>
    <row r="14" spans="1:10" x14ac:dyDescent="0.25">
      <c r="A14" s="23">
        <f>'1 ubicaciones'!A14</f>
        <v>12</v>
      </c>
      <c r="B14" s="23" t="str">
        <f>'1 ubicaciones'!B14</f>
        <v xml:space="preserve"> Repsol Stop</v>
      </c>
      <c r="C14" s="24" t="s">
        <v>521</v>
      </c>
      <c r="D14" s="24" t="s">
        <v>521</v>
      </c>
      <c r="E14" s="24" t="s">
        <v>521</v>
      </c>
      <c r="F14" s="24" t="s">
        <v>521</v>
      </c>
      <c r="G14" s="24" t="s">
        <v>521</v>
      </c>
      <c r="H14" s="24" t="s">
        <v>521</v>
      </c>
      <c r="I14" s="24" t="s">
        <v>521</v>
      </c>
      <c r="J14" s="24" t="s">
        <v>521</v>
      </c>
    </row>
    <row r="15" spans="1:10" x14ac:dyDescent="0.25">
      <c r="A15" s="23">
        <f>'1 ubicaciones'!A15</f>
        <v>13</v>
      </c>
      <c r="B15" s="23" t="str">
        <f>'1 ubicaciones'!B15</f>
        <v xml:space="preserve"> Repsol Tenaud</v>
      </c>
      <c r="C15" s="28" t="s">
        <v>521</v>
      </c>
      <c r="D15" s="28" t="s">
        <v>521</v>
      </c>
      <c r="E15" s="28" t="s">
        <v>521</v>
      </c>
      <c r="F15" s="28" t="s">
        <v>521</v>
      </c>
      <c r="G15" s="28" t="s">
        <v>521</v>
      </c>
      <c r="H15" s="28" t="s">
        <v>521</v>
      </c>
      <c r="I15" s="28" t="s">
        <v>521</v>
      </c>
      <c r="J15" s="28" t="s">
        <v>521</v>
      </c>
    </row>
    <row r="16" spans="1:10" x14ac:dyDescent="0.25">
      <c r="A16" s="23">
        <f>'1 ubicaciones'!A16</f>
        <v>14</v>
      </c>
      <c r="B16" s="23" t="str">
        <f>'1 ubicaciones'!B16</f>
        <v xml:space="preserve"> Wong la planicie Av. Ricardo Elías Aparicio 715</v>
      </c>
      <c r="C16" s="24" t="s">
        <v>521</v>
      </c>
      <c r="D16" s="24" t="s">
        <v>521</v>
      </c>
      <c r="E16" s="24" t="s">
        <v>521</v>
      </c>
      <c r="F16" s="24" t="s">
        <v>521</v>
      </c>
      <c r="G16" s="24" t="s">
        <v>521</v>
      </c>
      <c r="H16" s="24" t="s">
        <v>521</v>
      </c>
      <c r="I16" s="24" t="s">
        <v>521</v>
      </c>
      <c r="J16" s="24" t="s">
        <v>521</v>
      </c>
    </row>
    <row r="17" spans="1:10" x14ac:dyDescent="0.25">
      <c r="A17" s="23">
        <f>'1 ubicaciones'!A17</f>
        <v>15</v>
      </c>
      <c r="B17" s="23" t="str">
        <f>'1 ubicaciones'!B17</f>
        <v>AGENCIA BCP LURIN7</v>
      </c>
      <c r="C17" s="28" t="s">
        <v>521</v>
      </c>
      <c r="D17" s="28" t="s">
        <v>521</v>
      </c>
      <c r="E17" s="28" t="s">
        <v>521</v>
      </c>
      <c r="F17" s="28" t="s">
        <v>521</v>
      </c>
      <c r="G17" s="28" t="s">
        <v>521</v>
      </c>
      <c r="H17" s="28" t="s">
        <v>521</v>
      </c>
      <c r="I17" s="28" t="s">
        <v>521</v>
      </c>
      <c r="J17" s="28" t="s">
        <v>521</v>
      </c>
    </row>
    <row r="18" spans="1:10" x14ac:dyDescent="0.25">
      <c r="A18" s="23">
        <f>'1 ubicaciones'!A18</f>
        <v>16</v>
      </c>
      <c r="B18" s="23" t="str">
        <f>'1 ubicaciones'!B18</f>
        <v>ANGAMOS</v>
      </c>
      <c r="C18" s="24" t="s">
        <v>521</v>
      </c>
      <c r="D18" s="24" t="s">
        <v>521</v>
      </c>
      <c r="E18" s="24" t="s">
        <v>521</v>
      </c>
      <c r="F18" s="24" t="s">
        <v>521</v>
      </c>
      <c r="G18" s="24" t="s">
        <v>521</v>
      </c>
      <c r="H18" s="24" t="s">
        <v>521</v>
      </c>
      <c r="I18" s="24" t="s">
        <v>521</v>
      </c>
      <c r="J18" s="24" t="s">
        <v>521</v>
      </c>
    </row>
    <row r="19" spans="1:10" x14ac:dyDescent="0.25">
      <c r="A19" s="23">
        <f>'1 ubicaciones'!A19</f>
        <v>17</v>
      </c>
      <c r="B19" s="23" t="str">
        <f>'1 ubicaciones'!B19</f>
        <v>ANGELICA GAMARRA</v>
      </c>
      <c r="C19" s="28" t="s">
        <v>521</v>
      </c>
      <c r="D19" s="28" t="s">
        <v>521</v>
      </c>
      <c r="E19" s="28" t="s">
        <v>521</v>
      </c>
      <c r="F19" s="28" t="s">
        <v>521</v>
      </c>
      <c r="G19" s="28" t="s">
        <v>521</v>
      </c>
      <c r="H19" s="28" t="s">
        <v>521</v>
      </c>
      <c r="I19" s="28" t="s">
        <v>521</v>
      </c>
      <c r="J19" s="28" t="s">
        <v>521</v>
      </c>
    </row>
    <row r="20" spans="1:10" x14ac:dyDescent="0.25">
      <c r="A20" s="23">
        <f>'1 ubicaciones'!A20</f>
        <v>18</v>
      </c>
      <c r="B20" s="23" t="str">
        <f>'1 ubicaciones'!B20</f>
        <v>ANTUNEZ DE MAYOLO</v>
      </c>
      <c r="C20" s="24" t="s">
        <v>521</v>
      </c>
      <c r="D20" s="24" t="s">
        <v>521</v>
      </c>
      <c r="E20" s="24" t="s">
        <v>521</v>
      </c>
      <c r="F20" s="24" t="s">
        <v>521</v>
      </c>
      <c r="G20" s="24" t="s">
        <v>521</v>
      </c>
      <c r="H20" s="24" t="s">
        <v>521</v>
      </c>
      <c r="I20" s="24" t="s">
        <v>521</v>
      </c>
      <c r="J20" s="24" t="s">
        <v>521</v>
      </c>
    </row>
    <row r="21" spans="1:10" x14ac:dyDescent="0.25">
      <c r="A21" s="23">
        <f>'1 ubicaciones'!A21</f>
        <v>19</v>
      </c>
      <c r="B21" s="23" t="str">
        <f>'1 ubicaciones'!B21</f>
        <v>ARENALES</v>
      </c>
      <c r="C21" s="28" t="s">
        <v>521</v>
      </c>
      <c r="D21" s="28" t="s">
        <v>521</v>
      </c>
      <c r="E21" s="28" t="s">
        <v>521</v>
      </c>
      <c r="F21" s="28" t="s">
        <v>521</v>
      </c>
      <c r="G21" s="28" t="s">
        <v>521</v>
      </c>
      <c r="H21" s="28" t="s">
        <v>521</v>
      </c>
      <c r="I21" s="28" t="s">
        <v>521</v>
      </c>
      <c r="J21" s="28" t="s">
        <v>521</v>
      </c>
    </row>
    <row r="22" spans="1:10" x14ac:dyDescent="0.25">
      <c r="A22" s="23">
        <f>'1 ubicaciones'!A22</f>
        <v>20</v>
      </c>
      <c r="B22" s="23" t="str">
        <f>'1 ubicaciones'!B22</f>
        <v>ARNALDO MARQUEZ</v>
      </c>
      <c r="C22" s="24" t="s">
        <v>521</v>
      </c>
      <c r="D22" s="24" t="s">
        <v>521</v>
      </c>
      <c r="E22" s="24" t="s">
        <v>521</v>
      </c>
      <c r="F22" s="24" t="s">
        <v>521</v>
      </c>
      <c r="G22" s="24" t="s">
        <v>521</v>
      </c>
      <c r="H22" s="24" t="s">
        <v>521</v>
      </c>
      <c r="I22" s="24" t="s">
        <v>521</v>
      </c>
      <c r="J22" s="24" t="s">
        <v>521</v>
      </c>
    </row>
    <row r="23" spans="1:10" x14ac:dyDescent="0.25">
      <c r="A23" s="23" t="e">
        <f>'1 ubicaciones'!#REF!</f>
        <v>#REF!</v>
      </c>
      <c r="B23" s="23" t="e">
        <f>'1 ubicaciones'!#REF!</f>
        <v>#REF!</v>
      </c>
      <c r="C23" s="28" t="s">
        <v>521</v>
      </c>
      <c r="D23" s="28" t="s">
        <v>521</v>
      </c>
      <c r="E23" s="28" t="s">
        <v>521</v>
      </c>
      <c r="F23" s="28" t="s">
        <v>521</v>
      </c>
      <c r="G23" s="28" t="s">
        <v>521</v>
      </c>
      <c r="H23" s="28" t="s">
        <v>521</v>
      </c>
      <c r="I23" s="28" t="s">
        <v>521</v>
      </c>
      <c r="J23" s="28" t="s">
        <v>521</v>
      </c>
    </row>
    <row r="24" spans="1:10" x14ac:dyDescent="0.25">
      <c r="A24" s="23" t="e">
        <f>'1 ubicaciones'!#REF!</f>
        <v>#REF!</v>
      </c>
      <c r="B24" s="23" t="e">
        <f>'1 ubicaciones'!#REF!</f>
        <v>#REF!</v>
      </c>
      <c r="C24" s="24" t="s">
        <v>521</v>
      </c>
      <c r="D24" s="24" t="s">
        <v>521</v>
      </c>
      <c r="E24" s="24" t="s">
        <v>521</v>
      </c>
      <c r="F24" s="24" t="s">
        <v>521</v>
      </c>
      <c r="G24" s="24" t="s">
        <v>521</v>
      </c>
      <c r="H24" s="24" t="s">
        <v>521</v>
      </c>
      <c r="I24" s="24" t="s">
        <v>521</v>
      </c>
      <c r="J24" s="24" t="s">
        <v>521</v>
      </c>
    </row>
    <row r="25" spans="1:10" x14ac:dyDescent="0.25">
      <c r="A25" s="23" t="e">
        <f>'1 ubicaciones'!#REF!</f>
        <v>#REF!</v>
      </c>
      <c r="B25" s="23" t="e">
        <f>'1 ubicaciones'!#REF!</f>
        <v>#REF!</v>
      </c>
      <c r="C25" s="28" t="s">
        <v>521</v>
      </c>
      <c r="D25" s="28" t="s">
        <v>521</v>
      </c>
      <c r="E25" s="28" t="s">
        <v>521</v>
      </c>
      <c r="F25" s="28" t="s">
        <v>521</v>
      </c>
      <c r="G25" s="28" t="s">
        <v>521</v>
      </c>
      <c r="H25" s="28" t="s">
        <v>521</v>
      </c>
      <c r="I25" s="28" t="s">
        <v>521</v>
      </c>
      <c r="J25" s="28" t="s">
        <v>521</v>
      </c>
    </row>
    <row r="26" spans="1:10" x14ac:dyDescent="0.25">
      <c r="A26" s="23" t="e">
        <f>'1 ubicaciones'!#REF!</f>
        <v>#REF!</v>
      </c>
      <c r="B26" s="23" t="e">
        <f>'1 ubicaciones'!#REF!</f>
        <v>#REF!</v>
      </c>
      <c r="C26" s="24" t="s">
        <v>521</v>
      </c>
      <c r="D26" s="24" t="s">
        <v>521</v>
      </c>
      <c r="E26" s="24" t="s">
        <v>521</v>
      </c>
      <c r="F26" s="24" t="s">
        <v>521</v>
      </c>
      <c r="G26" s="24" t="s">
        <v>521</v>
      </c>
      <c r="H26" s="24" t="s">
        <v>521</v>
      </c>
      <c r="I26" s="24" t="s">
        <v>521</v>
      </c>
      <c r="J26" s="24" t="s">
        <v>521</v>
      </c>
    </row>
    <row r="27" spans="1:10" x14ac:dyDescent="0.25">
      <c r="A27" s="23" t="e">
        <f>'1 ubicaciones'!#REF!</f>
        <v>#REF!</v>
      </c>
      <c r="B27" s="23" t="e">
        <f>'1 ubicaciones'!#REF!</f>
        <v>#REF!</v>
      </c>
      <c r="C27" s="28" t="s">
        <v>521</v>
      </c>
      <c r="D27" s="28" t="s">
        <v>521</v>
      </c>
      <c r="E27" s="28" t="s">
        <v>521</v>
      </c>
      <c r="F27" s="28" t="s">
        <v>521</v>
      </c>
      <c r="G27" s="28" t="s">
        <v>521</v>
      </c>
      <c r="H27" s="28" t="s">
        <v>521</v>
      </c>
      <c r="I27" s="28" t="s">
        <v>521</v>
      </c>
      <c r="J27" s="28" t="s">
        <v>521</v>
      </c>
    </row>
    <row r="28" spans="1:10" x14ac:dyDescent="0.25">
      <c r="A28" s="23" t="e">
        <f>'1 ubicaciones'!#REF!</f>
        <v>#REF!</v>
      </c>
      <c r="B28" s="23" t="e">
        <f>'1 ubicaciones'!#REF!</f>
        <v>#REF!</v>
      </c>
      <c r="C28" s="24" t="s">
        <v>521</v>
      </c>
      <c r="D28" s="24" t="s">
        <v>521</v>
      </c>
      <c r="E28" s="24" t="s">
        <v>521</v>
      </c>
      <c r="F28" s="24" t="s">
        <v>521</v>
      </c>
      <c r="G28" s="24" t="s">
        <v>521</v>
      </c>
      <c r="H28" s="24" t="s">
        <v>521</v>
      </c>
      <c r="I28" s="24" t="s">
        <v>521</v>
      </c>
      <c r="J28" s="24" t="s">
        <v>521</v>
      </c>
    </row>
    <row r="29" spans="1:10" x14ac:dyDescent="0.25">
      <c r="A29" s="23" t="e">
        <f>'1 ubicaciones'!#REF!</f>
        <v>#REF!</v>
      </c>
      <c r="B29" s="23" t="e">
        <f>'1 ubicaciones'!#REF!</f>
        <v>#REF!</v>
      </c>
      <c r="C29" s="28" t="s">
        <v>521</v>
      </c>
      <c r="D29" s="28" t="s">
        <v>521</v>
      </c>
      <c r="E29" s="28" t="s">
        <v>521</v>
      </c>
      <c r="F29" s="28" t="s">
        <v>521</v>
      </c>
      <c r="G29" s="28" t="s">
        <v>521</v>
      </c>
      <c r="H29" s="28" t="s">
        <v>521</v>
      </c>
      <c r="I29" s="28" t="s">
        <v>521</v>
      </c>
      <c r="J29" s="28" t="s">
        <v>521</v>
      </c>
    </row>
    <row r="30" spans="1:10" x14ac:dyDescent="0.25">
      <c r="A30" s="23" t="e">
        <f>'1 ubicaciones'!#REF!</f>
        <v>#REF!</v>
      </c>
      <c r="B30" s="23" t="e">
        <f>'1 ubicaciones'!#REF!</f>
        <v>#REF!</v>
      </c>
      <c r="C30" s="24" t="s">
        <v>521</v>
      </c>
      <c r="D30" s="24" t="s">
        <v>521</v>
      </c>
      <c r="E30" s="24" t="s">
        <v>521</v>
      </c>
      <c r="F30" s="24" t="s">
        <v>521</v>
      </c>
      <c r="G30" s="24" t="s">
        <v>521</v>
      </c>
      <c r="H30" s="24" t="s">
        <v>521</v>
      </c>
      <c r="I30" s="24" t="s">
        <v>521</v>
      </c>
      <c r="J30" s="24" t="s">
        <v>521</v>
      </c>
    </row>
    <row r="31" spans="1:10" x14ac:dyDescent="0.25">
      <c r="A31" s="23" t="e">
        <f>'1 ubicaciones'!#REF!</f>
        <v>#REF!</v>
      </c>
      <c r="B31" s="23" t="e">
        <f>'1 ubicaciones'!#REF!</f>
        <v>#REF!</v>
      </c>
      <c r="C31" s="28" t="s">
        <v>521</v>
      </c>
      <c r="D31" s="28" t="s">
        <v>521</v>
      </c>
      <c r="E31" s="28" t="s">
        <v>521</v>
      </c>
      <c r="F31" s="28" t="s">
        <v>521</v>
      </c>
      <c r="G31" s="28" t="s">
        <v>521</v>
      </c>
      <c r="H31" s="28" t="s">
        <v>521</v>
      </c>
      <c r="I31" s="28" t="s">
        <v>521</v>
      </c>
      <c r="J31" s="28" t="s">
        <v>521</v>
      </c>
    </row>
    <row r="32" spans="1:10" x14ac:dyDescent="0.25">
      <c r="A32" s="23" t="e">
        <f>'1 ubicaciones'!#REF!</f>
        <v>#REF!</v>
      </c>
      <c r="B32" s="23" t="e">
        <f>'1 ubicaciones'!#REF!</f>
        <v>#REF!</v>
      </c>
      <c r="C32" s="24" t="s">
        <v>521</v>
      </c>
      <c r="D32" s="24" t="s">
        <v>521</v>
      </c>
      <c r="E32" s="24" t="s">
        <v>521</v>
      </c>
      <c r="F32" s="24" t="s">
        <v>521</v>
      </c>
      <c r="G32" s="24" t="s">
        <v>521</v>
      </c>
      <c r="H32" s="24" t="s">
        <v>521</v>
      </c>
      <c r="I32" s="24" t="s">
        <v>521</v>
      </c>
      <c r="J32" s="24" t="s">
        <v>521</v>
      </c>
    </row>
    <row r="33" spans="1:10" x14ac:dyDescent="0.25">
      <c r="A33" s="23" t="e">
        <f>'1 ubicaciones'!#REF!</f>
        <v>#REF!</v>
      </c>
      <c r="B33" s="23" t="e">
        <f>'1 ubicaciones'!#REF!</f>
        <v>#REF!</v>
      </c>
      <c r="C33" s="28" t="s">
        <v>521</v>
      </c>
      <c r="D33" s="28" t="s">
        <v>521</v>
      </c>
      <c r="E33" s="28" t="s">
        <v>521</v>
      </c>
      <c r="F33" s="28" t="s">
        <v>521</v>
      </c>
      <c r="G33" s="28" t="s">
        <v>521</v>
      </c>
      <c r="H33" s="28" t="s">
        <v>521</v>
      </c>
      <c r="I33" s="28" t="s">
        <v>521</v>
      </c>
      <c r="J33" s="28" t="s">
        <v>521</v>
      </c>
    </row>
    <row r="34" spans="1:10" x14ac:dyDescent="0.25">
      <c r="A34" s="23" t="e">
        <f>'1 ubicaciones'!#REF!</f>
        <v>#REF!</v>
      </c>
      <c r="B34" s="23" t="e">
        <f>'1 ubicaciones'!#REF!</f>
        <v>#REF!</v>
      </c>
      <c r="C34" s="24" t="s">
        <v>521</v>
      </c>
      <c r="D34" s="24" t="s">
        <v>521</v>
      </c>
      <c r="E34" s="24" t="s">
        <v>521</v>
      </c>
      <c r="F34" s="24" t="s">
        <v>521</v>
      </c>
      <c r="G34" s="24" t="s">
        <v>521</v>
      </c>
      <c r="H34" s="24" t="s">
        <v>521</v>
      </c>
      <c r="I34" s="24" t="s">
        <v>521</v>
      </c>
      <c r="J34" s="24" t="s">
        <v>521</v>
      </c>
    </row>
    <row r="35" spans="1:10" x14ac:dyDescent="0.25">
      <c r="A35" s="23" t="e">
        <f>'1 ubicaciones'!#REF!</f>
        <v>#REF!</v>
      </c>
      <c r="B35" s="23" t="e">
        <f>'1 ubicaciones'!#REF!</f>
        <v>#REF!</v>
      </c>
      <c r="C35" s="28" t="s">
        <v>521</v>
      </c>
      <c r="D35" s="28" t="s">
        <v>521</v>
      </c>
      <c r="E35" s="28" t="s">
        <v>521</v>
      </c>
      <c r="F35" s="28" t="s">
        <v>521</v>
      </c>
      <c r="G35" s="28" t="s">
        <v>521</v>
      </c>
      <c r="H35" s="28" t="s">
        <v>521</v>
      </c>
      <c r="I35" s="28" t="s">
        <v>521</v>
      </c>
      <c r="J35" s="28" t="s">
        <v>521</v>
      </c>
    </row>
    <row r="36" spans="1:10" x14ac:dyDescent="0.25">
      <c r="A36" s="23" t="e">
        <f>'1 ubicaciones'!#REF!</f>
        <v>#REF!</v>
      </c>
      <c r="B36" s="23" t="e">
        <f>'1 ubicaciones'!#REF!</f>
        <v>#REF!</v>
      </c>
      <c r="C36" s="24" t="s">
        <v>521</v>
      </c>
      <c r="D36" s="24" t="s">
        <v>521</v>
      </c>
      <c r="E36" s="24" t="s">
        <v>521</v>
      </c>
      <c r="F36" s="24" t="s">
        <v>521</v>
      </c>
      <c r="G36" s="24" t="s">
        <v>521</v>
      </c>
      <c r="H36" s="24" t="s">
        <v>521</v>
      </c>
      <c r="I36" s="24" t="s">
        <v>521</v>
      </c>
      <c r="J36" s="24" t="s">
        <v>521</v>
      </c>
    </row>
    <row r="37" spans="1:10" x14ac:dyDescent="0.25">
      <c r="A37" s="23" t="e">
        <f>'1 ubicaciones'!#REF!</f>
        <v>#REF!</v>
      </c>
      <c r="B37" s="23" t="e">
        <f>'1 ubicaciones'!#REF!</f>
        <v>#REF!</v>
      </c>
      <c r="C37" s="28" t="s">
        <v>521</v>
      </c>
      <c r="D37" s="28" t="s">
        <v>521</v>
      </c>
      <c r="E37" s="28" t="s">
        <v>521</v>
      </c>
      <c r="F37" s="28" t="s">
        <v>521</v>
      </c>
      <c r="G37" s="28" t="s">
        <v>521</v>
      </c>
      <c r="H37" s="28" t="s">
        <v>521</v>
      </c>
      <c r="I37" s="28" t="s">
        <v>521</v>
      </c>
      <c r="J37" s="28" t="s">
        <v>521</v>
      </c>
    </row>
    <row r="38" spans="1:10" x14ac:dyDescent="0.25">
      <c r="A38" s="23" t="e">
        <f>'1 ubicaciones'!#REF!</f>
        <v>#REF!</v>
      </c>
      <c r="B38" s="23" t="e">
        <f>'1 ubicaciones'!#REF!</f>
        <v>#REF!</v>
      </c>
      <c r="C38" s="24" t="s">
        <v>521</v>
      </c>
      <c r="D38" s="24" t="s">
        <v>521</v>
      </c>
      <c r="E38" s="24" t="s">
        <v>521</v>
      </c>
      <c r="F38" s="24" t="s">
        <v>521</v>
      </c>
      <c r="G38" s="24" t="s">
        <v>521</v>
      </c>
      <c r="H38" s="24" t="s">
        <v>521</v>
      </c>
      <c r="I38" s="24" t="s">
        <v>521</v>
      </c>
      <c r="J38" s="24" t="s">
        <v>521</v>
      </c>
    </row>
    <row r="39" spans="1:10" x14ac:dyDescent="0.25">
      <c r="A39" s="22" t="e">
        <f>'1 ubicaciones'!#REF!</f>
        <v>#REF!</v>
      </c>
      <c r="B39" s="22" t="e">
        <f>'1 ubicaciones'!#REF!</f>
        <v>#REF!</v>
      </c>
      <c r="C39" s="26" t="s">
        <v>521</v>
      </c>
      <c r="D39" s="26" t="s">
        <v>521</v>
      </c>
      <c r="E39" s="26" t="s">
        <v>521</v>
      </c>
      <c r="F39" s="26" t="s">
        <v>521</v>
      </c>
      <c r="G39" s="26" t="s">
        <v>521</v>
      </c>
      <c r="H39" s="26" t="s">
        <v>521</v>
      </c>
      <c r="I39" s="26" t="s">
        <v>521</v>
      </c>
      <c r="J39" s="26" t="s">
        <v>521</v>
      </c>
    </row>
  </sheetData>
  <conditionalFormatting sqref="C2:J2">
    <cfRule type="cellIs" dxfId="111" priority="1" stopIfTrue="1" operator="equal">
      <formula>"Incompatible"</formula>
    </cfRule>
  </conditionalFormatting>
  <conditionalFormatting sqref="C3:J3">
    <cfRule type="cellIs" dxfId="110" priority="2" stopIfTrue="1" operator="equal">
      <formula>"Incompatible"</formula>
    </cfRule>
  </conditionalFormatting>
  <conditionalFormatting sqref="C4:J4">
    <cfRule type="cellIs" dxfId="109" priority="3" stopIfTrue="1" operator="equal">
      <formula>"Incompatible"</formula>
    </cfRule>
  </conditionalFormatting>
  <conditionalFormatting sqref="C5:J5">
    <cfRule type="cellIs" dxfId="108" priority="4" stopIfTrue="1" operator="equal">
      <formula>"Incompatible"</formula>
    </cfRule>
  </conditionalFormatting>
  <conditionalFormatting sqref="C6:J6">
    <cfRule type="cellIs" dxfId="107" priority="5" stopIfTrue="1" operator="equal">
      <formula>"Incompatible"</formula>
    </cfRule>
  </conditionalFormatting>
  <conditionalFormatting sqref="C7:J7">
    <cfRule type="cellIs" dxfId="106" priority="6" stopIfTrue="1" operator="equal">
      <formula>"Incompatible"</formula>
    </cfRule>
  </conditionalFormatting>
  <conditionalFormatting sqref="C8:J8">
    <cfRule type="cellIs" dxfId="105" priority="7" stopIfTrue="1" operator="equal">
      <formula>"Incompatible"</formula>
    </cfRule>
  </conditionalFormatting>
  <conditionalFormatting sqref="C9:J9">
    <cfRule type="cellIs" dxfId="104" priority="8" stopIfTrue="1" operator="equal">
      <formula>"Incompatible"</formula>
    </cfRule>
  </conditionalFormatting>
  <conditionalFormatting sqref="C10:J10">
    <cfRule type="cellIs" dxfId="103" priority="9" stopIfTrue="1" operator="equal">
      <formula>"Incompatible"</formula>
    </cfRule>
  </conditionalFormatting>
  <conditionalFormatting sqref="C11:J11">
    <cfRule type="cellIs" dxfId="102" priority="10" stopIfTrue="1" operator="equal">
      <formula>"Incompatible"</formula>
    </cfRule>
  </conditionalFormatting>
  <conditionalFormatting sqref="C12:J12">
    <cfRule type="cellIs" dxfId="101" priority="11" stopIfTrue="1" operator="equal">
      <formula>"Incompatible"</formula>
    </cfRule>
  </conditionalFormatting>
  <conditionalFormatting sqref="C13:J13">
    <cfRule type="cellIs" dxfId="100" priority="12" stopIfTrue="1" operator="equal">
      <formula>"Incompatible"</formula>
    </cfRule>
  </conditionalFormatting>
  <conditionalFormatting sqref="C14:J14">
    <cfRule type="cellIs" dxfId="99" priority="13" stopIfTrue="1" operator="equal">
      <formula>"Incompatible"</formula>
    </cfRule>
  </conditionalFormatting>
  <conditionalFormatting sqref="C15:J15">
    <cfRule type="cellIs" dxfId="98" priority="14" stopIfTrue="1" operator="equal">
      <formula>"Incompatible"</formula>
    </cfRule>
  </conditionalFormatting>
  <conditionalFormatting sqref="C16:J16">
    <cfRule type="cellIs" dxfId="97" priority="15" stopIfTrue="1" operator="equal">
      <formula>"Incompatible"</formula>
    </cfRule>
  </conditionalFormatting>
  <conditionalFormatting sqref="C17:J17">
    <cfRule type="cellIs" dxfId="96" priority="16" stopIfTrue="1" operator="equal">
      <formula>"Incompatible"</formula>
    </cfRule>
  </conditionalFormatting>
  <conditionalFormatting sqref="C18:J18">
    <cfRule type="cellIs" dxfId="95" priority="17" stopIfTrue="1" operator="equal">
      <formula>"Incompatible"</formula>
    </cfRule>
  </conditionalFormatting>
  <conditionalFormatting sqref="C19:J19">
    <cfRule type="cellIs" dxfId="94" priority="18" stopIfTrue="1" operator="equal">
      <formula>"Incompatible"</formula>
    </cfRule>
  </conditionalFormatting>
  <conditionalFormatting sqref="C20:J20">
    <cfRule type="cellIs" dxfId="93" priority="19" stopIfTrue="1" operator="equal">
      <formula>"Incompatible"</formula>
    </cfRule>
  </conditionalFormatting>
  <conditionalFormatting sqref="C21:J21">
    <cfRule type="cellIs" dxfId="92" priority="20" stopIfTrue="1" operator="equal">
      <formula>"Incompatible"</formula>
    </cfRule>
  </conditionalFormatting>
  <conditionalFormatting sqref="C22:J22">
    <cfRule type="cellIs" dxfId="91" priority="21" stopIfTrue="1" operator="equal">
      <formula>"Incompatible"</formula>
    </cfRule>
  </conditionalFormatting>
  <conditionalFormatting sqref="C23:J23">
    <cfRule type="cellIs" dxfId="90" priority="22" stopIfTrue="1" operator="equal">
      <formula>"Incompatible"</formula>
    </cfRule>
  </conditionalFormatting>
  <conditionalFormatting sqref="C24:J24">
    <cfRule type="cellIs" dxfId="89" priority="23" stopIfTrue="1" operator="equal">
      <formula>"Incompatible"</formula>
    </cfRule>
  </conditionalFormatting>
  <conditionalFormatting sqref="C25:J25">
    <cfRule type="cellIs" dxfId="88" priority="24" stopIfTrue="1" operator="equal">
      <formula>"Incompatible"</formula>
    </cfRule>
  </conditionalFormatting>
  <conditionalFormatting sqref="C26:J26">
    <cfRule type="cellIs" dxfId="87" priority="25" stopIfTrue="1" operator="equal">
      <formula>"Incompatible"</formula>
    </cfRule>
  </conditionalFormatting>
  <conditionalFormatting sqref="C27:J27">
    <cfRule type="cellIs" dxfId="86" priority="26" stopIfTrue="1" operator="equal">
      <formula>"Incompatible"</formula>
    </cfRule>
  </conditionalFormatting>
  <conditionalFormatting sqref="C28:J28">
    <cfRule type="cellIs" dxfId="85" priority="27" stopIfTrue="1" operator="equal">
      <formula>"Incompatible"</formula>
    </cfRule>
  </conditionalFormatting>
  <conditionalFormatting sqref="C29:J29">
    <cfRule type="cellIs" dxfId="84" priority="28" stopIfTrue="1" operator="equal">
      <formula>"Incompatible"</formula>
    </cfRule>
  </conditionalFormatting>
  <conditionalFormatting sqref="C30:J30">
    <cfRule type="cellIs" dxfId="83" priority="29" stopIfTrue="1" operator="equal">
      <formula>"Incompatible"</formula>
    </cfRule>
  </conditionalFormatting>
  <conditionalFormatting sqref="C31:J31">
    <cfRule type="cellIs" dxfId="82" priority="30" stopIfTrue="1" operator="equal">
      <formula>"Incompatible"</formula>
    </cfRule>
  </conditionalFormatting>
  <conditionalFormatting sqref="C32:J32">
    <cfRule type="cellIs" dxfId="81" priority="31" stopIfTrue="1" operator="equal">
      <formula>"Incompatible"</formula>
    </cfRule>
  </conditionalFormatting>
  <conditionalFormatting sqref="C33:J33">
    <cfRule type="cellIs" dxfId="80" priority="32" stopIfTrue="1" operator="equal">
      <formula>"Incompatible"</formula>
    </cfRule>
  </conditionalFormatting>
  <conditionalFormatting sqref="C34:J34">
    <cfRule type="cellIs" dxfId="79" priority="33" stopIfTrue="1" operator="equal">
      <formula>"Incompatible"</formula>
    </cfRule>
  </conditionalFormatting>
  <conditionalFormatting sqref="C35:J35">
    <cfRule type="cellIs" dxfId="78" priority="34" stopIfTrue="1" operator="equal">
      <formula>"Incompatible"</formula>
    </cfRule>
  </conditionalFormatting>
  <conditionalFormatting sqref="C36:J36">
    <cfRule type="cellIs" dxfId="77" priority="35" stopIfTrue="1" operator="equal">
      <formula>"Incompatible"</formula>
    </cfRule>
  </conditionalFormatting>
  <conditionalFormatting sqref="C37:J37">
    <cfRule type="cellIs" dxfId="76" priority="36" stopIfTrue="1" operator="equal">
      <formula>"Incompatible"</formula>
    </cfRule>
  </conditionalFormatting>
  <conditionalFormatting sqref="C38:J38">
    <cfRule type="cellIs" dxfId="75" priority="37" stopIfTrue="1" operator="equal">
      <formula>"Incompatible"</formula>
    </cfRule>
  </conditionalFormatting>
  <conditionalFormatting sqref="C39:J39">
    <cfRule type="cellIs" dxfId="74" priority="38" stopIfTrue="1" operator="equal">
      <formula>"Incompatible"</formula>
    </cfRule>
  </conditionalFormatting>
  <dataValidations count="1">
    <dataValidation type="list" allowBlank="1" showInputMessage="1" showErrorMessage="1" sqref="C5:J5 C6:J6 C7:J7 C8:J8 C9:J9 C10:J10 C11:J11 C12:J12 C13:J13 C14:J14 C15:J15 C16:J16 C17:J17 C18:J18 C19:J19 C20:J20 C21:J21 C22:J22 C23:J23 C24:J24 C25:J25 C26:J26 C27:J27 C28:J28 C29:J29 C30:J30 C31:J31 C32:J32 C33:J33 C34:J34 C35:J35 C36:J36 C37:J37 C38:J38 C39:J39" xr:uid="{804C23C1-E314-49CC-8036-E552BA7F64ED}">
      <formula1>"Compatible,Incompatible"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50170-3E8E-4664-AED0-DA530970363F}">
  <dimension ref="A1:EC43"/>
  <sheetViews>
    <sheetView topLeftCell="Q1" zoomScale="91" workbookViewId="0">
      <selection activeCell="Q18" sqref="Q18"/>
    </sheetView>
  </sheetViews>
  <sheetFormatPr baseColWidth="10" defaultRowHeight="15" x14ac:dyDescent="0.25"/>
  <cols>
    <col min="1" max="1" width="18.140625" bestFit="1" customWidth="1"/>
    <col min="2" max="2" width="29.28515625" bestFit="1" customWidth="1"/>
    <col min="3" max="3" width="13.85546875" hidden="1" customWidth="1"/>
    <col min="4" max="4" width="16.7109375" bestFit="1" customWidth="1"/>
    <col min="5" max="5" width="20.28515625" bestFit="1" customWidth="1"/>
    <col min="6" max="6" width="14" bestFit="1" customWidth="1"/>
    <col min="7" max="7" width="12.7109375" bestFit="1" customWidth="1"/>
    <col min="8" max="8" width="16.5703125" bestFit="1" customWidth="1"/>
    <col min="9" max="9" width="18.28515625" bestFit="1" customWidth="1"/>
    <col min="10" max="10" width="18.140625" hidden="1" customWidth="1"/>
    <col min="11" max="11" width="19.28515625" hidden="1" customWidth="1"/>
    <col min="12" max="12" width="19.5703125" hidden="1" customWidth="1"/>
    <col min="13" max="13" width="17" hidden="1" customWidth="1"/>
    <col min="14" max="14" width="5.7109375" bestFit="1" customWidth="1"/>
    <col min="18" max="18" width="15.7109375" bestFit="1" customWidth="1"/>
    <col min="19" max="19" width="22.42578125" bestFit="1" customWidth="1"/>
    <col min="20" max="20" width="13.85546875" hidden="1" customWidth="1"/>
    <col min="21" max="21" width="16.7109375" bestFit="1" customWidth="1"/>
    <col min="22" max="22" width="20.28515625" bestFit="1" customWidth="1"/>
    <col min="23" max="23" width="14" bestFit="1" customWidth="1"/>
    <col min="24" max="24" width="12.7109375" bestFit="1" customWidth="1"/>
    <col min="25" max="25" width="16.5703125" bestFit="1" customWidth="1"/>
    <col min="26" max="26" width="18.28515625" bestFit="1" customWidth="1"/>
    <col min="27" max="27" width="18.140625" hidden="1" customWidth="1"/>
    <col min="28" max="28" width="19.28515625" hidden="1" customWidth="1"/>
    <col min="29" max="29" width="19.5703125" hidden="1" customWidth="1"/>
    <col min="30" max="30" width="17" hidden="1" customWidth="1"/>
    <col min="31" max="31" width="5.7109375" bestFit="1" customWidth="1"/>
    <col min="35" max="35" width="15.7109375" bestFit="1" customWidth="1"/>
    <col min="36" max="36" width="18.140625" bestFit="1" customWidth="1"/>
    <col min="37" max="37" width="13.85546875" hidden="1" customWidth="1"/>
    <col min="38" max="38" width="16.7109375" bestFit="1" customWidth="1"/>
    <col min="39" max="39" width="20.28515625" bestFit="1" customWidth="1"/>
    <col min="40" max="40" width="14" bestFit="1" customWidth="1"/>
    <col min="41" max="41" width="12.7109375" bestFit="1" customWidth="1"/>
    <col min="42" max="42" width="16.5703125" bestFit="1" customWidth="1"/>
    <col min="43" max="43" width="18.28515625" bestFit="1" customWidth="1"/>
    <col min="44" max="44" width="18.140625" hidden="1" customWidth="1"/>
    <col min="45" max="45" width="19.28515625" hidden="1" customWidth="1"/>
    <col min="46" max="46" width="19.5703125" hidden="1" customWidth="1"/>
    <col min="47" max="47" width="17" hidden="1" customWidth="1"/>
    <col min="48" max="48" width="5.7109375" bestFit="1" customWidth="1"/>
    <col min="52" max="52" width="15.7109375" bestFit="1" customWidth="1"/>
    <col min="53" max="53" width="20.7109375" bestFit="1" customWidth="1"/>
    <col min="54" max="54" width="13.85546875" hidden="1" customWidth="1"/>
    <col min="55" max="55" width="16.7109375" bestFit="1" customWidth="1"/>
    <col min="56" max="56" width="20.28515625" bestFit="1" customWidth="1"/>
    <col min="57" max="57" width="14" bestFit="1" customWidth="1"/>
    <col min="58" max="58" width="12.7109375" bestFit="1" customWidth="1"/>
    <col min="59" max="59" width="16.5703125" bestFit="1" customWidth="1"/>
    <col min="60" max="60" width="18.28515625" bestFit="1" customWidth="1"/>
    <col min="61" max="61" width="18.140625" hidden="1" customWidth="1"/>
    <col min="62" max="62" width="19.28515625" hidden="1" customWidth="1"/>
    <col min="63" max="63" width="19.5703125" hidden="1" customWidth="1"/>
    <col min="64" max="64" width="17" hidden="1" customWidth="1"/>
    <col min="65" max="65" width="5.7109375" bestFit="1" customWidth="1"/>
    <col min="69" max="69" width="15.7109375" bestFit="1" customWidth="1"/>
    <col min="70" max="70" width="17" bestFit="1" customWidth="1"/>
    <col min="71" max="71" width="13.85546875" hidden="1" customWidth="1"/>
    <col min="72" max="72" width="16.7109375" bestFit="1" customWidth="1"/>
    <col min="73" max="73" width="20.28515625" bestFit="1" customWidth="1"/>
    <col min="74" max="74" width="14" bestFit="1" customWidth="1"/>
    <col min="75" max="75" width="12.7109375" bestFit="1" customWidth="1"/>
    <col min="76" max="76" width="16.5703125" bestFit="1" customWidth="1"/>
    <col min="77" max="77" width="18.28515625" bestFit="1" customWidth="1"/>
    <col min="78" max="78" width="18.140625" hidden="1" customWidth="1"/>
    <col min="79" max="79" width="19.28515625" hidden="1" customWidth="1"/>
    <col min="80" max="80" width="19.5703125" hidden="1" customWidth="1"/>
    <col min="81" max="81" width="17" hidden="1" customWidth="1"/>
    <col min="82" max="82" width="5.7109375" bestFit="1" customWidth="1"/>
    <col min="86" max="86" width="15.7109375" bestFit="1" customWidth="1"/>
    <col min="87" max="87" width="25.5703125" bestFit="1" customWidth="1"/>
    <col min="88" max="88" width="13.85546875" hidden="1" customWidth="1"/>
    <col min="89" max="89" width="16.7109375" bestFit="1" customWidth="1"/>
    <col min="90" max="90" width="20.28515625" bestFit="1" customWidth="1"/>
    <col min="91" max="91" width="14" bestFit="1" customWidth="1"/>
    <col min="92" max="92" width="12.7109375" bestFit="1" customWidth="1"/>
    <col min="93" max="93" width="16.5703125" bestFit="1" customWidth="1"/>
    <col min="94" max="94" width="18.28515625" bestFit="1" customWidth="1"/>
    <col min="95" max="95" width="18.140625" hidden="1" customWidth="1"/>
    <col min="96" max="96" width="19.28515625" hidden="1" customWidth="1"/>
    <col min="97" max="97" width="19.5703125" hidden="1" customWidth="1"/>
    <col min="98" max="98" width="17" hidden="1" customWidth="1"/>
    <col min="99" max="99" width="5.7109375" bestFit="1" customWidth="1"/>
    <col min="103" max="103" width="15.7109375" bestFit="1" customWidth="1"/>
    <col min="104" max="104" width="15.5703125" bestFit="1" customWidth="1"/>
    <col min="105" max="105" width="13.85546875" hidden="1" customWidth="1"/>
    <col min="106" max="106" width="16.7109375" bestFit="1" customWidth="1"/>
    <col min="107" max="107" width="20.28515625" bestFit="1" customWidth="1"/>
    <col min="108" max="108" width="14" bestFit="1" customWidth="1"/>
    <col min="109" max="109" width="12.7109375" bestFit="1" customWidth="1"/>
    <col min="110" max="110" width="16.5703125" bestFit="1" customWidth="1"/>
    <col min="111" max="111" width="18.28515625" bestFit="1" customWidth="1"/>
    <col min="112" max="112" width="18.140625" hidden="1" customWidth="1"/>
    <col min="113" max="113" width="19.28515625" hidden="1" customWidth="1"/>
    <col min="114" max="114" width="19.5703125" hidden="1" customWidth="1"/>
    <col min="115" max="115" width="17" hidden="1" customWidth="1"/>
    <col min="116" max="116" width="5.7109375" bestFit="1" customWidth="1"/>
    <col min="120" max="120" width="15.7109375" bestFit="1" customWidth="1"/>
    <col min="121" max="121" width="23" bestFit="1" customWidth="1"/>
    <col min="122" max="122" width="13.85546875" hidden="1" customWidth="1"/>
    <col min="123" max="123" width="16.7109375" bestFit="1" customWidth="1"/>
    <col min="124" max="124" width="20.28515625" bestFit="1" customWidth="1"/>
    <col min="125" max="125" width="14" bestFit="1" customWidth="1"/>
    <col min="126" max="126" width="12.7109375" bestFit="1" customWidth="1"/>
    <col min="127" max="127" width="16.5703125" bestFit="1" customWidth="1"/>
    <col min="128" max="128" width="18.28515625" bestFit="1" customWidth="1"/>
    <col min="129" max="129" width="18.140625" hidden="1" customWidth="1"/>
    <col min="130" max="130" width="19.28515625" hidden="1" customWidth="1"/>
    <col min="131" max="131" width="19.5703125" hidden="1" customWidth="1"/>
    <col min="132" max="132" width="17" hidden="1" customWidth="1"/>
    <col min="133" max="133" width="5.7109375" bestFit="1" customWidth="1"/>
  </cols>
  <sheetData>
    <row r="1" spans="1:133" s="19" customFormat="1" x14ac:dyDescent="0.25">
      <c r="A1" s="19" t="s">
        <v>248</v>
      </c>
      <c r="B1" s="67" t="e">
        <f>+G3+X3+AO3+BF3+BW3+CN3+DE3+DV3</f>
        <v>#VALUE!</v>
      </c>
    </row>
    <row r="2" spans="1:133" s="19" customFormat="1" x14ac:dyDescent="0.25">
      <c r="B2" s="19" t="s">
        <v>4329</v>
      </c>
      <c r="S2" s="19" t="s">
        <v>4330</v>
      </c>
      <c r="AJ2" s="19" t="s">
        <v>4331</v>
      </c>
      <c r="BA2" s="19" t="s">
        <v>4332</v>
      </c>
      <c r="BR2" s="19" t="s">
        <v>4333</v>
      </c>
      <c r="CI2" s="19" t="s">
        <v>4334</v>
      </c>
    </row>
    <row r="3" spans="1:133" s="19" customFormat="1" x14ac:dyDescent="0.25">
      <c r="A3" s="19" t="s">
        <v>1431</v>
      </c>
      <c r="B3" s="19" t="s">
        <v>4291</v>
      </c>
      <c r="D3" s="19" t="s">
        <v>1414</v>
      </c>
      <c r="E3" s="68">
        <f>COUNTA(B6:B41)</f>
        <v>6</v>
      </c>
      <c r="F3" s="19" t="s">
        <v>893</v>
      </c>
      <c r="G3" s="69" t="e">
        <f>INDEX(I5:I43,E3 + 1)-(INDEX(D5:D43,E3+ 1) * '3.Vehículos'!$E$2)- IF(E3 &gt; 1, '3.Vehículos'!$D$2, 0)</f>
        <v>#VALUE!</v>
      </c>
      <c r="R3" s="19" t="s">
        <v>1431</v>
      </c>
      <c r="S3" s="19" t="s">
        <v>4292</v>
      </c>
      <c r="U3" s="19" t="s">
        <v>1414</v>
      </c>
      <c r="V3" s="68">
        <f>COUNTA(S6:S41)</f>
        <v>5</v>
      </c>
      <c r="W3" s="19" t="s">
        <v>893</v>
      </c>
      <c r="X3" s="69" t="e">
        <f>INDEX(Z5:Z43,V3 + 1)-(INDEX(U5:U43,V3+ 1) * '3.Vehículos'!$E$3)- IF(V3 &gt; 1, '3.Vehículos'!$D$3, 0)</f>
        <v>#VALUE!</v>
      </c>
      <c r="AI3" s="19" t="s">
        <v>1431</v>
      </c>
      <c r="AJ3" s="19" t="s">
        <v>4293</v>
      </c>
      <c r="AL3" s="19" t="s">
        <v>1414</v>
      </c>
      <c r="AM3" s="68">
        <f>COUNTA(AJ6:AJ41)</f>
        <v>6</v>
      </c>
      <c r="AN3" s="19" t="s">
        <v>893</v>
      </c>
      <c r="AO3" s="69" t="e">
        <f>INDEX(AQ5:AQ43,AM3 + 1)-(INDEX(AL5:AL43,AM3+ 1) * '3.Vehículos'!$E$4)- IF(AM3 &gt; 1, '3.Vehículos'!$D$4, 0)</f>
        <v>#VALUE!</v>
      </c>
      <c r="AZ3" s="19" t="s">
        <v>1431</v>
      </c>
      <c r="BA3" s="19" t="s">
        <v>4294</v>
      </c>
      <c r="BC3" s="19" t="s">
        <v>1414</v>
      </c>
      <c r="BD3" s="68">
        <f>COUNTA(BA6:BA41)</f>
        <v>7</v>
      </c>
      <c r="BE3" s="19" t="s">
        <v>893</v>
      </c>
      <c r="BF3" s="69" t="e">
        <f>INDEX(BH5:BH43,BD3 + 1)-(INDEX(BC5:BC43,BD3+ 1) * '3.Vehículos'!$E$5)- IF(BD3 &gt; 1, '3.Vehículos'!$D$5, 0)</f>
        <v>#VALUE!</v>
      </c>
      <c r="BQ3" s="19" t="s">
        <v>1431</v>
      </c>
      <c r="BR3" s="19" t="s">
        <v>4295</v>
      </c>
      <c r="BT3" s="19" t="s">
        <v>1414</v>
      </c>
      <c r="BU3" s="68">
        <f>COUNTA(BR6:BR41)</f>
        <v>6</v>
      </c>
      <c r="BV3" s="19" t="s">
        <v>893</v>
      </c>
      <c r="BW3" s="69" t="e">
        <f>INDEX(BY5:BY43,BU3 + 1)-(INDEX(BT5:BT43,BU3+ 1) * '3.Vehículos'!$E$6)- IF(BU3 &gt; 1, '3.Vehículos'!$D$6, 0)</f>
        <v>#VALUE!</v>
      </c>
      <c r="CH3" s="19" t="s">
        <v>1431</v>
      </c>
      <c r="CI3" s="19" t="s">
        <v>4326</v>
      </c>
      <c r="CK3" s="19" t="s">
        <v>1414</v>
      </c>
      <c r="CL3" s="68">
        <f>COUNTA(CI6:CI41)</f>
        <v>6</v>
      </c>
      <c r="CM3" s="19" t="s">
        <v>893</v>
      </c>
      <c r="CN3" s="69" t="e">
        <f>INDEX(CP5:CP43,CL3 + 1)-(INDEX(CK5:CK43,CL3+ 1) * '3.Vehículos'!$E$10)- IF(CL3 &gt; 1, '3.Vehículos'!$D$10, 0)</f>
        <v>#VALUE!</v>
      </c>
      <c r="CY3" s="19" t="s">
        <v>1431</v>
      </c>
      <c r="CZ3" s="19" t="s">
        <v>4327</v>
      </c>
      <c r="DB3" s="19" t="s">
        <v>1414</v>
      </c>
      <c r="DC3" s="68">
        <f>COUNTA(CZ6:CZ41)</f>
        <v>1</v>
      </c>
      <c r="DD3" s="19" t="s">
        <v>893</v>
      </c>
      <c r="DE3" s="69" t="e">
        <f>INDEX(DG5:DG43,DC3 + 1)-(INDEX(DB5:DB43,DC3+ 1) * '3.Vehículos'!$E$11)- IF(DC3 &gt; 1, '3.Vehículos'!$D$11, 0)</f>
        <v>#VALUE!</v>
      </c>
      <c r="DP3" s="19" t="s">
        <v>1431</v>
      </c>
      <c r="DQ3" s="19" t="s">
        <v>4328</v>
      </c>
      <c r="DS3" s="19" t="s">
        <v>1414</v>
      </c>
      <c r="DT3" s="68">
        <f>COUNTA(DQ6:DQ41)</f>
        <v>6</v>
      </c>
      <c r="DU3" s="19" t="s">
        <v>893</v>
      </c>
      <c r="DV3" s="69" t="e">
        <f>INDEX(DX5:DX43,DT3 + 1)-(INDEX(DS5:DS43,DT3+ 1) * '3.Vehículos'!$E$18)- IF(DT3 &gt; 1, '3.Vehículos'!$D$18, 0)</f>
        <v>#VALUE!</v>
      </c>
    </row>
    <row r="4" spans="1:133" s="19" customFormat="1" x14ac:dyDescent="0.25">
      <c r="A4" s="19" t="s">
        <v>1413</v>
      </c>
      <c r="B4" s="19" t="s">
        <v>884</v>
      </c>
      <c r="C4" s="19" t="s">
        <v>882</v>
      </c>
      <c r="D4" s="19" t="s">
        <v>859</v>
      </c>
      <c r="E4" s="19" t="s">
        <v>865</v>
      </c>
      <c r="F4" s="19" t="s">
        <v>836</v>
      </c>
      <c r="G4" s="19" t="s">
        <v>851</v>
      </c>
      <c r="H4" s="19" t="s">
        <v>1450</v>
      </c>
      <c r="I4" s="19" t="s">
        <v>1397</v>
      </c>
      <c r="J4" s="19" t="s">
        <v>1390</v>
      </c>
      <c r="K4" s="19" t="s">
        <v>850</v>
      </c>
      <c r="L4" s="19" t="s">
        <v>848</v>
      </c>
      <c r="M4" s="19" t="s">
        <v>1415</v>
      </c>
      <c r="N4" s="19" t="s">
        <v>881</v>
      </c>
      <c r="R4" s="19" t="s">
        <v>1413</v>
      </c>
      <c r="S4" s="19" t="s">
        <v>884</v>
      </c>
      <c r="T4" s="19" t="s">
        <v>882</v>
      </c>
      <c r="U4" s="19" t="s">
        <v>859</v>
      </c>
      <c r="V4" s="19" t="s">
        <v>865</v>
      </c>
      <c r="W4" s="19" t="s">
        <v>836</v>
      </c>
      <c r="X4" s="19" t="s">
        <v>851</v>
      </c>
      <c r="Y4" s="19" t="s">
        <v>1450</v>
      </c>
      <c r="Z4" s="19" t="s">
        <v>1397</v>
      </c>
      <c r="AA4" s="19" t="s">
        <v>1390</v>
      </c>
      <c r="AB4" s="19" t="s">
        <v>850</v>
      </c>
      <c r="AC4" s="19" t="s">
        <v>848</v>
      </c>
      <c r="AD4" s="19" t="s">
        <v>1415</v>
      </c>
      <c r="AE4" s="19" t="s">
        <v>881</v>
      </c>
      <c r="AI4" s="19" t="s">
        <v>1413</v>
      </c>
      <c r="AJ4" s="19" t="s">
        <v>884</v>
      </c>
      <c r="AK4" s="19" t="s">
        <v>882</v>
      </c>
      <c r="AL4" s="19" t="s">
        <v>859</v>
      </c>
      <c r="AM4" s="19" t="s">
        <v>865</v>
      </c>
      <c r="AN4" s="19" t="s">
        <v>836</v>
      </c>
      <c r="AO4" s="19" t="s">
        <v>851</v>
      </c>
      <c r="AP4" s="19" t="s">
        <v>1450</v>
      </c>
      <c r="AQ4" s="19" t="s">
        <v>1397</v>
      </c>
      <c r="AR4" s="19" t="s">
        <v>1390</v>
      </c>
      <c r="AS4" s="19" t="s">
        <v>850</v>
      </c>
      <c r="AT4" s="19" t="s">
        <v>848</v>
      </c>
      <c r="AU4" s="19" t="s">
        <v>1415</v>
      </c>
      <c r="AV4" s="19" t="s">
        <v>881</v>
      </c>
      <c r="AZ4" s="19" t="s">
        <v>1413</v>
      </c>
      <c r="BA4" s="19" t="s">
        <v>884</v>
      </c>
      <c r="BB4" s="19" t="s">
        <v>882</v>
      </c>
      <c r="BC4" s="19" t="s">
        <v>859</v>
      </c>
      <c r="BD4" s="19" t="s">
        <v>865</v>
      </c>
      <c r="BE4" s="19" t="s">
        <v>836</v>
      </c>
      <c r="BF4" s="19" t="s">
        <v>851</v>
      </c>
      <c r="BG4" s="19" t="s">
        <v>1450</v>
      </c>
      <c r="BH4" s="19" t="s">
        <v>1397</v>
      </c>
      <c r="BI4" s="19" t="s">
        <v>1390</v>
      </c>
      <c r="BJ4" s="19" t="s">
        <v>850</v>
      </c>
      <c r="BK4" s="19" t="s">
        <v>848</v>
      </c>
      <c r="BL4" s="19" t="s">
        <v>1415</v>
      </c>
      <c r="BM4" s="19" t="s">
        <v>881</v>
      </c>
      <c r="BQ4" s="19" t="s">
        <v>1413</v>
      </c>
      <c r="BR4" s="19" t="s">
        <v>884</v>
      </c>
      <c r="BS4" s="19" t="s">
        <v>882</v>
      </c>
      <c r="BT4" s="19" t="s">
        <v>859</v>
      </c>
      <c r="BU4" s="19" t="s">
        <v>865</v>
      </c>
      <c r="BV4" s="19" t="s">
        <v>836</v>
      </c>
      <c r="BW4" s="19" t="s">
        <v>851</v>
      </c>
      <c r="BX4" s="19" t="s">
        <v>1450</v>
      </c>
      <c r="BY4" s="19" t="s">
        <v>1397</v>
      </c>
      <c r="BZ4" s="19" t="s">
        <v>1390</v>
      </c>
      <c r="CA4" s="19" t="s">
        <v>850</v>
      </c>
      <c r="CB4" s="19" t="s">
        <v>848</v>
      </c>
      <c r="CC4" s="19" t="s">
        <v>1415</v>
      </c>
      <c r="CD4" s="19" t="s">
        <v>881</v>
      </c>
      <c r="CH4" s="19" t="s">
        <v>1413</v>
      </c>
      <c r="CI4" s="19" t="s">
        <v>884</v>
      </c>
      <c r="CJ4" s="19" t="s">
        <v>882</v>
      </c>
      <c r="CK4" s="19" t="s">
        <v>859</v>
      </c>
      <c r="CL4" s="19" t="s">
        <v>865</v>
      </c>
      <c r="CM4" s="19" t="s">
        <v>836</v>
      </c>
      <c r="CN4" s="19" t="s">
        <v>851</v>
      </c>
      <c r="CO4" s="19" t="s">
        <v>1450</v>
      </c>
      <c r="CP4" s="19" t="s">
        <v>1397</v>
      </c>
      <c r="CQ4" s="19" t="s">
        <v>1390</v>
      </c>
      <c r="CR4" s="19" t="s">
        <v>850</v>
      </c>
      <c r="CS4" s="19" t="s">
        <v>848</v>
      </c>
      <c r="CT4" s="19" t="s">
        <v>1415</v>
      </c>
      <c r="CU4" s="19" t="s">
        <v>881</v>
      </c>
      <c r="CY4" s="19" t="s">
        <v>1413</v>
      </c>
      <c r="CZ4" s="19" t="s">
        <v>884</v>
      </c>
      <c r="DA4" s="19" t="s">
        <v>882</v>
      </c>
      <c r="DB4" s="19" t="s">
        <v>859</v>
      </c>
      <c r="DC4" s="19" t="s">
        <v>865</v>
      </c>
      <c r="DD4" s="19" t="s">
        <v>836</v>
      </c>
      <c r="DE4" s="19" t="s">
        <v>851</v>
      </c>
      <c r="DF4" s="19" t="s">
        <v>1450</v>
      </c>
      <c r="DG4" s="19" t="s">
        <v>1397</v>
      </c>
      <c r="DH4" s="19" t="s">
        <v>1390</v>
      </c>
      <c r="DI4" s="19" t="s">
        <v>850</v>
      </c>
      <c r="DJ4" s="19" t="s">
        <v>848</v>
      </c>
      <c r="DK4" s="19" t="s">
        <v>1415</v>
      </c>
      <c r="DL4" s="19" t="s">
        <v>881</v>
      </c>
      <c r="DP4" s="19" t="s">
        <v>1413</v>
      </c>
      <c r="DQ4" s="19" t="s">
        <v>884</v>
      </c>
      <c r="DR4" s="19" t="s">
        <v>882</v>
      </c>
      <c r="DS4" s="19" t="s">
        <v>859</v>
      </c>
      <c r="DT4" s="19" t="s">
        <v>865</v>
      </c>
      <c r="DU4" s="19" t="s">
        <v>836</v>
      </c>
      <c r="DV4" s="19" t="s">
        <v>851</v>
      </c>
      <c r="DW4" s="19" t="s">
        <v>1450</v>
      </c>
      <c r="DX4" s="19" t="s">
        <v>1397</v>
      </c>
      <c r="DY4" s="19" t="s">
        <v>1390</v>
      </c>
      <c r="DZ4" s="19" t="s">
        <v>850</v>
      </c>
      <c r="EA4" s="19" t="s">
        <v>848</v>
      </c>
      <c r="EB4" s="19" t="s">
        <v>1415</v>
      </c>
      <c r="EC4" s="19" t="s">
        <v>881</v>
      </c>
    </row>
    <row r="5" spans="1:133" x14ac:dyDescent="0.25">
      <c r="A5" s="71">
        <v>0</v>
      </c>
      <c r="B5" s="71" t="str">
        <f>'1 ubicaciones'!$B$2</f>
        <v xml:space="preserve"> Arriola 1</v>
      </c>
      <c r="C5" s="71">
        <f>IFERROR(MATCH(B5,'1 ubicaciones'!$B$2:$B$22, 0) - 1," ")</f>
        <v>0</v>
      </c>
      <c r="D5" s="88">
        <v>0</v>
      </c>
      <c r="E5" s="89">
        <v>0</v>
      </c>
      <c r="F5" s="90"/>
      <c r="G5" s="90">
        <f>'3.Vehículos'!$H$2</f>
        <v>0.375</v>
      </c>
      <c r="H5" s="89">
        <v>0</v>
      </c>
      <c r="I5" s="83">
        <v>0</v>
      </c>
      <c r="J5" s="88">
        <v>0</v>
      </c>
      <c r="K5" s="88">
        <v>0</v>
      </c>
      <c r="L5" s="88">
        <v>0</v>
      </c>
      <c r="M5" s="88" t="str">
        <f>IFERROR(IF(ISNUMBER(C5),IF(B6 = B5, 0, IF(B6 = "", 0, M6 + K6))," ")," ")</f>
        <v xml:space="preserve"> </v>
      </c>
      <c r="N5" s="83" t="str">
        <f t="shared" ref="N5:N41" si="0">IFERROR(IF(ISNUMBER(C5),L5 + M5," ")," ")</f>
        <v xml:space="preserve"> </v>
      </c>
      <c r="R5" s="71">
        <v>0</v>
      </c>
      <c r="S5" s="71" t="str">
        <f>'1 ubicaciones'!$B$2</f>
        <v xml:space="preserve"> Arriola 1</v>
      </c>
      <c r="T5" s="71">
        <f>IFERROR(MATCH(S5,'1 ubicaciones'!$B$2:$B$22, 0) - 1," ")</f>
        <v>0</v>
      </c>
      <c r="U5" s="88">
        <v>0</v>
      </c>
      <c r="V5" s="89">
        <v>0</v>
      </c>
      <c r="W5" s="90"/>
      <c r="X5" s="90">
        <f>'3.Vehículos'!$H$3</f>
        <v>0.375</v>
      </c>
      <c r="Y5" s="89">
        <v>0</v>
      </c>
      <c r="Z5" s="83">
        <v>0</v>
      </c>
      <c r="AA5" s="88">
        <v>0</v>
      </c>
      <c r="AB5" s="88">
        <v>0</v>
      </c>
      <c r="AC5" s="88">
        <v>0</v>
      </c>
      <c r="AD5" s="88" t="str">
        <f>IFERROR(IF(ISNUMBER(T5),IF(S6 = S5, 0, IF(S6 = "", 0, AD6 + AB6))," ")," ")</f>
        <v xml:space="preserve"> </v>
      </c>
      <c r="AE5" s="83" t="str">
        <f t="shared" ref="AE5:AE41" si="1">IFERROR(IF(ISNUMBER(T5),AC5 + AD5," ")," ")</f>
        <v xml:space="preserve"> </v>
      </c>
      <c r="AI5" s="71">
        <v>0</v>
      </c>
      <c r="AJ5" s="71" t="str">
        <f>'1 ubicaciones'!$B$2</f>
        <v xml:space="preserve"> Arriola 1</v>
      </c>
      <c r="AK5" s="71">
        <f>IFERROR(MATCH(AJ5,'1 ubicaciones'!$B$2:$B$22, 0) - 1," ")</f>
        <v>0</v>
      </c>
      <c r="AL5" s="88">
        <v>0</v>
      </c>
      <c r="AM5" s="89">
        <v>0</v>
      </c>
      <c r="AN5" s="90"/>
      <c r="AO5" s="90">
        <f>'3.Vehículos'!$H$4</f>
        <v>0.375</v>
      </c>
      <c r="AP5" s="89">
        <v>0</v>
      </c>
      <c r="AQ5" s="83">
        <v>0</v>
      </c>
      <c r="AR5" s="88">
        <v>0</v>
      </c>
      <c r="AS5" s="88">
        <v>0</v>
      </c>
      <c r="AT5" s="88">
        <v>0</v>
      </c>
      <c r="AU5" s="88" t="str">
        <f>IFERROR(IF(ISNUMBER(AK5),IF(AJ6 = AJ5, 0, IF(AJ6 = "", 0, AU6 + AS6))," ")," ")</f>
        <v xml:space="preserve"> </v>
      </c>
      <c r="AV5" s="83" t="str">
        <f t="shared" ref="AV5:AV41" si="2">IFERROR(IF(ISNUMBER(AK5),AT5 + AU5," ")," ")</f>
        <v xml:space="preserve"> </v>
      </c>
      <c r="AZ5" s="71">
        <v>0</v>
      </c>
      <c r="BA5" s="71" t="str">
        <f>'1 ubicaciones'!$B$2</f>
        <v xml:space="preserve"> Arriola 1</v>
      </c>
      <c r="BB5" s="71">
        <f>IFERROR(MATCH(BA5,'1 ubicaciones'!$B$2:$B$22, 0) - 1," ")</f>
        <v>0</v>
      </c>
      <c r="BC5" s="88">
        <v>0</v>
      </c>
      <c r="BD5" s="89">
        <v>0</v>
      </c>
      <c r="BE5" s="90"/>
      <c r="BF5" s="90">
        <f>'3.Vehículos'!$H$5</f>
        <v>0.375</v>
      </c>
      <c r="BG5" s="89">
        <v>0</v>
      </c>
      <c r="BH5" s="83">
        <v>0</v>
      </c>
      <c r="BI5" s="88">
        <v>0</v>
      </c>
      <c r="BJ5" s="88">
        <v>0</v>
      </c>
      <c r="BK5" s="88">
        <v>0</v>
      </c>
      <c r="BL5" s="88" t="str">
        <f>IFERROR(IF(ISNUMBER(BB5),IF(BA6 = BA5, 0, IF(BA6 = "", 0, BL6 + BJ6))," ")," ")</f>
        <v xml:space="preserve"> </v>
      </c>
      <c r="BM5" s="83" t="str">
        <f t="shared" ref="BM5:BM41" si="3">IFERROR(IF(ISNUMBER(BB5),BK5 + BL5," ")," ")</f>
        <v xml:space="preserve"> </v>
      </c>
      <c r="BQ5" s="71">
        <v>0</v>
      </c>
      <c r="BR5" s="71" t="str">
        <f>'1 ubicaciones'!$B$2</f>
        <v xml:space="preserve"> Arriola 1</v>
      </c>
      <c r="BS5" s="71">
        <f>IFERROR(MATCH(BR5,'1 ubicaciones'!$B$2:$B$22, 0) - 1," ")</f>
        <v>0</v>
      </c>
      <c r="BT5" s="88">
        <v>0</v>
      </c>
      <c r="BU5" s="89">
        <v>0</v>
      </c>
      <c r="BV5" s="90"/>
      <c r="BW5" s="90">
        <f>'3.Vehículos'!$H$6</f>
        <v>0.375</v>
      </c>
      <c r="BX5" s="89">
        <v>0</v>
      </c>
      <c r="BY5" s="83">
        <v>0</v>
      </c>
      <c r="BZ5" s="88">
        <v>0</v>
      </c>
      <c r="CA5" s="88">
        <v>0</v>
      </c>
      <c r="CB5" s="88">
        <v>0</v>
      </c>
      <c r="CC5" s="88" t="str">
        <f>IFERROR(IF(ISNUMBER(BS5),IF(BR6 = BR5, 0, IF(BR6 = "", 0, CC6 + CA6))," ")," ")</f>
        <v xml:space="preserve"> </v>
      </c>
      <c r="CD5" s="83" t="str">
        <f t="shared" ref="CD5:CD41" si="4">IFERROR(IF(ISNUMBER(BS5),CB5 + CC5," ")," ")</f>
        <v xml:space="preserve"> </v>
      </c>
      <c r="CH5" s="71">
        <v>0</v>
      </c>
      <c r="CI5" s="71" t="str">
        <f>'1 ubicaciones'!$B$3</f>
        <v xml:space="preserve"> Arriola 2</v>
      </c>
      <c r="CJ5" s="71">
        <f>IFERROR(MATCH(CI5,'1 ubicaciones'!$B$2:$B$22, 0) - 1," ")</f>
        <v>1</v>
      </c>
      <c r="CK5" s="88">
        <v>0</v>
      </c>
      <c r="CL5" s="89">
        <v>0</v>
      </c>
      <c r="CM5" s="90"/>
      <c r="CN5" s="90">
        <f>'3.Vehículos'!$H$10</f>
        <v>0.375</v>
      </c>
      <c r="CO5" s="89">
        <v>0</v>
      </c>
      <c r="CP5" s="83">
        <v>0</v>
      </c>
      <c r="CQ5" s="88">
        <v>0</v>
      </c>
      <c r="CR5" s="88">
        <v>0</v>
      </c>
      <c r="CS5" s="88">
        <v>0</v>
      </c>
      <c r="CT5" s="88" t="str">
        <f>IFERROR(IF(ISNUMBER(CJ5),IF(CI6 = CI5, 0, IF(CI6 = "", 0, CT6 + CR6))," ")," ")</f>
        <v xml:space="preserve"> </v>
      </c>
      <c r="CU5" s="83" t="str">
        <f t="shared" ref="CU5:CU41" si="5">IFERROR(IF(ISNUMBER(CJ5),CS5 + CT5," ")," ")</f>
        <v xml:space="preserve"> </v>
      </c>
      <c r="CY5" s="71">
        <v>0</v>
      </c>
      <c r="CZ5" s="71" t="str">
        <f>'1 ubicaciones'!$B$3</f>
        <v xml:space="preserve"> Arriola 2</v>
      </c>
      <c r="DA5" s="71">
        <f>IFERROR(MATCH(CZ5,'1 ubicaciones'!$B$2:$B$22, 0) - 1," ")</f>
        <v>1</v>
      </c>
      <c r="DB5" s="88">
        <v>0</v>
      </c>
      <c r="DC5" s="89">
        <v>0</v>
      </c>
      <c r="DD5" s="90"/>
      <c r="DE5" s="90">
        <f>'3.Vehículos'!$H$11</f>
        <v>0.375</v>
      </c>
      <c r="DF5" s="89">
        <v>0</v>
      </c>
      <c r="DG5" s="83">
        <v>0</v>
      </c>
      <c r="DH5" s="88">
        <v>0</v>
      </c>
      <c r="DI5" s="88">
        <v>0</v>
      </c>
      <c r="DJ5" s="88">
        <v>0</v>
      </c>
      <c r="DK5" s="88" t="str">
        <f>IFERROR(IF(ISNUMBER(DA5),IF(CZ6 = CZ5, 0, IF(CZ6 = "", 0, DK6 + DI6))," ")," ")</f>
        <v xml:space="preserve"> </v>
      </c>
      <c r="DL5" s="83" t="str">
        <f t="shared" ref="DL5:DL41" si="6">IFERROR(IF(ISNUMBER(DA5),DJ5 + DK5," ")," ")</f>
        <v xml:space="preserve"> </v>
      </c>
      <c r="DP5" s="71">
        <v>0</v>
      </c>
      <c r="DQ5" s="71" t="str">
        <f>'1 ubicaciones'!$B$4</f>
        <v xml:space="preserve"> EESS </v>
      </c>
      <c r="DR5" s="71">
        <f>IFERROR(MATCH(DQ5,'1 ubicaciones'!$B$2:$B$22, 0) - 1," ")</f>
        <v>2</v>
      </c>
      <c r="DS5" s="88">
        <v>0</v>
      </c>
      <c r="DT5" s="89">
        <v>0</v>
      </c>
      <c r="DU5" s="90"/>
      <c r="DV5" s="90">
        <f>'3.Vehículos'!$H$18</f>
        <v>0.375</v>
      </c>
      <c r="DW5" s="89">
        <v>0</v>
      </c>
      <c r="DX5" s="83">
        <v>0</v>
      </c>
      <c r="DY5" s="88">
        <v>0</v>
      </c>
      <c r="DZ5" s="88">
        <v>0</v>
      </c>
      <c r="EA5" s="88">
        <v>0</v>
      </c>
      <c r="EB5" s="88" t="str">
        <f>IFERROR(IF(ISNUMBER(DR5),IF(DQ6 = DQ5, 0, IF(DQ6 = "", 0, EB6 + DZ6))," ")," ")</f>
        <v xml:space="preserve"> </v>
      </c>
      <c r="EC5" s="83" t="str">
        <f t="shared" ref="EC5:EC41" si="7">IFERROR(IF(ISNUMBER(DR5),EA5 + EB5," ")," ")</f>
        <v xml:space="preserve"> </v>
      </c>
    </row>
    <row r="6" spans="1:133" x14ac:dyDescent="0.25">
      <c r="A6" s="23">
        <v>1</v>
      </c>
      <c r="B6" s="63" t="s">
        <v>4301</v>
      </c>
      <c r="C6" s="49" t="str">
        <f>IFERROR(MATCH(B6,'1 ubicaciones'!$B$2:$B$22, 0) - 1," ")</f>
        <v xml:space="preserve"> </v>
      </c>
      <c r="D6" s="58" t="str">
        <f>IFERROR(IF(ISNUMBER(C6),INDEX('2.Distancias'!$C$2:$C$1445,C5*38+C6 + 2) +D5," ")," ")</f>
        <v xml:space="preserve"> </v>
      </c>
      <c r="E6" s="64" t="str">
        <f>IFERROR(IF(ISNUMBER(C6),'3.Vehículos'!$F$2 * INDEX('2.Distancias'!$D$2:$D$1445,C5*38+C6 + 2) +E5," ")," ")</f>
        <v xml:space="preserve"> </v>
      </c>
      <c r="F6" s="92" t="str">
        <f>IFERROR(IF(ISNUMBER(C6),'3.Vehículos'!$F$2 * INDEX('2.Distancias'!$D$2:$D$1445,C5*38+C6 + 2) +G5," ")," ")</f>
        <v xml:space="preserve"> </v>
      </c>
      <c r="G6" s="92" t="str">
        <f>IFERROR(IF(AND(C5&lt;&gt;C6,ISNUMBER(F6)),INDEX('1 ubicaciones'!$I$2:$I$22,C6 + 1) + MAX(F6,INDEX('1 ubicaciones'!$F$2:$F$22,C6 + 1))," ")," ")</f>
        <v xml:space="preserve"> </v>
      </c>
      <c r="H6" s="64" t="str">
        <f>IFERROR(IF(AND(B6 = B5, B7 = ""), F6 - G5, G6 - G5)," ")</f>
        <v xml:space="preserve"> </v>
      </c>
      <c r="I6" s="49" t="str">
        <f>IFERROR(IF(ISNUMBER(C6),INDEX('1 ubicaciones'!$L$2:$L$22,C6 + 1) + I5," ")," ")</f>
        <v xml:space="preserve"> </v>
      </c>
      <c r="J6" s="58" t="str">
        <f>IFERROR(IF(ISNUMBER(C6),INDEX('1 ubicaciones'!$J$2:$J$22,C6 + 1)," ")," ")</f>
        <v xml:space="preserve"> </v>
      </c>
      <c r="K6" s="58" t="str">
        <f>IFERROR(IF(ISNUMBER(C6),INDEX('1 ubicaciones'!$K$2:$K$22,C6 + 1)," ")," ")</f>
        <v xml:space="preserve"> </v>
      </c>
      <c r="L6" s="58" t="str">
        <f>IFERROR(IF(ISNUMBER(C6),IF(B6 = B5, 0, J6 + L5)," ")," ")</f>
        <v xml:space="preserve"> </v>
      </c>
      <c r="M6" s="58" t="str">
        <f>IFERROR(IF(ISNUMBER(C6),IF(B7 = B5, 0, IF(B7 = "", 0, M7 + K7))," ")," ")</f>
        <v xml:space="preserve"> </v>
      </c>
      <c r="N6" s="49" t="str">
        <f t="shared" si="0"/>
        <v xml:space="preserve"> </v>
      </c>
      <c r="R6" s="23">
        <v>1</v>
      </c>
      <c r="S6" s="63" t="s">
        <v>4277</v>
      </c>
      <c r="T6" s="49" t="str">
        <f>IFERROR(MATCH(S6,'1 ubicaciones'!$B$2:$B$22, 0) - 1," ")</f>
        <v xml:space="preserve"> </v>
      </c>
      <c r="U6" s="58" t="str">
        <f>IFERROR(IF(ISNUMBER(T6),INDEX('2.Distancias'!$C$2:$C$1445,T5*38+T6 + 2) +U5," ")," ")</f>
        <v xml:space="preserve"> </v>
      </c>
      <c r="V6" s="64" t="str">
        <f>IFERROR(IF(ISNUMBER(T6),'3.Vehículos'!$F$3 * INDEX('2.Distancias'!$D$2:$D$1445,T5*38+T6 + 2) +V5," ")," ")</f>
        <v xml:space="preserve"> </v>
      </c>
      <c r="W6" s="92" t="str">
        <f>IFERROR(IF(ISNUMBER(T6),'3.Vehículos'!$F$3 * INDEX('2.Distancias'!$D$2:$D$1445,T5*38+T6 + 2) +X5," ")," ")</f>
        <v xml:space="preserve"> </v>
      </c>
      <c r="X6" s="92" t="str">
        <f>IFERROR(IF(AND(T5&lt;&gt;T6,ISNUMBER(W6)),INDEX('1 ubicaciones'!$I$2:$I$22,T6 + 1) + MAX(W6,INDEX('1 ubicaciones'!$F$2:$F$22,T6 + 1))," ")," ")</f>
        <v xml:space="preserve"> </v>
      </c>
      <c r="Y6" s="64" t="str">
        <f>IFERROR(IF(AND(S6 = S5, S7 = ""), W6 - X5, X6 - X5)," ")</f>
        <v xml:space="preserve"> </v>
      </c>
      <c r="Z6" s="49" t="str">
        <f>IFERROR(IF(ISNUMBER(T6),INDEX('1 ubicaciones'!$L$2:$L$22,T6 + 1) + Z5," ")," ")</f>
        <v xml:space="preserve"> </v>
      </c>
      <c r="AA6" s="58" t="str">
        <f>IFERROR(IF(ISNUMBER(T6),INDEX('1 ubicaciones'!$J$2:$J$22,T6 + 1)," ")," ")</f>
        <v xml:space="preserve"> </v>
      </c>
      <c r="AB6" s="58" t="str">
        <f>IFERROR(IF(ISNUMBER(T6),INDEX('1 ubicaciones'!$K$2:$K$22,T6 + 1)," ")," ")</f>
        <v xml:space="preserve"> </v>
      </c>
      <c r="AC6" s="58" t="str">
        <f>IFERROR(IF(ISNUMBER(T6),IF(S6 = S5, 0, AA6 + AC5)," ")," ")</f>
        <v xml:space="preserve"> </v>
      </c>
      <c r="AD6" s="58" t="str">
        <f>IFERROR(IF(ISNUMBER(T6),IF(S7 = S5, 0, IF(S7 = "", 0, AD7 + AB7))," ")," ")</f>
        <v xml:space="preserve"> </v>
      </c>
      <c r="AE6" s="49" t="str">
        <f t="shared" si="1"/>
        <v xml:space="preserve"> </v>
      </c>
      <c r="AI6" s="23">
        <v>1</v>
      </c>
      <c r="AJ6" s="63" t="s">
        <v>4305</v>
      </c>
      <c r="AK6" s="49" t="str">
        <f>IFERROR(MATCH(AJ6,'1 ubicaciones'!$B$2:$B$22, 0) - 1," ")</f>
        <v xml:space="preserve"> </v>
      </c>
      <c r="AL6" s="58" t="str">
        <f>IFERROR(IF(ISNUMBER(AK6),INDEX('2.Distancias'!$C$2:$C$1445,AK5*38+AK6 + 2) +AL5," ")," ")</f>
        <v xml:space="preserve"> </v>
      </c>
      <c r="AM6" s="64" t="str">
        <f>IFERROR(IF(ISNUMBER(AK6),'3.Vehículos'!$F$4 * INDEX('2.Distancias'!$D$2:$D$1445,AK5*38+AK6 + 2) +AM5," ")," ")</f>
        <v xml:space="preserve"> </v>
      </c>
      <c r="AN6" s="92" t="str">
        <f>IFERROR(IF(ISNUMBER(AK6),'3.Vehículos'!$F$4 * INDEX('2.Distancias'!$D$2:$D$1445,AK5*38+AK6 + 2) +AO5," ")," ")</f>
        <v xml:space="preserve"> </v>
      </c>
      <c r="AO6" s="92" t="str">
        <f>IFERROR(IF(AND(AK5&lt;&gt;AK6,ISNUMBER(AN6)),INDEX('1 ubicaciones'!$I$2:$I$22,AK6 + 1) + MAX(AN6,INDEX('1 ubicaciones'!$F$2:$F$22,AK6 + 1))," ")," ")</f>
        <v xml:space="preserve"> </v>
      </c>
      <c r="AP6" s="64" t="str">
        <f>IFERROR(IF(AND(AJ6 = AJ5, AJ7 = ""), AN6 - AO5, AO6 - AO5)," ")</f>
        <v xml:space="preserve"> </v>
      </c>
      <c r="AQ6" s="49" t="str">
        <f>IFERROR(IF(ISNUMBER(AK6),INDEX('1 ubicaciones'!$L$2:$L$22,AK6 + 1) + AQ5," ")," ")</f>
        <v xml:space="preserve"> </v>
      </c>
      <c r="AR6" s="58" t="str">
        <f>IFERROR(IF(ISNUMBER(AK6),INDEX('1 ubicaciones'!$J$2:$J$22,AK6 + 1)," ")," ")</f>
        <v xml:space="preserve"> </v>
      </c>
      <c r="AS6" s="58" t="str">
        <f>IFERROR(IF(ISNUMBER(AK6),INDEX('1 ubicaciones'!$K$2:$K$22,AK6 + 1)," ")," ")</f>
        <v xml:space="preserve"> </v>
      </c>
      <c r="AT6" s="58" t="str">
        <f>IFERROR(IF(ISNUMBER(AK6),IF(AJ6 = AJ5, 0, AR6 + AT5)," ")," ")</f>
        <v xml:space="preserve"> </v>
      </c>
      <c r="AU6" s="58" t="str">
        <f>IFERROR(IF(ISNUMBER(AK6),IF(AJ7 = AJ5, 0, IF(AJ7 = "", 0, AU7 + AS7))," ")," ")</f>
        <v xml:space="preserve"> </v>
      </c>
      <c r="AV6" s="49" t="str">
        <f t="shared" si="2"/>
        <v xml:space="preserve"> </v>
      </c>
      <c r="AZ6" s="23">
        <v>1</v>
      </c>
      <c r="BA6" s="63" t="s">
        <v>4311</v>
      </c>
      <c r="BB6" s="49" t="str">
        <f>IFERROR(MATCH(BA6,'1 ubicaciones'!$B$2:$B$22, 0) - 1," ")</f>
        <v xml:space="preserve"> </v>
      </c>
      <c r="BC6" s="58" t="str">
        <f>IFERROR(IF(ISNUMBER(BB6),INDEX('2.Distancias'!$C$2:$C$1445,BB5*38+BB6 + 2) +BC5," ")," ")</f>
        <v xml:space="preserve"> </v>
      </c>
      <c r="BD6" s="64" t="str">
        <f>IFERROR(IF(ISNUMBER(BB6),'3.Vehículos'!$F$5 * INDEX('2.Distancias'!$D$2:$D$1445,BB5*38+BB6 + 2) +BD5," ")," ")</f>
        <v xml:space="preserve"> </v>
      </c>
      <c r="BE6" s="92" t="str">
        <f>IFERROR(IF(ISNUMBER(BB6),'3.Vehículos'!$F$5 * INDEX('2.Distancias'!$D$2:$D$1445,BB5*38+BB6 + 2) +BF5," ")," ")</f>
        <v xml:space="preserve"> </v>
      </c>
      <c r="BF6" s="92" t="str">
        <f>IFERROR(IF(AND(BB5&lt;&gt;BB6,ISNUMBER(BE6)),INDEX('1 ubicaciones'!$I$2:$I$22,BB6 + 1) + MAX(BE6,INDEX('1 ubicaciones'!$F$2:$F$22,BB6 + 1))," ")," ")</f>
        <v xml:space="preserve"> </v>
      </c>
      <c r="BG6" s="64" t="str">
        <f>IFERROR(IF(AND(BA6 = BA5, BA7 = ""), BE6 - BF5, BF6 - BF5)," ")</f>
        <v xml:space="preserve"> </v>
      </c>
      <c r="BH6" s="49" t="str">
        <f>IFERROR(IF(ISNUMBER(BB6),INDEX('1 ubicaciones'!$L$2:$L$22,BB6 + 1) + BH5," ")," ")</f>
        <v xml:space="preserve"> </v>
      </c>
      <c r="BI6" s="58" t="str">
        <f>IFERROR(IF(ISNUMBER(BB6),INDEX('1 ubicaciones'!$J$2:$J$22,BB6 + 1)," ")," ")</f>
        <v xml:space="preserve"> </v>
      </c>
      <c r="BJ6" s="58" t="str">
        <f>IFERROR(IF(ISNUMBER(BB6),INDEX('1 ubicaciones'!$K$2:$K$22,BB6 + 1)," ")," ")</f>
        <v xml:space="preserve"> </v>
      </c>
      <c r="BK6" s="58" t="str">
        <f>IFERROR(IF(ISNUMBER(BB6),IF(BA6 = BA5, 0, BI6 + BK5)," ")," ")</f>
        <v xml:space="preserve"> </v>
      </c>
      <c r="BL6" s="58" t="str">
        <f>IFERROR(IF(ISNUMBER(BB6),IF(BA7 = BA5, 0, IF(BA7 = "", 0, BL7 + BJ7))," ")," ")</f>
        <v xml:space="preserve"> </v>
      </c>
      <c r="BM6" s="49" t="str">
        <f t="shared" si="3"/>
        <v xml:space="preserve"> </v>
      </c>
      <c r="BQ6" s="23">
        <v>1</v>
      </c>
      <c r="BR6" s="63" t="s">
        <v>4324</v>
      </c>
      <c r="BS6" s="49" t="str">
        <f>IFERROR(MATCH(BR6,'1 ubicaciones'!$B$2:$B$22, 0) - 1," ")</f>
        <v xml:space="preserve"> </v>
      </c>
      <c r="BT6" s="58" t="str">
        <f>IFERROR(IF(ISNUMBER(BS6),INDEX('2.Distancias'!$C$2:$C$1445,BS5*38+BS6 + 2) +BT5," ")," ")</f>
        <v xml:space="preserve"> </v>
      </c>
      <c r="BU6" s="64" t="str">
        <f>IFERROR(IF(ISNUMBER(BS6),'3.Vehículos'!$F$6 * INDEX('2.Distancias'!$D$2:$D$1445,BS5*38+BS6 + 2) +BU5," ")," ")</f>
        <v xml:space="preserve"> </v>
      </c>
      <c r="BV6" s="92" t="str">
        <f>IFERROR(IF(ISNUMBER(BS6),'3.Vehículos'!$F$6 * INDEX('2.Distancias'!$D$2:$D$1445,BS5*38+BS6 + 2) +BW5," ")," ")</f>
        <v xml:space="preserve"> </v>
      </c>
      <c r="BW6" s="92" t="str">
        <f>IFERROR(IF(AND(BS5&lt;&gt;BS6,ISNUMBER(BV6)),INDEX('1 ubicaciones'!$I$2:$I$22,BS6 + 1) + MAX(BV6,INDEX('1 ubicaciones'!$F$2:$F$22,BS6 + 1))," ")," ")</f>
        <v xml:space="preserve"> </v>
      </c>
      <c r="BX6" s="64" t="str">
        <f>IFERROR(IF(AND(BR6 = BR5, BR7 = ""), BV6 - BW5, BW6 - BW5)," ")</f>
        <v xml:space="preserve"> </v>
      </c>
      <c r="BY6" s="49" t="str">
        <f>IFERROR(IF(ISNUMBER(BS6),INDEX('1 ubicaciones'!$L$2:$L$22,BS6 + 1) + BY5," ")," ")</f>
        <v xml:space="preserve"> </v>
      </c>
      <c r="BZ6" s="58" t="str">
        <f>IFERROR(IF(ISNUMBER(BS6),INDEX('1 ubicaciones'!$J$2:$J$22,BS6 + 1)," ")," ")</f>
        <v xml:space="preserve"> </v>
      </c>
      <c r="CA6" s="58" t="str">
        <f>IFERROR(IF(ISNUMBER(BS6),INDEX('1 ubicaciones'!$K$2:$K$22,BS6 + 1)," ")," ")</f>
        <v xml:space="preserve"> </v>
      </c>
      <c r="CB6" s="58" t="str">
        <f>IFERROR(IF(ISNUMBER(BS6),IF(BR6 = BR5, 0, BZ6 + CB5)," ")," ")</f>
        <v xml:space="preserve"> </v>
      </c>
      <c r="CC6" s="58" t="str">
        <f>IFERROR(IF(ISNUMBER(BS6),IF(BR7 = BR5, 0, IF(BR7 = "", 0, CC7 + CA7))," ")," ")</f>
        <v xml:space="preserve"> </v>
      </c>
      <c r="CD6" s="49" t="str">
        <f t="shared" si="4"/>
        <v xml:space="preserve"> </v>
      </c>
      <c r="CH6" s="23">
        <v>1</v>
      </c>
      <c r="CI6" s="63" t="s">
        <v>4322</v>
      </c>
      <c r="CJ6" s="49" t="str">
        <f>IFERROR(MATCH(CI6,'1 ubicaciones'!$B$2:$B$22, 0) - 1," ")</f>
        <v xml:space="preserve"> </v>
      </c>
      <c r="CK6" s="58" t="str">
        <f>IFERROR(IF(ISNUMBER(CJ6),INDEX('2.Distancias'!$C$2:$C$1445,CJ5*38+CJ6 + 2) +CK5," ")," ")</f>
        <v xml:space="preserve"> </v>
      </c>
      <c r="CL6" s="64" t="str">
        <f>IFERROR(IF(ISNUMBER(CJ6),'3.Vehículos'!$F$10 * INDEX('2.Distancias'!$D$2:$D$1445,CJ5*38+CJ6 + 2) +CL5," ")," ")</f>
        <v xml:space="preserve"> </v>
      </c>
      <c r="CM6" s="92" t="str">
        <f>IFERROR(IF(ISNUMBER(CJ6),'3.Vehículos'!$F$10 * INDEX('2.Distancias'!$D$2:$D$1445,CJ5*38+CJ6 + 2) +CN5," ")," ")</f>
        <v xml:space="preserve"> </v>
      </c>
      <c r="CN6" s="92" t="str">
        <f>IFERROR(IF(AND(CJ5&lt;&gt;CJ6,ISNUMBER(CM6)),INDEX('1 ubicaciones'!$I$2:$I$22,CJ6 + 1) + MAX(CM6,INDEX('1 ubicaciones'!$F$2:$F$22,CJ6 + 1))," ")," ")</f>
        <v xml:space="preserve"> </v>
      </c>
      <c r="CO6" s="64" t="str">
        <f>IFERROR(IF(AND(CI6 = CI5, CI7 = ""), CM6 - CN5, CN6 - CN5)," ")</f>
        <v xml:space="preserve"> </v>
      </c>
      <c r="CP6" s="49" t="str">
        <f>IFERROR(IF(ISNUMBER(CJ6),INDEX('1 ubicaciones'!$L$2:$L$22,CJ6 + 1) + CP5," ")," ")</f>
        <v xml:space="preserve"> </v>
      </c>
      <c r="CQ6" s="58" t="str">
        <f>IFERROR(IF(ISNUMBER(CJ6),INDEX('1 ubicaciones'!$J$2:$J$22,CJ6 + 1)," ")," ")</f>
        <v xml:space="preserve"> </v>
      </c>
      <c r="CR6" s="58" t="str">
        <f>IFERROR(IF(ISNUMBER(CJ6),INDEX('1 ubicaciones'!$K$2:$K$22,CJ6 + 1)," ")," ")</f>
        <v xml:space="preserve"> </v>
      </c>
      <c r="CS6" s="58" t="str">
        <f>IFERROR(IF(ISNUMBER(CJ6),IF(CI6 = CI5, 0, CQ6 + CS5)," ")," ")</f>
        <v xml:space="preserve"> </v>
      </c>
      <c r="CT6" s="58" t="str">
        <f>IFERROR(IF(ISNUMBER(CJ6),IF(CI7 = CI5, 0, IF(CI7 = "", 0, CT7 + CR7))," ")," ")</f>
        <v xml:space="preserve"> </v>
      </c>
      <c r="CU6" s="49" t="str">
        <f t="shared" si="5"/>
        <v xml:space="preserve"> </v>
      </c>
      <c r="CY6" s="23">
        <v>1</v>
      </c>
      <c r="CZ6" s="63" t="s">
        <v>4299</v>
      </c>
      <c r="DA6" s="49" t="str">
        <f>IFERROR(MATCH(CZ6,'1 ubicaciones'!$B$2:$B$22, 0) - 1," ")</f>
        <v xml:space="preserve"> </v>
      </c>
      <c r="DB6" s="58" t="str">
        <f>IFERROR(IF(ISNUMBER(DA6),INDEX('2.Distancias'!$C$2:$C$1445,DA5*38+DA6 + 2) +DB5," ")," ")</f>
        <v xml:space="preserve"> </v>
      </c>
      <c r="DC6" s="64" t="str">
        <f>IFERROR(IF(ISNUMBER(DA6),'3.Vehículos'!$F$11 * INDEX('2.Distancias'!$D$2:$D$1445,DA5*38+DA6 + 2) +DC5," ")," ")</f>
        <v xml:space="preserve"> </v>
      </c>
      <c r="DD6" s="92" t="str">
        <f>IFERROR(IF(ISNUMBER(DA6),'3.Vehículos'!$F$11 * INDEX('2.Distancias'!$D$2:$D$1445,DA5*38+DA6 + 2) +DE5," ")," ")</f>
        <v xml:space="preserve"> </v>
      </c>
      <c r="DE6" s="92" t="str">
        <f>IFERROR(IF(AND(DA5&lt;&gt;DA6,ISNUMBER(DD6)),INDEX('1 ubicaciones'!$I$2:$I$22,DA6 + 1) + MAX(DD6,INDEX('1 ubicaciones'!$F$2:$F$22,DA6 + 1))," ")," ")</f>
        <v xml:space="preserve"> </v>
      </c>
      <c r="DF6" s="64" t="str">
        <f>IFERROR(IF(AND(CZ6 = CZ5, CZ7 = ""), DD6 - DE5, DE6 - DE5)," ")</f>
        <v xml:space="preserve"> </v>
      </c>
      <c r="DG6" s="49" t="str">
        <f>IFERROR(IF(ISNUMBER(DA6),INDEX('1 ubicaciones'!$L$2:$L$22,DA6 + 1) + DG5," ")," ")</f>
        <v xml:space="preserve"> </v>
      </c>
      <c r="DH6" s="58" t="str">
        <f>IFERROR(IF(ISNUMBER(DA6),INDEX('1 ubicaciones'!$J$2:$J$22,DA6 + 1)," ")," ")</f>
        <v xml:space="preserve"> </v>
      </c>
      <c r="DI6" s="58" t="str">
        <f>IFERROR(IF(ISNUMBER(DA6),INDEX('1 ubicaciones'!$K$2:$K$22,DA6 + 1)," ")," ")</f>
        <v xml:space="preserve"> </v>
      </c>
      <c r="DJ6" s="58" t="str">
        <f>IFERROR(IF(ISNUMBER(DA6),IF(CZ6 = CZ5, 0, DH6 + DJ5)," ")," ")</f>
        <v xml:space="preserve"> </v>
      </c>
      <c r="DK6" s="58" t="str">
        <f>IFERROR(IF(ISNUMBER(DA6),IF(CZ7 = CZ5, 0, IF(CZ7 = "", 0, DK7 + DI7))," ")," ")</f>
        <v xml:space="preserve"> </v>
      </c>
      <c r="DL6" s="49" t="str">
        <f t="shared" si="6"/>
        <v xml:space="preserve"> </v>
      </c>
      <c r="DP6" s="23">
        <v>1</v>
      </c>
      <c r="DQ6" s="63" t="s">
        <v>4300</v>
      </c>
      <c r="DR6" s="49" t="str">
        <f>IFERROR(MATCH(DQ6,'1 ubicaciones'!$B$2:$B$22, 0) - 1," ")</f>
        <v xml:space="preserve"> </v>
      </c>
      <c r="DS6" s="58" t="str">
        <f>IFERROR(IF(ISNUMBER(DR6),INDEX('2.Distancias'!$C$2:$C$1445,DR5*38+DR6 + 2) +DS5," ")," ")</f>
        <v xml:space="preserve"> </v>
      </c>
      <c r="DT6" s="64" t="str">
        <f>IFERROR(IF(ISNUMBER(DR6),'3.Vehículos'!$F$18 * INDEX('2.Distancias'!$D$2:$D$1445,DR5*38+DR6 + 2) +DT5," ")," ")</f>
        <v xml:space="preserve"> </v>
      </c>
      <c r="DU6" s="92" t="str">
        <f>IFERROR(IF(ISNUMBER(DR6),'3.Vehículos'!$F$18 * INDEX('2.Distancias'!$D$2:$D$1445,DR5*38+DR6 + 2) +DV5," ")," ")</f>
        <v xml:space="preserve"> </v>
      </c>
      <c r="DV6" s="92" t="str">
        <f>IFERROR(IF(AND(DR5&lt;&gt;DR6,ISNUMBER(DU6)),INDEX('1 ubicaciones'!$I$2:$I$22,DR6 + 1) + MAX(DU6,INDEX('1 ubicaciones'!$F$2:$F$22,DR6 + 1))," ")," ")</f>
        <v xml:space="preserve"> </v>
      </c>
      <c r="DW6" s="64" t="str">
        <f>IFERROR(IF(AND(DQ6 = DQ5, DQ7 = ""), DU6 - DV5, DV6 - DV5)," ")</f>
        <v xml:space="preserve"> </v>
      </c>
      <c r="DX6" s="49" t="str">
        <f>IFERROR(IF(ISNUMBER(DR6),INDEX('1 ubicaciones'!$L$2:$L$22,DR6 + 1) + DX5," ")," ")</f>
        <v xml:space="preserve"> </v>
      </c>
      <c r="DY6" s="58" t="str">
        <f>IFERROR(IF(ISNUMBER(DR6),INDEX('1 ubicaciones'!$J$2:$J$22,DR6 + 1)," ")," ")</f>
        <v xml:space="preserve"> </v>
      </c>
      <c r="DZ6" s="58" t="str">
        <f>IFERROR(IF(ISNUMBER(DR6),INDEX('1 ubicaciones'!$K$2:$K$22,DR6 + 1)," ")," ")</f>
        <v xml:space="preserve"> </v>
      </c>
      <c r="EA6" s="58" t="str">
        <f>IFERROR(IF(ISNUMBER(DR6),IF(DQ6 = DQ5, 0, DY6 + EA5)," ")," ")</f>
        <v xml:space="preserve"> </v>
      </c>
      <c r="EB6" s="58" t="str">
        <f>IFERROR(IF(ISNUMBER(DR6),IF(DQ7 = DQ5, 0, IF(DQ7 = "", 0, EB7 + DZ7))," ")," ")</f>
        <v xml:space="preserve"> </v>
      </c>
      <c r="EC6" s="49" t="str">
        <f t="shared" si="7"/>
        <v xml:space="preserve"> </v>
      </c>
    </row>
    <row r="7" spans="1:133" x14ac:dyDescent="0.25">
      <c r="A7" s="23">
        <v>2</v>
      </c>
      <c r="B7" s="66" t="s">
        <v>4321</v>
      </c>
      <c r="C7" s="49" t="str">
        <f>IFERROR(MATCH(B7,'1 ubicaciones'!$B$2:$B$22, 0) - 1," ")</f>
        <v xml:space="preserve"> </v>
      </c>
      <c r="D7" s="58" t="str">
        <f>IFERROR(IF(ISNUMBER(C7),INDEX('2.Distancias'!$C$2:$C$1445,C6*38+C7 + 2) +D6," ")," ")</f>
        <v xml:space="preserve"> </v>
      </c>
      <c r="E7" s="64" t="str">
        <f>IFERROR(IF(ISNUMBER(C7),'3.Vehículos'!$F$2 * INDEX('2.Distancias'!$D$2:$D$1445,C6*38+C7 + 2) +E6," ")," ")</f>
        <v xml:space="preserve"> </v>
      </c>
      <c r="F7" s="92" t="str">
        <f>IFERROR(IF(ISNUMBER(C7),'3.Vehículos'!$F$2 * INDEX('2.Distancias'!$D$2:$D$1445,C6*38+C7 + 2) +G6," ")," ")</f>
        <v xml:space="preserve"> </v>
      </c>
      <c r="G7" s="92" t="str">
        <f>IFERROR(IF(AND(C5&lt;&gt;C7,ISNUMBER(F7)),INDEX('1 ubicaciones'!$I$2:$I$22,C7 + 1) + MAX(F7,INDEX('1 ubicaciones'!$F$2:$F$22,C7 + 1))," ")," ")</f>
        <v xml:space="preserve"> </v>
      </c>
      <c r="H7" s="64" t="str">
        <f>IFERROR(IF(AND(B7 = B5, B8 = ""), F7 - G5, G7 - G5)," ")</f>
        <v xml:space="preserve"> </v>
      </c>
      <c r="I7" s="49" t="str">
        <f>IFERROR(IF(ISNUMBER(C7),INDEX('1 ubicaciones'!$L$2:$L$22,C7 + 1) + I6," ")," ")</f>
        <v xml:space="preserve"> </v>
      </c>
      <c r="J7" s="58" t="str">
        <f>IFERROR(IF(ISNUMBER(C7),INDEX('1 ubicaciones'!$J$2:$J$22,C7 + 1)," ")," ")</f>
        <v xml:space="preserve"> </v>
      </c>
      <c r="K7" s="58" t="str">
        <f>IFERROR(IF(ISNUMBER(C7),INDEX('1 ubicaciones'!$K$2:$K$22,C7 + 1)," ")," ")</f>
        <v xml:space="preserve"> </v>
      </c>
      <c r="L7" s="58" t="str">
        <f>IFERROR(IF(ISNUMBER(C7),IF(B7 = B5, 0, J7 + L6)," ")," ")</f>
        <v xml:space="preserve"> </v>
      </c>
      <c r="M7" s="58" t="str">
        <f>IFERROR(IF(ISNUMBER(C7),IF(B8 = B5, 0, IF(B8 = "", 0, M8 + K8))," ")," ")</f>
        <v xml:space="preserve"> </v>
      </c>
      <c r="N7" s="49" t="str">
        <f t="shared" si="0"/>
        <v xml:space="preserve"> </v>
      </c>
      <c r="R7" s="23">
        <v>2</v>
      </c>
      <c r="S7" s="66" t="s">
        <v>4316</v>
      </c>
      <c r="T7" s="49" t="str">
        <f>IFERROR(MATCH(S7,'1 ubicaciones'!$B$2:$B$22, 0) - 1," ")</f>
        <v xml:space="preserve"> </v>
      </c>
      <c r="U7" s="58" t="str">
        <f>IFERROR(IF(ISNUMBER(T7),INDEX('2.Distancias'!$C$2:$C$1445,T6*38+T7 + 2) +U6," ")," ")</f>
        <v xml:space="preserve"> </v>
      </c>
      <c r="V7" s="64" t="str">
        <f>IFERROR(IF(ISNUMBER(T7),'3.Vehículos'!$F$3 * INDEX('2.Distancias'!$D$2:$D$1445,T6*38+T7 + 2) +V6," ")," ")</f>
        <v xml:space="preserve"> </v>
      </c>
      <c r="W7" s="92" t="str">
        <f>IFERROR(IF(ISNUMBER(T7),'3.Vehículos'!$F$3 * INDEX('2.Distancias'!$D$2:$D$1445,T6*38+T7 + 2) +X6," ")," ")</f>
        <v xml:space="preserve"> </v>
      </c>
      <c r="X7" s="92" t="str">
        <f>IFERROR(IF(AND(T5&lt;&gt;T7,ISNUMBER(W7)),INDEX('1 ubicaciones'!$I$2:$I$22,T7 + 1) + MAX(W7,INDEX('1 ubicaciones'!$F$2:$F$22,T7 + 1))," ")," ")</f>
        <v xml:space="preserve"> </v>
      </c>
      <c r="Y7" s="64" t="str">
        <f>IFERROR(IF(AND(S7 = S5, S8 = ""), W7 - X5, X7 - X5)," ")</f>
        <v xml:space="preserve"> </v>
      </c>
      <c r="Z7" s="49" t="str">
        <f>IFERROR(IF(ISNUMBER(T7),INDEX('1 ubicaciones'!$L$2:$L$22,T7 + 1) + Z6," ")," ")</f>
        <v xml:space="preserve"> </v>
      </c>
      <c r="AA7" s="58" t="str">
        <f>IFERROR(IF(ISNUMBER(T7),INDEX('1 ubicaciones'!$J$2:$J$22,T7 + 1)," ")," ")</f>
        <v xml:space="preserve"> </v>
      </c>
      <c r="AB7" s="58" t="str">
        <f>IFERROR(IF(ISNUMBER(T7),INDEX('1 ubicaciones'!$K$2:$K$22,T7 + 1)," ")," ")</f>
        <v xml:space="preserve"> </v>
      </c>
      <c r="AC7" s="58" t="str">
        <f>IFERROR(IF(ISNUMBER(T7),IF(S7 = S5, 0, AA7 + AC6)," ")," ")</f>
        <v xml:space="preserve"> </v>
      </c>
      <c r="AD7" s="58" t="str">
        <f>IFERROR(IF(ISNUMBER(T7),IF(S8 = S5, 0, IF(S8 = "", 0, AD8 + AB8))," ")," ")</f>
        <v xml:space="preserve"> </v>
      </c>
      <c r="AE7" s="49" t="str">
        <f t="shared" si="1"/>
        <v xml:space="preserve"> </v>
      </c>
      <c r="AI7" s="23">
        <v>2</v>
      </c>
      <c r="AJ7" s="66" t="s">
        <v>4313</v>
      </c>
      <c r="AK7" s="49" t="str">
        <f>IFERROR(MATCH(AJ7,'1 ubicaciones'!$B$2:$B$22, 0) - 1," ")</f>
        <v xml:space="preserve"> </v>
      </c>
      <c r="AL7" s="58" t="str">
        <f>IFERROR(IF(ISNUMBER(AK7),INDEX('2.Distancias'!$C$2:$C$1445,AK6*38+AK7 + 2) +AL6," ")," ")</f>
        <v xml:space="preserve"> </v>
      </c>
      <c r="AM7" s="64" t="str">
        <f>IFERROR(IF(ISNUMBER(AK7),'3.Vehículos'!$F$4 * INDEX('2.Distancias'!$D$2:$D$1445,AK6*38+AK7 + 2) +AM6," ")," ")</f>
        <v xml:space="preserve"> </v>
      </c>
      <c r="AN7" s="92" t="str">
        <f>IFERROR(IF(ISNUMBER(AK7),'3.Vehículos'!$F$4 * INDEX('2.Distancias'!$D$2:$D$1445,AK6*38+AK7 + 2) +AO6," ")," ")</f>
        <v xml:space="preserve"> </v>
      </c>
      <c r="AO7" s="92" t="str">
        <f>IFERROR(IF(AND(AK5&lt;&gt;AK7,ISNUMBER(AN7)),INDEX('1 ubicaciones'!$I$2:$I$22,AK7 + 1) + MAX(AN7,INDEX('1 ubicaciones'!$F$2:$F$22,AK7 + 1))," ")," ")</f>
        <v xml:space="preserve"> </v>
      </c>
      <c r="AP7" s="64" t="str">
        <f>IFERROR(IF(AND(AJ7 = AJ5, AJ8 = ""), AN7 - AO5, AO7 - AO5)," ")</f>
        <v xml:space="preserve"> </v>
      </c>
      <c r="AQ7" s="49" t="str">
        <f>IFERROR(IF(ISNUMBER(AK7),INDEX('1 ubicaciones'!$L$2:$L$22,AK7 + 1) + AQ6," ")," ")</f>
        <v xml:space="preserve"> </v>
      </c>
      <c r="AR7" s="58" t="str">
        <f>IFERROR(IF(ISNUMBER(AK7),INDEX('1 ubicaciones'!$J$2:$J$22,AK7 + 1)," ")," ")</f>
        <v xml:space="preserve"> </v>
      </c>
      <c r="AS7" s="58" t="str">
        <f>IFERROR(IF(ISNUMBER(AK7),INDEX('1 ubicaciones'!$K$2:$K$22,AK7 + 1)," ")," ")</f>
        <v xml:space="preserve"> </v>
      </c>
      <c r="AT7" s="58" t="str">
        <f>IFERROR(IF(ISNUMBER(AK7),IF(AJ7 = AJ5, 0, AR7 + AT6)," ")," ")</f>
        <v xml:space="preserve"> </v>
      </c>
      <c r="AU7" s="58" t="str">
        <f>IFERROR(IF(ISNUMBER(AK7),IF(AJ8 = AJ5, 0, IF(AJ8 = "", 0, AU8 + AS8))," ")," ")</f>
        <v xml:space="preserve"> </v>
      </c>
      <c r="AV7" s="49" t="str">
        <f t="shared" si="2"/>
        <v xml:space="preserve"> </v>
      </c>
      <c r="AZ7" s="23">
        <v>2</v>
      </c>
      <c r="BA7" s="66" t="s">
        <v>4318</v>
      </c>
      <c r="BB7" s="49" t="str">
        <f>IFERROR(MATCH(BA7,'1 ubicaciones'!$B$2:$B$22, 0) - 1," ")</f>
        <v xml:space="preserve"> </v>
      </c>
      <c r="BC7" s="58" t="str">
        <f>IFERROR(IF(ISNUMBER(BB7),INDEX('2.Distancias'!$C$2:$C$1445,BB6*38+BB7 + 2) +BC6," ")," ")</f>
        <v xml:space="preserve"> </v>
      </c>
      <c r="BD7" s="64" t="str">
        <f>IFERROR(IF(ISNUMBER(BB7),'3.Vehículos'!$F$5 * INDEX('2.Distancias'!$D$2:$D$1445,BB6*38+BB7 + 2) +BD6," ")," ")</f>
        <v xml:space="preserve"> </v>
      </c>
      <c r="BE7" s="92" t="str">
        <f>IFERROR(IF(ISNUMBER(BB7),'3.Vehículos'!$F$5 * INDEX('2.Distancias'!$D$2:$D$1445,BB6*38+BB7 + 2) +BF6," ")," ")</f>
        <v xml:space="preserve"> </v>
      </c>
      <c r="BF7" s="92" t="str">
        <f>IFERROR(IF(AND(BB5&lt;&gt;BB7,ISNUMBER(BE7)),INDEX('1 ubicaciones'!$I$2:$I$22,BB7 + 1) + MAX(BE7,INDEX('1 ubicaciones'!$F$2:$F$22,BB7 + 1))," ")," ")</f>
        <v xml:space="preserve"> </v>
      </c>
      <c r="BG7" s="64" t="str">
        <f>IFERROR(IF(AND(BA7 = BA5, BA8 = ""), BE7 - BF5, BF7 - BF5)," ")</f>
        <v xml:space="preserve"> </v>
      </c>
      <c r="BH7" s="49" t="str">
        <f>IFERROR(IF(ISNUMBER(BB7),INDEX('1 ubicaciones'!$L$2:$L$22,BB7 + 1) + BH6," ")," ")</f>
        <v xml:space="preserve"> </v>
      </c>
      <c r="BI7" s="58" t="str">
        <f>IFERROR(IF(ISNUMBER(BB7),INDEX('1 ubicaciones'!$J$2:$J$22,BB7 + 1)," ")," ")</f>
        <v xml:space="preserve"> </v>
      </c>
      <c r="BJ7" s="58" t="str">
        <f>IFERROR(IF(ISNUMBER(BB7),INDEX('1 ubicaciones'!$K$2:$K$22,BB7 + 1)," ")," ")</f>
        <v xml:space="preserve"> </v>
      </c>
      <c r="BK7" s="58" t="str">
        <f>IFERROR(IF(ISNUMBER(BB7),IF(BA7 = BA5, 0, BI7 + BK6)," ")," ")</f>
        <v xml:space="preserve"> </v>
      </c>
      <c r="BL7" s="58" t="str">
        <f>IFERROR(IF(ISNUMBER(BB7),IF(BA8 = BA5, 0, IF(BA8 = "", 0, BL8 + BJ8))," ")," ")</f>
        <v xml:space="preserve"> </v>
      </c>
      <c r="BM7" s="49" t="str">
        <f t="shared" si="3"/>
        <v xml:space="preserve"> </v>
      </c>
      <c r="BQ7" s="23">
        <v>2</v>
      </c>
      <c r="BR7" s="66" t="s">
        <v>4269</v>
      </c>
      <c r="BS7" s="49" t="str">
        <f>IFERROR(MATCH(BR7,'1 ubicaciones'!$B$2:$B$22, 0) - 1," ")</f>
        <v xml:space="preserve"> </v>
      </c>
      <c r="BT7" s="58" t="str">
        <f>IFERROR(IF(ISNUMBER(BS7),INDEX('2.Distancias'!$C$2:$C$1445,BS6*38+BS7 + 2) +BT6," ")," ")</f>
        <v xml:space="preserve"> </v>
      </c>
      <c r="BU7" s="64" t="str">
        <f>IFERROR(IF(ISNUMBER(BS7),'3.Vehículos'!$F$6 * INDEX('2.Distancias'!$D$2:$D$1445,BS6*38+BS7 + 2) +BU6," ")," ")</f>
        <v xml:space="preserve"> </v>
      </c>
      <c r="BV7" s="92" t="str">
        <f>IFERROR(IF(ISNUMBER(BS7),'3.Vehículos'!$F$6 * INDEX('2.Distancias'!$D$2:$D$1445,BS6*38+BS7 + 2) +BW6," ")," ")</f>
        <v xml:space="preserve"> </v>
      </c>
      <c r="BW7" s="92" t="str">
        <f>IFERROR(IF(AND(BS5&lt;&gt;BS7,ISNUMBER(BV7)),INDEX('1 ubicaciones'!$I$2:$I$22,BS7 + 1) + MAX(BV7,INDEX('1 ubicaciones'!$F$2:$F$22,BS7 + 1))," ")," ")</f>
        <v xml:space="preserve"> </v>
      </c>
      <c r="BX7" s="64" t="str">
        <f>IFERROR(IF(AND(BR7 = BR5, BR8 = ""), BV7 - BW5, BW7 - BW5)," ")</f>
        <v xml:space="preserve"> </v>
      </c>
      <c r="BY7" s="49" t="str">
        <f>IFERROR(IF(ISNUMBER(BS7),INDEX('1 ubicaciones'!$L$2:$L$22,BS7 + 1) + BY6," ")," ")</f>
        <v xml:space="preserve"> </v>
      </c>
      <c r="BZ7" s="58" t="str">
        <f>IFERROR(IF(ISNUMBER(BS7),INDEX('1 ubicaciones'!$J$2:$J$22,BS7 + 1)," ")," ")</f>
        <v xml:space="preserve"> </v>
      </c>
      <c r="CA7" s="58" t="str">
        <f>IFERROR(IF(ISNUMBER(BS7),INDEX('1 ubicaciones'!$K$2:$K$22,BS7 + 1)," ")," ")</f>
        <v xml:space="preserve"> </v>
      </c>
      <c r="CB7" s="58" t="str">
        <f>IFERROR(IF(ISNUMBER(BS7),IF(BR7 = BR5, 0, BZ7 + CB6)," ")," ")</f>
        <v xml:space="preserve"> </v>
      </c>
      <c r="CC7" s="58" t="str">
        <f>IFERROR(IF(ISNUMBER(BS7),IF(BR8 = BR5, 0, IF(BR8 = "", 0, CC8 + CA8))," ")," ")</f>
        <v xml:space="preserve"> </v>
      </c>
      <c r="CD7" s="49" t="str">
        <f t="shared" si="4"/>
        <v xml:space="preserve"> </v>
      </c>
      <c r="CH7" s="23">
        <v>2</v>
      </c>
      <c r="CI7" s="66" t="s">
        <v>4323</v>
      </c>
      <c r="CJ7" s="49" t="str">
        <f>IFERROR(MATCH(CI7,'1 ubicaciones'!$B$2:$B$22, 0) - 1," ")</f>
        <v xml:space="preserve"> </v>
      </c>
      <c r="CK7" s="58" t="str">
        <f>IFERROR(IF(ISNUMBER(CJ7),INDEX('2.Distancias'!$C$2:$C$1445,CJ6*38+CJ7 + 2) +CK6," ")," ")</f>
        <v xml:space="preserve"> </v>
      </c>
      <c r="CL7" s="64" t="str">
        <f>IFERROR(IF(ISNUMBER(CJ7),'3.Vehículos'!$F$10 * INDEX('2.Distancias'!$D$2:$D$1445,CJ6*38+CJ7 + 2) +CL6," ")," ")</f>
        <v xml:space="preserve"> </v>
      </c>
      <c r="CM7" s="92" t="str">
        <f>IFERROR(IF(ISNUMBER(CJ7),'3.Vehículos'!$F$10 * INDEX('2.Distancias'!$D$2:$D$1445,CJ6*38+CJ7 + 2) +CN6," ")," ")</f>
        <v xml:space="preserve"> </v>
      </c>
      <c r="CN7" s="92" t="str">
        <f>IFERROR(IF(AND(CJ5&lt;&gt;CJ7,ISNUMBER(CM7)),INDEX('1 ubicaciones'!$I$2:$I$22,CJ7 + 1) + MAX(CM7,INDEX('1 ubicaciones'!$F$2:$F$22,CJ7 + 1))," ")," ")</f>
        <v xml:space="preserve"> </v>
      </c>
      <c r="CO7" s="64" t="str">
        <f>IFERROR(IF(AND(CI7 = CI5, CI8 = ""), CM7 - CN5, CN7 - CN5)," ")</f>
        <v xml:space="preserve"> </v>
      </c>
      <c r="CP7" s="49" t="str">
        <f>IFERROR(IF(ISNUMBER(CJ7),INDEX('1 ubicaciones'!$L$2:$L$22,CJ7 + 1) + CP6," ")," ")</f>
        <v xml:space="preserve"> </v>
      </c>
      <c r="CQ7" s="58" t="str">
        <f>IFERROR(IF(ISNUMBER(CJ7),INDEX('1 ubicaciones'!$J$2:$J$22,CJ7 + 1)," ")," ")</f>
        <v xml:space="preserve"> </v>
      </c>
      <c r="CR7" s="58" t="str">
        <f>IFERROR(IF(ISNUMBER(CJ7),INDEX('1 ubicaciones'!$K$2:$K$22,CJ7 + 1)," ")," ")</f>
        <v xml:space="preserve"> </v>
      </c>
      <c r="CS7" s="58" t="str">
        <f>IFERROR(IF(ISNUMBER(CJ7),IF(CI7 = CI5, 0, CQ7 + CS6)," ")," ")</f>
        <v xml:space="preserve"> </v>
      </c>
      <c r="CT7" s="58" t="str">
        <f>IFERROR(IF(ISNUMBER(CJ7),IF(CI8 = CI5, 0, IF(CI8 = "", 0, CT8 + CR8))," ")," ")</f>
        <v xml:space="preserve"> </v>
      </c>
      <c r="CU7" s="49" t="str">
        <f t="shared" si="5"/>
        <v xml:space="preserve"> </v>
      </c>
      <c r="CY7" s="23">
        <v>2</v>
      </c>
      <c r="CZ7" s="66"/>
      <c r="DA7" s="49" t="str">
        <f>IFERROR(MATCH(CZ7,'1 ubicaciones'!$B$2:$B$22, 0) - 1," ")</f>
        <v xml:space="preserve"> </v>
      </c>
      <c r="DB7" s="58" t="str">
        <f>IFERROR(IF(ISNUMBER(DA7),INDEX('2.Distancias'!$C$2:$C$1445,DA6*38+DA7 + 2) +DB6," ")," ")</f>
        <v xml:space="preserve"> </v>
      </c>
      <c r="DC7" s="64" t="str">
        <f>IFERROR(IF(ISNUMBER(DA7),'3.Vehículos'!$F$11 * INDEX('2.Distancias'!$D$2:$D$1445,DA6*38+DA7 + 2) +DC6," ")," ")</f>
        <v xml:space="preserve"> </v>
      </c>
      <c r="DD7" s="92" t="str">
        <f>IFERROR(IF(ISNUMBER(DA7),'3.Vehículos'!$F$11 * INDEX('2.Distancias'!$D$2:$D$1445,DA6*38+DA7 + 2) +DE6," ")," ")</f>
        <v xml:space="preserve"> </v>
      </c>
      <c r="DE7" s="92" t="str">
        <f>IFERROR(IF(AND(DA5&lt;&gt;DA7,ISNUMBER(DD7)),INDEX('1 ubicaciones'!$I$2:$I$22,DA7 + 1) + MAX(DD7,INDEX('1 ubicaciones'!$F$2:$F$22,DA7 + 1))," ")," ")</f>
        <v xml:space="preserve"> </v>
      </c>
      <c r="DF7" s="64" t="str">
        <f>IFERROR(IF(AND(CZ7 = CZ5, CZ8 = ""), DD7 - DE5, DE7 - DE5)," ")</f>
        <v xml:space="preserve"> </v>
      </c>
      <c r="DG7" s="49" t="str">
        <f>IFERROR(IF(ISNUMBER(DA7),INDEX('1 ubicaciones'!$L$2:$L$22,DA7 + 1) + DG6," ")," ")</f>
        <v xml:space="preserve"> </v>
      </c>
      <c r="DH7" s="58" t="str">
        <f>IFERROR(IF(ISNUMBER(DA7),INDEX('1 ubicaciones'!$J$2:$J$22,DA7 + 1)," ")," ")</f>
        <v xml:space="preserve"> </v>
      </c>
      <c r="DI7" s="58" t="str">
        <f>IFERROR(IF(ISNUMBER(DA7),INDEX('1 ubicaciones'!$K$2:$K$22,DA7 + 1)," ")," ")</f>
        <v xml:space="preserve"> </v>
      </c>
      <c r="DJ7" s="58" t="str">
        <f>IFERROR(IF(ISNUMBER(DA7),IF(CZ7 = CZ5, 0, DH7 + DJ6)," ")," ")</f>
        <v xml:space="preserve"> </v>
      </c>
      <c r="DK7" s="58" t="str">
        <f>IFERROR(IF(ISNUMBER(DA7),IF(CZ8 = CZ5, 0, IF(CZ8 = "", 0, DK8 + DI8))," ")," ")</f>
        <v xml:space="preserve"> </v>
      </c>
      <c r="DL7" s="49" t="str">
        <f t="shared" si="6"/>
        <v xml:space="preserve"> </v>
      </c>
      <c r="DP7" s="23">
        <v>2</v>
      </c>
      <c r="DQ7" s="66" t="s">
        <v>4315</v>
      </c>
      <c r="DR7" s="49" t="str">
        <f>IFERROR(MATCH(DQ7,'1 ubicaciones'!$B$2:$B$22, 0) - 1," ")</f>
        <v xml:space="preserve"> </v>
      </c>
      <c r="DS7" s="58" t="str">
        <f>IFERROR(IF(ISNUMBER(DR7),INDEX('2.Distancias'!$C$2:$C$1445,DR6*38+DR7 + 2) +DS6," ")," ")</f>
        <v xml:space="preserve"> </v>
      </c>
      <c r="DT7" s="64" t="str">
        <f>IFERROR(IF(ISNUMBER(DR7),'3.Vehículos'!$F$18 * INDEX('2.Distancias'!$D$2:$D$1445,DR6*38+DR7 + 2) +DT6," ")," ")</f>
        <v xml:space="preserve"> </v>
      </c>
      <c r="DU7" s="92" t="str">
        <f>IFERROR(IF(ISNUMBER(DR7),'3.Vehículos'!$F$18 * INDEX('2.Distancias'!$D$2:$D$1445,DR6*38+DR7 + 2) +DV6," ")," ")</f>
        <v xml:space="preserve"> </v>
      </c>
      <c r="DV7" s="92" t="str">
        <f>IFERROR(IF(AND(DR5&lt;&gt;DR7,ISNUMBER(DU7)),INDEX('1 ubicaciones'!$I$2:$I$22,DR7 + 1) + MAX(DU7,INDEX('1 ubicaciones'!$F$2:$F$22,DR7 + 1))," ")," ")</f>
        <v xml:space="preserve"> </v>
      </c>
      <c r="DW7" s="64" t="str">
        <f>IFERROR(IF(AND(DQ7 = DQ5, DQ8 = ""), DU7 - DV5, DV7 - DV5)," ")</f>
        <v xml:space="preserve"> </v>
      </c>
      <c r="DX7" s="49" t="str">
        <f>IFERROR(IF(ISNUMBER(DR7),INDEX('1 ubicaciones'!$L$2:$L$22,DR7 + 1) + DX6," ")," ")</f>
        <v xml:space="preserve"> </v>
      </c>
      <c r="DY7" s="58" t="str">
        <f>IFERROR(IF(ISNUMBER(DR7),INDEX('1 ubicaciones'!$J$2:$J$22,DR7 + 1)," ")," ")</f>
        <v xml:space="preserve"> </v>
      </c>
      <c r="DZ7" s="58" t="str">
        <f>IFERROR(IF(ISNUMBER(DR7),INDEX('1 ubicaciones'!$K$2:$K$22,DR7 + 1)," ")," ")</f>
        <v xml:space="preserve"> </v>
      </c>
      <c r="EA7" s="58" t="str">
        <f>IFERROR(IF(ISNUMBER(DR7),IF(DQ7 = DQ5, 0, DY7 + EA6)," ")," ")</f>
        <v xml:space="preserve"> </v>
      </c>
      <c r="EB7" s="58" t="str">
        <f>IFERROR(IF(ISNUMBER(DR7),IF(DQ8 = DQ5, 0, IF(DQ8 = "", 0, EB8 + DZ8))," ")," ")</f>
        <v xml:space="preserve"> </v>
      </c>
      <c r="EC7" s="49" t="str">
        <f t="shared" si="7"/>
        <v xml:space="preserve"> </v>
      </c>
    </row>
    <row r="8" spans="1:133" x14ac:dyDescent="0.25">
      <c r="A8" s="23">
        <v>3</v>
      </c>
      <c r="B8" s="63" t="s">
        <v>4278</v>
      </c>
      <c r="C8" s="49" t="str">
        <f>IFERROR(MATCH(B8,'1 ubicaciones'!$B$2:$B$22, 0) - 1," ")</f>
        <v xml:space="preserve"> </v>
      </c>
      <c r="D8" s="58" t="str">
        <f>IFERROR(IF(ISNUMBER(C8),INDEX('2.Distancias'!$C$2:$C$1445,C7*38+C8 + 2) +D7," ")," ")</f>
        <v xml:space="preserve"> </v>
      </c>
      <c r="E8" s="64" t="str">
        <f>IFERROR(IF(ISNUMBER(C8),'3.Vehículos'!$F$2 * INDEX('2.Distancias'!$D$2:$D$1445,C7*38+C8 + 2) +E7," ")," ")</f>
        <v xml:space="preserve"> </v>
      </c>
      <c r="F8" s="92" t="str">
        <f>IFERROR(IF(ISNUMBER(C8),'3.Vehículos'!$F$2 * INDEX('2.Distancias'!$D$2:$D$1445,C7*38+C8 + 2) +G7," ")," ")</f>
        <v xml:space="preserve"> </v>
      </c>
      <c r="G8" s="92" t="str">
        <f>IFERROR(IF(AND(C5&lt;&gt;C8,ISNUMBER(F8)),INDEX('1 ubicaciones'!$I$2:$I$22,C8 + 1) + MAX(F8,INDEX('1 ubicaciones'!$F$2:$F$22,C8 + 1))," ")," ")</f>
        <v xml:space="preserve"> </v>
      </c>
      <c r="H8" s="64" t="str">
        <f>IFERROR(IF(AND(B8 = B5, B9 = ""), F8 - G5, G8 - G5)," ")</f>
        <v xml:space="preserve"> </v>
      </c>
      <c r="I8" s="49" t="str">
        <f>IFERROR(IF(ISNUMBER(C8),INDEX('1 ubicaciones'!$L$2:$L$22,C8 + 1) + I7," ")," ")</f>
        <v xml:space="preserve"> </v>
      </c>
      <c r="J8" s="58" t="str">
        <f>IFERROR(IF(ISNUMBER(C8),INDEX('1 ubicaciones'!$J$2:$J$22,C8 + 1)," ")," ")</f>
        <v xml:space="preserve"> </v>
      </c>
      <c r="K8" s="58" t="str">
        <f>IFERROR(IF(ISNUMBER(C8),INDEX('1 ubicaciones'!$K$2:$K$22,C8 + 1)," ")," ")</f>
        <v xml:space="preserve"> </v>
      </c>
      <c r="L8" s="58" t="str">
        <f>IFERROR(IF(ISNUMBER(C8),IF(B8 = B5, 0, J8 + L7)," ")," ")</f>
        <v xml:space="preserve"> </v>
      </c>
      <c r="M8" s="58" t="str">
        <f>IFERROR(IF(ISNUMBER(C8),IF(B9 = B5, 0, IF(B9 = "", 0, M9 + K9))," ")," ")</f>
        <v xml:space="preserve"> </v>
      </c>
      <c r="N8" s="49" t="str">
        <f t="shared" si="0"/>
        <v xml:space="preserve"> </v>
      </c>
      <c r="R8" s="23">
        <v>3</v>
      </c>
      <c r="S8" s="63" t="s">
        <v>4298</v>
      </c>
      <c r="T8" s="49" t="str">
        <f>IFERROR(MATCH(S8,'1 ubicaciones'!$B$2:$B$22, 0) - 1," ")</f>
        <v xml:space="preserve"> </v>
      </c>
      <c r="U8" s="58" t="str">
        <f>IFERROR(IF(ISNUMBER(T8),INDEX('2.Distancias'!$C$2:$C$1445,T7*38+T8 + 2) +U7," ")," ")</f>
        <v xml:space="preserve"> </v>
      </c>
      <c r="V8" s="64" t="str">
        <f>IFERROR(IF(ISNUMBER(T8),'3.Vehículos'!$F$3 * INDEX('2.Distancias'!$D$2:$D$1445,T7*38+T8 + 2) +V7," ")," ")</f>
        <v xml:space="preserve"> </v>
      </c>
      <c r="W8" s="92" t="str">
        <f>IFERROR(IF(ISNUMBER(T8),'3.Vehículos'!$F$3 * INDEX('2.Distancias'!$D$2:$D$1445,T7*38+T8 + 2) +X7," ")," ")</f>
        <v xml:space="preserve"> </v>
      </c>
      <c r="X8" s="92" t="str">
        <f>IFERROR(IF(AND(T5&lt;&gt;T8,ISNUMBER(W8)),INDEX('1 ubicaciones'!$I$2:$I$22,T8 + 1) + MAX(W8,INDEX('1 ubicaciones'!$F$2:$F$22,T8 + 1))," ")," ")</f>
        <v xml:space="preserve"> </v>
      </c>
      <c r="Y8" s="64" t="str">
        <f>IFERROR(IF(AND(S8 = S5, S9 = ""), W8 - X5, X8 - X5)," ")</f>
        <v xml:space="preserve"> </v>
      </c>
      <c r="Z8" s="49" t="str">
        <f>IFERROR(IF(ISNUMBER(T8),INDEX('1 ubicaciones'!$L$2:$L$22,T8 + 1) + Z7," ")," ")</f>
        <v xml:space="preserve"> </v>
      </c>
      <c r="AA8" s="58" t="str">
        <f>IFERROR(IF(ISNUMBER(T8),INDEX('1 ubicaciones'!$J$2:$J$22,T8 + 1)," ")," ")</f>
        <v xml:space="preserve"> </v>
      </c>
      <c r="AB8" s="58" t="str">
        <f>IFERROR(IF(ISNUMBER(T8),INDEX('1 ubicaciones'!$K$2:$K$22,T8 + 1)," ")," ")</f>
        <v xml:space="preserve"> </v>
      </c>
      <c r="AC8" s="58" t="str">
        <f>IFERROR(IF(ISNUMBER(T8),IF(S8 = S5, 0, AA8 + AC7)," ")," ")</f>
        <v xml:space="preserve"> </v>
      </c>
      <c r="AD8" s="58" t="str">
        <f>IFERROR(IF(ISNUMBER(T8),IF(S9 = S5, 0, IF(S9 = "", 0, AD9 + AB9))," ")," ")</f>
        <v xml:space="preserve"> </v>
      </c>
      <c r="AE8" s="49" t="str">
        <f t="shared" si="1"/>
        <v xml:space="preserve"> </v>
      </c>
      <c r="AI8" s="23">
        <v>3</v>
      </c>
      <c r="AJ8" s="63" t="s">
        <v>4296</v>
      </c>
      <c r="AK8" s="49">
        <f>IFERROR(MATCH(AJ8,'1 ubicaciones'!$B$2:$B$22, 0) - 1," ")</f>
        <v>20</v>
      </c>
      <c r="AL8" s="58" t="str">
        <f>IFERROR(IF(ISNUMBER(AK8),INDEX('2.Distancias'!$C$2:$C$1445,AK7*38+AK8 + 2) +AL7," ")," ")</f>
        <v xml:space="preserve"> </v>
      </c>
      <c r="AM8" s="64" t="str">
        <f>IFERROR(IF(ISNUMBER(AK8),'3.Vehículos'!$F$4 * INDEX('2.Distancias'!$D$2:$D$1445,AK7*38+AK8 + 2) +AM7," ")," ")</f>
        <v xml:space="preserve"> </v>
      </c>
      <c r="AN8" s="92" t="str">
        <f>IFERROR(IF(ISNUMBER(AK8),'3.Vehículos'!$F$4 * INDEX('2.Distancias'!$D$2:$D$1445,AK7*38+AK8 + 2) +AO7," ")," ")</f>
        <v xml:space="preserve"> </v>
      </c>
      <c r="AO8" s="92" t="str">
        <f>IFERROR(IF(AND(AK5&lt;&gt;AK8,ISNUMBER(AN8)),INDEX('1 ubicaciones'!$I$2:$I$22,AK8 + 1) + MAX(AN8,INDEX('1 ubicaciones'!$F$2:$F$22,AK8 + 1))," ")," ")</f>
        <v xml:space="preserve"> </v>
      </c>
      <c r="AP8" s="64" t="str">
        <f>IFERROR(IF(AND(AJ8 = AJ5, AJ9 = ""), AN8 - AO5, AO8 - AO5)," ")</f>
        <v xml:space="preserve"> </v>
      </c>
      <c r="AQ8" s="49" t="str">
        <f>IFERROR(IF(ISNUMBER(AK8),INDEX('1 ubicaciones'!$L$2:$L$22,AK8 + 1) + AQ7," ")," ")</f>
        <v xml:space="preserve"> </v>
      </c>
      <c r="AR8" s="58">
        <f>IFERROR(IF(ISNUMBER(AK8),INDEX('1 ubicaciones'!$J$2:$J$22,AK8 + 1)," ")," ")</f>
        <v>0</v>
      </c>
      <c r="AS8" s="58">
        <f>IFERROR(IF(ISNUMBER(AK8),INDEX('1 ubicaciones'!$K$2:$K$22,AK8 + 1)," ")," ")</f>
        <v>0</v>
      </c>
      <c r="AT8" s="58" t="str">
        <f>IFERROR(IF(ISNUMBER(AK8),IF(AJ8 = AJ5, 0, AR8 + AT7)," ")," ")</f>
        <v xml:space="preserve"> </v>
      </c>
      <c r="AU8" s="58" t="str">
        <f>IFERROR(IF(ISNUMBER(AK8),IF(AJ9 = AJ5, 0, IF(AJ9 = "", 0, AU9 + AS9))," ")," ")</f>
        <v xml:space="preserve"> </v>
      </c>
      <c r="AV8" s="49" t="str">
        <f t="shared" si="2"/>
        <v xml:space="preserve"> </v>
      </c>
      <c r="AZ8" s="23">
        <v>3</v>
      </c>
      <c r="BA8" s="63" t="s">
        <v>4302</v>
      </c>
      <c r="BB8" s="49" t="str">
        <f>IFERROR(MATCH(BA8,'1 ubicaciones'!$B$2:$B$22, 0) - 1," ")</f>
        <v xml:space="preserve"> </v>
      </c>
      <c r="BC8" s="58" t="str">
        <f>IFERROR(IF(ISNUMBER(BB8),INDEX('2.Distancias'!$C$2:$C$1445,BB7*38+BB8 + 2) +BC7," ")," ")</f>
        <v xml:space="preserve"> </v>
      </c>
      <c r="BD8" s="64" t="str">
        <f>IFERROR(IF(ISNUMBER(BB8),'3.Vehículos'!$F$5 * INDEX('2.Distancias'!$D$2:$D$1445,BB7*38+BB8 + 2) +BD7," ")," ")</f>
        <v xml:space="preserve"> </v>
      </c>
      <c r="BE8" s="92" t="str">
        <f>IFERROR(IF(ISNUMBER(BB8),'3.Vehículos'!$F$5 * INDEX('2.Distancias'!$D$2:$D$1445,BB7*38+BB8 + 2) +BF7," ")," ")</f>
        <v xml:space="preserve"> </v>
      </c>
      <c r="BF8" s="92" t="str">
        <f>IFERROR(IF(AND(BB5&lt;&gt;BB8,ISNUMBER(BE8)),INDEX('1 ubicaciones'!$I$2:$I$22,BB8 + 1) + MAX(BE8,INDEX('1 ubicaciones'!$F$2:$F$22,BB8 + 1))," ")," ")</f>
        <v xml:space="preserve"> </v>
      </c>
      <c r="BG8" s="64" t="str">
        <f>IFERROR(IF(AND(BA8 = BA5, BA9 = ""), BE8 - BF5, BF8 - BF5)," ")</f>
        <v xml:space="preserve"> </v>
      </c>
      <c r="BH8" s="49" t="str">
        <f>IFERROR(IF(ISNUMBER(BB8),INDEX('1 ubicaciones'!$L$2:$L$22,BB8 + 1) + BH7," ")," ")</f>
        <v xml:space="preserve"> </v>
      </c>
      <c r="BI8" s="58" t="str">
        <f>IFERROR(IF(ISNUMBER(BB8),INDEX('1 ubicaciones'!$J$2:$J$22,BB8 + 1)," ")," ")</f>
        <v xml:space="preserve"> </v>
      </c>
      <c r="BJ8" s="58" t="str">
        <f>IFERROR(IF(ISNUMBER(BB8),INDEX('1 ubicaciones'!$K$2:$K$22,BB8 + 1)," ")," ")</f>
        <v xml:space="preserve"> </v>
      </c>
      <c r="BK8" s="58" t="str">
        <f>IFERROR(IF(ISNUMBER(BB8),IF(BA8 = BA5, 0, BI8 + BK7)," ")," ")</f>
        <v xml:space="preserve"> </v>
      </c>
      <c r="BL8" s="58" t="str">
        <f>IFERROR(IF(ISNUMBER(BB8),IF(BA9 = BA5, 0, IF(BA9 = "", 0, BL9 + BJ9))," ")," ")</f>
        <v xml:space="preserve"> </v>
      </c>
      <c r="BM8" s="49" t="str">
        <f t="shared" si="3"/>
        <v xml:space="preserve"> </v>
      </c>
      <c r="BQ8" s="23">
        <v>3</v>
      </c>
      <c r="BR8" s="63" t="s">
        <v>4314</v>
      </c>
      <c r="BS8" s="49" t="str">
        <f>IFERROR(MATCH(BR8,'1 ubicaciones'!$B$2:$B$22, 0) - 1," ")</f>
        <v xml:space="preserve"> </v>
      </c>
      <c r="BT8" s="58" t="str">
        <f>IFERROR(IF(ISNUMBER(BS8),INDEX('2.Distancias'!$C$2:$C$1445,BS7*38+BS8 + 2) +BT7," ")," ")</f>
        <v xml:space="preserve"> </v>
      </c>
      <c r="BU8" s="64" t="str">
        <f>IFERROR(IF(ISNUMBER(BS8),'3.Vehículos'!$F$6 * INDEX('2.Distancias'!$D$2:$D$1445,BS7*38+BS8 + 2) +BU7," ")," ")</f>
        <v xml:space="preserve"> </v>
      </c>
      <c r="BV8" s="92" t="str">
        <f>IFERROR(IF(ISNUMBER(BS8),'3.Vehículos'!$F$6 * INDEX('2.Distancias'!$D$2:$D$1445,BS7*38+BS8 + 2) +BW7," ")," ")</f>
        <v xml:space="preserve"> </v>
      </c>
      <c r="BW8" s="92" t="str">
        <f>IFERROR(IF(AND(BS5&lt;&gt;BS8,ISNUMBER(BV8)),INDEX('1 ubicaciones'!$I$2:$I$22,BS8 + 1) + MAX(BV8,INDEX('1 ubicaciones'!$F$2:$F$22,BS8 + 1))," ")," ")</f>
        <v xml:space="preserve"> </v>
      </c>
      <c r="BX8" s="64" t="str">
        <f>IFERROR(IF(AND(BR8 = BR5, BR9 = ""), BV8 - BW5, BW8 - BW5)," ")</f>
        <v xml:space="preserve"> </v>
      </c>
      <c r="BY8" s="49" t="str">
        <f>IFERROR(IF(ISNUMBER(BS8),INDEX('1 ubicaciones'!$L$2:$L$22,BS8 + 1) + BY7," ")," ")</f>
        <v xml:space="preserve"> </v>
      </c>
      <c r="BZ8" s="58" t="str">
        <f>IFERROR(IF(ISNUMBER(BS8),INDEX('1 ubicaciones'!$J$2:$J$22,BS8 + 1)," ")," ")</f>
        <v xml:space="preserve"> </v>
      </c>
      <c r="CA8" s="58" t="str">
        <f>IFERROR(IF(ISNUMBER(BS8),INDEX('1 ubicaciones'!$K$2:$K$22,BS8 + 1)," ")," ")</f>
        <v xml:space="preserve"> </v>
      </c>
      <c r="CB8" s="58" t="str">
        <f>IFERROR(IF(ISNUMBER(BS8),IF(BR8 = BR5, 0, BZ8 + CB7)," ")," ")</f>
        <v xml:space="preserve"> </v>
      </c>
      <c r="CC8" s="58" t="str">
        <f>IFERROR(IF(ISNUMBER(BS8),IF(BR9 = BR5, 0, IF(BR9 = "", 0, CC9 + CA9))," ")," ")</f>
        <v xml:space="preserve"> </v>
      </c>
      <c r="CD8" s="49" t="str">
        <f t="shared" si="4"/>
        <v xml:space="preserve"> </v>
      </c>
      <c r="CH8" s="23">
        <v>3</v>
      </c>
      <c r="CI8" s="63" t="s">
        <v>4317</v>
      </c>
      <c r="CJ8" s="49" t="str">
        <f>IFERROR(MATCH(CI8,'1 ubicaciones'!$B$2:$B$22, 0) - 1," ")</f>
        <v xml:space="preserve"> </v>
      </c>
      <c r="CK8" s="58" t="str">
        <f>IFERROR(IF(ISNUMBER(CJ8),INDEX('2.Distancias'!$C$2:$C$1445,CJ7*38+CJ8 + 2) +CK7," ")," ")</f>
        <v xml:space="preserve"> </v>
      </c>
      <c r="CL8" s="64" t="str">
        <f>IFERROR(IF(ISNUMBER(CJ8),'3.Vehículos'!$F$10 * INDEX('2.Distancias'!$D$2:$D$1445,CJ7*38+CJ8 + 2) +CL7," ")," ")</f>
        <v xml:space="preserve"> </v>
      </c>
      <c r="CM8" s="92" t="str">
        <f>IFERROR(IF(ISNUMBER(CJ8),'3.Vehículos'!$F$10 * INDEX('2.Distancias'!$D$2:$D$1445,CJ7*38+CJ8 + 2) +CN7," ")," ")</f>
        <v xml:space="preserve"> </v>
      </c>
      <c r="CN8" s="92" t="str">
        <f>IFERROR(IF(AND(CJ5&lt;&gt;CJ8,ISNUMBER(CM8)),INDEX('1 ubicaciones'!$I$2:$I$22,CJ8 + 1) + MAX(CM8,INDEX('1 ubicaciones'!$F$2:$F$22,CJ8 + 1))," ")," ")</f>
        <v xml:space="preserve"> </v>
      </c>
      <c r="CO8" s="64" t="str">
        <f>IFERROR(IF(AND(CI8 = CI5, CI9 = ""), CM8 - CN5, CN8 - CN5)," ")</f>
        <v xml:space="preserve"> </v>
      </c>
      <c r="CP8" s="49" t="str">
        <f>IFERROR(IF(ISNUMBER(CJ8),INDEX('1 ubicaciones'!$L$2:$L$22,CJ8 + 1) + CP7," ")," ")</f>
        <v xml:space="preserve"> </v>
      </c>
      <c r="CQ8" s="58" t="str">
        <f>IFERROR(IF(ISNUMBER(CJ8),INDEX('1 ubicaciones'!$J$2:$J$22,CJ8 + 1)," ")," ")</f>
        <v xml:space="preserve"> </v>
      </c>
      <c r="CR8" s="58" t="str">
        <f>IFERROR(IF(ISNUMBER(CJ8),INDEX('1 ubicaciones'!$K$2:$K$22,CJ8 + 1)," ")," ")</f>
        <v xml:space="preserve"> </v>
      </c>
      <c r="CS8" s="58" t="str">
        <f>IFERROR(IF(ISNUMBER(CJ8),IF(CI8 = CI5, 0, CQ8 + CS7)," ")," ")</f>
        <v xml:space="preserve"> </v>
      </c>
      <c r="CT8" s="58" t="str">
        <f>IFERROR(IF(ISNUMBER(CJ8),IF(CI9 = CI5, 0, IF(CI9 = "", 0, CT9 + CR9))," ")," ")</f>
        <v xml:space="preserve"> </v>
      </c>
      <c r="CU8" s="49" t="str">
        <f t="shared" si="5"/>
        <v xml:space="preserve"> </v>
      </c>
      <c r="CY8" s="23">
        <v>3</v>
      </c>
      <c r="CZ8" s="63"/>
      <c r="DA8" s="49" t="str">
        <f>IFERROR(MATCH(CZ8,'1 ubicaciones'!$B$2:$B$22, 0) - 1," ")</f>
        <v xml:space="preserve"> </v>
      </c>
      <c r="DB8" s="58" t="str">
        <f>IFERROR(IF(ISNUMBER(DA8),INDEX('2.Distancias'!$C$2:$C$1445,DA7*38+DA8 + 2) +DB7," ")," ")</f>
        <v xml:space="preserve"> </v>
      </c>
      <c r="DC8" s="64" t="str">
        <f>IFERROR(IF(ISNUMBER(DA8),'3.Vehículos'!$F$11 * INDEX('2.Distancias'!$D$2:$D$1445,DA7*38+DA8 + 2) +DC7," ")," ")</f>
        <v xml:space="preserve"> </v>
      </c>
      <c r="DD8" s="92" t="str">
        <f>IFERROR(IF(ISNUMBER(DA8),'3.Vehículos'!$F$11 * INDEX('2.Distancias'!$D$2:$D$1445,DA7*38+DA8 + 2) +DE7," ")," ")</f>
        <v xml:space="preserve"> </v>
      </c>
      <c r="DE8" s="92" t="str">
        <f>IFERROR(IF(AND(DA5&lt;&gt;DA8,ISNUMBER(DD8)),INDEX('1 ubicaciones'!$I$2:$I$22,DA8 + 1) + MAX(DD8,INDEX('1 ubicaciones'!$F$2:$F$22,DA8 + 1))," ")," ")</f>
        <v xml:space="preserve"> </v>
      </c>
      <c r="DF8" s="64" t="str">
        <f>IFERROR(IF(AND(CZ8 = CZ5, CZ9 = ""), DD8 - DE5, DE8 - DE5)," ")</f>
        <v xml:space="preserve"> </v>
      </c>
      <c r="DG8" s="49" t="str">
        <f>IFERROR(IF(ISNUMBER(DA8),INDEX('1 ubicaciones'!$L$2:$L$22,DA8 + 1) + DG7," ")," ")</f>
        <v xml:space="preserve"> </v>
      </c>
      <c r="DH8" s="58" t="str">
        <f>IFERROR(IF(ISNUMBER(DA8),INDEX('1 ubicaciones'!$J$2:$J$22,DA8 + 1)," ")," ")</f>
        <v xml:space="preserve"> </v>
      </c>
      <c r="DI8" s="58" t="str">
        <f>IFERROR(IF(ISNUMBER(DA8),INDEX('1 ubicaciones'!$K$2:$K$22,DA8 + 1)," ")," ")</f>
        <v xml:space="preserve"> </v>
      </c>
      <c r="DJ8" s="58" t="str">
        <f>IFERROR(IF(ISNUMBER(DA8),IF(CZ8 = CZ5, 0, DH8 + DJ7)," ")," ")</f>
        <v xml:space="preserve"> </v>
      </c>
      <c r="DK8" s="58" t="str">
        <f>IFERROR(IF(ISNUMBER(DA8),IF(CZ9 = CZ5, 0, IF(CZ9 = "", 0, DK9 + DI9))," ")," ")</f>
        <v xml:space="preserve"> </v>
      </c>
      <c r="DL8" s="49" t="str">
        <f t="shared" si="6"/>
        <v xml:space="preserve"> </v>
      </c>
      <c r="DP8" s="23">
        <v>3</v>
      </c>
      <c r="DQ8" s="63" t="s">
        <v>4319</v>
      </c>
      <c r="DR8" s="49" t="str">
        <f>IFERROR(MATCH(DQ8,'1 ubicaciones'!$B$2:$B$22, 0) - 1," ")</f>
        <v xml:space="preserve"> </v>
      </c>
      <c r="DS8" s="58" t="str">
        <f>IFERROR(IF(ISNUMBER(DR8),INDEX('2.Distancias'!$C$2:$C$1445,DR7*38+DR8 + 2) +DS7," ")," ")</f>
        <v xml:space="preserve"> </v>
      </c>
      <c r="DT8" s="64" t="str">
        <f>IFERROR(IF(ISNUMBER(DR8),'3.Vehículos'!$F$18 * INDEX('2.Distancias'!$D$2:$D$1445,DR7*38+DR8 + 2) +DT7," ")," ")</f>
        <v xml:space="preserve"> </v>
      </c>
      <c r="DU8" s="92" t="str">
        <f>IFERROR(IF(ISNUMBER(DR8),'3.Vehículos'!$F$18 * INDEX('2.Distancias'!$D$2:$D$1445,DR7*38+DR8 + 2) +DV7," ")," ")</f>
        <v xml:space="preserve"> </v>
      </c>
      <c r="DV8" s="92" t="str">
        <f>IFERROR(IF(AND(DR5&lt;&gt;DR8,ISNUMBER(DU8)),INDEX('1 ubicaciones'!$I$2:$I$22,DR8 + 1) + MAX(DU8,INDEX('1 ubicaciones'!$F$2:$F$22,DR8 + 1))," ")," ")</f>
        <v xml:space="preserve"> </v>
      </c>
      <c r="DW8" s="64" t="str">
        <f>IFERROR(IF(AND(DQ8 = DQ5, DQ9 = ""), DU8 - DV5, DV8 - DV5)," ")</f>
        <v xml:space="preserve"> </v>
      </c>
      <c r="DX8" s="49" t="str">
        <f>IFERROR(IF(ISNUMBER(DR8),INDEX('1 ubicaciones'!$L$2:$L$22,DR8 + 1) + DX7," ")," ")</f>
        <v xml:space="preserve"> </v>
      </c>
      <c r="DY8" s="58" t="str">
        <f>IFERROR(IF(ISNUMBER(DR8),INDEX('1 ubicaciones'!$J$2:$J$22,DR8 + 1)," ")," ")</f>
        <v xml:space="preserve"> </v>
      </c>
      <c r="DZ8" s="58" t="str">
        <f>IFERROR(IF(ISNUMBER(DR8),INDEX('1 ubicaciones'!$K$2:$K$22,DR8 + 1)," ")," ")</f>
        <v xml:space="preserve"> </v>
      </c>
      <c r="EA8" s="58" t="str">
        <f>IFERROR(IF(ISNUMBER(DR8),IF(DQ8 = DQ5, 0, DY8 + EA7)," ")," ")</f>
        <v xml:space="preserve"> </v>
      </c>
      <c r="EB8" s="58" t="str">
        <f>IFERROR(IF(ISNUMBER(DR8),IF(DQ9 = DQ5, 0, IF(DQ9 = "", 0, EB9 + DZ9))," ")," ")</f>
        <v xml:space="preserve"> </v>
      </c>
      <c r="EC8" s="49" t="str">
        <f t="shared" si="7"/>
        <v xml:space="preserve"> </v>
      </c>
    </row>
    <row r="9" spans="1:133" x14ac:dyDescent="0.25">
      <c r="A9" s="23">
        <v>4</v>
      </c>
      <c r="B9" s="66" t="s">
        <v>4268</v>
      </c>
      <c r="C9" s="49" t="str">
        <f>IFERROR(MATCH(B9,'1 ubicaciones'!$B$2:$B$22, 0) - 1," ")</f>
        <v xml:space="preserve"> </v>
      </c>
      <c r="D9" s="58" t="str">
        <f>IFERROR(IF(ISNUMBER(C9),INDEX('2.Distancias'!$C$2:$C$1445,C8*38+C9 + 2) +D8," ")," ")</f>
        <v xml:space="preserve"> </v>
      </c>
      <c r="E9" s="64" t="str">
        <f>IFERROR(IF(ISNUMBER(C9),'3.Vehículos'!$F$2 * INDEX('2.Distancias'!$D$2:$D$1445,C8*38+C9 + 2) +E8," ")," ")</f>
        <v xml:space="preserve"> </v>
      </c>
      <c r="F9" s="92" t="str">
        <f>IFERROR(IF(ISNUMBER(C9),'3.Vehículos'!$F$2 * INDEX('2.Distancias'!$D$2:$D$1445,C8*38+C9 + 2) +G8," ")," ")</f>
        <v xml:space="preserve"> </v>
      </c>
      <c r="G9" s="92" t="str">
        <f>IFERROR(IF(AND(C5&lt;&gt;C9,ISNUMBER(F9)),INDEX('1 ubicaciones'!$I$2:$I$22,C9 + 1) + MAX(F9,INDEX('1 ubicaciones'!$F$2:$F$22,C9 + 1))," ")," ")</f>
        <v xml:space="preserve"> </v>
      </c>
      <c r="H9" s="64" t="str">
        <f>IFERROR(IF(AND(B9 = B5, B10 = ""), F9 - G5, G9 - G5)," ")</f>
        <v xml:space="preserve"> </v>
      </c>
      <c r="I9" s="49" t="str">
        <f>IFERROR(IF(ISNUMBER(C9),INDEX('1 ubicaciones'!$L$2:$L$22,C9 + 1) + I8," ")," ")</f>
        <v xml:space="preserve"> </v>
      </c>
      <c r="J9" s="58" t="str">
        <f>IFERROR(IF(ISNUMBER(C9),INDEX('1 ubicaciones'!$J$2:$J$22,C9 + 1)," ")," ")</f>
        <v xml:space="preserve"> </v>
      </c>
      <c r="K9" s="58" t="str">
        <f>IFERROR(IF(ISNUMBER(C9),INDEX('1 ubicaciones'!$K$2:$K$22,C9 + 1)," ")," ")</f>
        <v xml:space="preserve"> </v>
      </c>
      <c r="L9" s="58" t="str">
        <f>IFERROR(IF(ISNUMBER(C9),IF(B9 = B5, 0, J9 + L8)," ")," ")</f>
        <v xml:space="preserve"> </v>
      </c>
      <c r="M9" s="58" t="str">
        <f>IFERROR(IF(ISNUMBER(C9),IF(B10 = B5, 0, IF(B10 = "", 0, M10 + K10))," ")," ")</f>
        <v xml:space="preserve"> </v>
      </c>
      <c r="N9" s="49" t="str">
        <f t="shared" si="0"/>
        <v xml:space="preserve"> </v>
      </c>
      <c r="R9" s="23">
        <v>4</v>
      </c>
      <c r="S9" s="66" t="s">
        <v>4324</v>
      </c>
      <c r="T9" s="49" t="str">
        <f>IFERROR(MATCH(S9,'1 ubicaciones'!$B$2:$B$22, 0) - 1," ")</f>
        <v xml:space="preserve"> </v>
      </c>
      <c r="U9" s="58" t="str">
        <f>IFERROR(IF(ISNUMBER(T9),INDEX('2.Distancias'!$C$2:$C$1445,T8*38+T9 + 2) +U8," ")," ")</f>
        <v xml:space="preserve"> </v>
      </c>
      <c r="V9" s="64" t="str">
        <f>IFERROR(IF(ISNUMBER(T9),'3.Vehículos'!$F$3 * INDEX('2.Distancias'!$D$2:$D$1445,T8*38+T9 + 2) +V8," ")," ")</f>
        <v xml:space="preserve"> </v>
      </c>
      <c r="W9" s="92" t="str">
        <f>IFERROR(IF(ISNUMBER(T9),'3.Vehículos'!$F$3 * INDEX('2.Distancias'!$D$2:$D$1445,T8*38+T9 + 2) +X8," ")," ")</f>
        <v xml:space="preserve"> </v>
      </c>
      <c r="X9" s="92" t="str">
        <f>IFERROR(IF(AND(T5&lt;&gt;T9,ISNUMBER(W9)),INDEX('1 ubicaciones'!$I$2:$I$22,T9 + 1) + MAX(W9,INDEX('1 ubicaciones'!$F$2:$F$22,T9 + 1))," ")," ")</f>
        <v xml:space="preserve"> </v>
      </c>
      <c r="Y9" s="64" t="str">
        <f>IFERROR(IF(AND(S9 = S5, S10 = ""), W9 - X5, X9 - X5)," ")</f>
        <v xml:space="preserve"> </v>
      </c>
      <c r="Z9" s="49" t="str">
        <f>IFERROR(IF(ISNUMBER(T9),INDEX('1 ubicaciones'!$L$2:$L$22,T9 + 1) + Z8," ")," ")</f>
        <v xml:space="preserve"> </v>
      </c>
      <c r="AA9" s="58" t="str">
        <f>IFERROR(IF(ISNUMBER(T9),INDEX('1 ubicaciones'!$J$2:$J$22,T9 + 1)," ")," ")</f>
        <v xml:space="preserve"> </v>
      </c>
      <c r="AB9" s="58" t="str">
        <f>IFERROR(IF(ISNUMBER(T9),INDEX('1 ubicaciones'!$K$2:$K$22,T9 + 1)," ")," ")</f>
        <v xml:space="preserve"> </v>
      </c>
      <c r="AC9" s="58" t="str">
        <f>IFERROR(IF(ISNUMBER(T9),IF(S9 = S5, 0, AA9 + AC8)," ")," ")</f>
        <v xml:space="preserve"> </v>
      </c>
      <c r="AD9" s="58" t="str">
        <f>IFERROR(IF(ISNUMBER(T9),IF(S10 = S5, 0, IF(S10 = "", 0, AD10 + AB10))," ")," ")</f>
        <v xml:space="preserve"> </v>
      </c>
      <c r="AE9" s="49" t="str">
        <f t="shared" si="1"/>
        <v xml:space="preserve"> </v>
      </c>
      <c r="AI9" s="23">
        <v>4</v>
      </c>
      <c r="AJ9" s="66" t="s">
        <v>4309</v>
      </c>
      <c r="AK9" s="49" t="str">
        <f>IFERROR(MATCH(AJ9,'1 ubicaciones'!$B$2:$B$22, 0) - 1," ")</f>
        <v xml:space="preserve"> </v>
      </c>
      <c r="AL9" s="58" t="str">
        <f>IFERROR(IF(ISNUMBER(AK9),INDEX('2.Distancias'!$C$2:$C$1445,AK8*38+AK9 + 2) +AL8," ")," ")</f>
        <v xml:space="preserve"> </v>
      </c>
      <c r="AM9" s="64" t="str">
        <f>IFERROR(IF(ISNUMBER(AK9),'3.Vehículos'!$F$4 * INDEX('2.Distancias'!$D$2:$D$1445,AK8*38+AK9 + 2) +AM8," ")," ")</f>
        <v xml:space="preserve"> </v>
      </c>
      <c r="AN9" s="92" t="str">
        <f>IFERROR(IF(ISNUMBER(AK9),'3.Vehículos'!$F$4 * INDEX('2.Distancias'!$D$2:$D$1445,AK8*38+AK9 + 2) +AO8," ")," ")</f>
        <v xml:space="preserve"> </v>
      </c>
      <c r="AO9" s="92" t="str">
        <f>IFERROR(IF(AND(AK5&lt;&gt;AK9,ISNUMBER(AN9)),INDEX('1 ubicaciones'!$I$2:$I$22,AK9 + 1) + MAX(AN9,INDEX('1 ubicaciones'!$F$2:$F$22,AK9 + 1))," ")," ")</f>
        <v xml:space="preserve"> </v>
      </c>
      <c r="AP9" s="64" t="str">
        <f>IFERROR(IF(AND(AJ9 = AJ5, AJ10 = ""), AN9 - AO5, AO9 - AO5)," ")</f>
        <v xml:space="preserve"> </v>
      </c>
      <c r="AQ9" s="49" t="str">
        <f>IFERROR(IF(ISNUMBER(AK9),INDEX('1 ubicaciones'!$L$2:$L$22,AK9 + 1) + AQ8," ")," ")</f>
        <v xml:space="preserve"> </v>
      </c>
      <c r="AR9" s="58" t="str">
        <f>IFERROR(IF(ISNUMBER(AK9),INDEX('1 ubicaciones'!$J$2:$J$22,AK9 + 1)," ")," ")</f>
        <v xml:space="preserve"> </v>
      </c>
      <c r="AS9" s="58" t="str">
        <f>IFERROR(IF(ISNUMBER(AK9),INDEX('1 ubicaciones'!$K$2:$K$22,AK9 + 1)," ")," ")</f>
        <v xml:space="preserve"> </v>
      </c>
      <c r="AT9" s="58" t="str">
        <f>IFERROR(IF(ISNUMBER(AK9),IF(AJ9 = AJ5, 0, AR9 + AT8)," ")," ")</f>
        <v xml:space="preserve"> </v>
      </c>
      <c r="AU9" s="58" t="str">
        <f>IFERROR(IF(ISNUMBER(AK9),IF(AJ10 = AJ5, 0, IF(AJ10 = "", 0, AU10 + AS10))," ")," ")</f>
        <v xml:space="preserve"> </v>
      </c>
      <c r="AV9" s="49" t="str">
        <f t="shared" si="2"/>
        <v xml:space="preserve"> </v>
      </c>
      <c r="AZ9" s="23">
        <v>4</v>
      </c>
      <c r="BA9" s="66" t="s">
        <v>4304</v>
      </c>
      <c r="BB9" s="49" t="str">
        <f>IFERROR(MATCH(BA9,'1 ubicaciones'!$B$2:$B$22, 0) - 1," ")</f>
        <v xml:space="preserve"> </v>
      </c>
      <c r="BC9" s="58" t="str">
        <f>IFERROR(IF(ISNUMBER(BB9),INDEX('2.Distancias'!$C$2:$C$1445,BB8*38+BB9 + 2) +BC8," ")," ")</f>
        <v xml:space="preserve"> </v>
      </c>
      <c r="BD9" s="64" t="str">
        <f>IFERROR(IF(ISNUMBER(BB9),'3.Vehículos'!$F$5 * INDEX('2.Distancias'!$D$2:$D$1445,BB8*38+BB9 + 2) +BD8," ")," ")</f>
        <v xml:space="preserve"> </v>
      </c>
      <c r="BE9" s="92" t="str">
        <f>IFERROR(IF(ISNUMBER(BB9),'3.Vehículos'!$F$5 * INDEX('2.Distancias'!$D$2:$D$1445,BB8*38+BB9 + 2) +BF8," ")," ")</f>
        <v xml:space="preserve"> </v>
      </c>
      <c r="BF9" s="92" t="str">
        <f>IFERROR(IF(AND(BB5&lt;&gt;BB9,ISNUMBER(BE9)),INDEX('1 ubicaciones'!$I$2:$I$22,BB9 + 1) + MAX(BE9,INDEX('1 ubicaciones'!$F$2:$F$22,BB9 + 1))," ")," ")</f>
        <v xml:space="preserve"> </v>
      </c>
      <c r="BG9" s="64" t="str">
        <f>IFERROR(IF(AND(BA9 = BA5, BA10 = ""), BE9 - BF5, BF9 - BF5)," ")</f>
        <v xml:space="preserve"> </v>
      </c>
      <c r="BH9" s="49" t="str">
        <f>IFERROR(IF(ISNUMBER(BB9),INDEX('1 ubicaciones'!$L$2:$L$22,BB9 + 1) + BH8," ")," ")</f>
        <v xml:space="preserve"> </v>
      </c>
      <c r="BI9" s="58" t="str">
        <f>IFERROR(IF(ISNUMBER(BB9),INDEX('1 ubicaciones'!$J$2:$J$22,BB9 + 1)," ")," ")</f>
        <v xml:space="preserve"> </v>
      </c>
      <c r="BJ9" s="58" t="str">
        <f>IFERROR(IF(ISNUMBER(BB9),INDEX('1 ubicaciones'!$K$2:$K$22,BB9 + 1)," ")," ")</f>
        <v xml:space="preserve"> </v>
      </c>
      <c r="BK9" s="58" t="str">
        <f>IFERROR(IF(ISNUMBER(BB9),IF(BA9 = BA5, 0, BI9 + BK8)," ")," ")</f>
        <v xml:space="preserve"> </v>
      </c>
      <c r="BL9" s="58" t="str">
        <f>IFERROR(IF(ISNUMBER(BB9),IF(BA10 = BA5, 0, IF(BA10 = "", 0, BL10 + BJ10))," ")," ")</f>
        <v xml:space="preserve"> </v>
      </c>
      <c r="BM9" s="49" t="str">
        <f t="shared" si="3"/>
        <v xml:space="preserve"> </v>
      </c>
      <c r="BQ9" s="23">
        <v>4</v>
      </c>
      <c r="BR9" s="66" t="s">
        <v>4308</v>
      </c>
      <c r="BS9" s="49" t="str">
        <f>IFERROR(MATCH(BR9,'1 ubicaciones'!$B$2:$B$22, 0) - 1," ")</f>
        <v xml:space="preserve"> </v>
      </c>
      <c r="BT9" s="58" t="str">
        <f>IFERROR(IF(ISNUMBER(BS9),INDEX('2.Distancias'!$C$2:$C$1445,BS8*38+BS9 + 2) +BT8," ")," ")</f>
        <v xml:space="preserve"> </v>
      </c>
      <c r="BU9" s="64" t="str">
        <f>IFERROR(IF(ISNUMBER(BS9),'3.Vehículos'!$F$6 * INDEX('2.Distancias'!$D$2:$D$1445,BS8*38+BS9 + 2) +BU8," ")," ")</f>
        <v xml:space="preserve"> </v>
      </c>
      <c r="BV9" s="92" t="str">
        <f>IFERROR(IF(ISNUMBER(BS9),'3.Vehículos'!$F$6 * INDEX('2.Distancias'!$D$2:$D$1445,BS8*38+BS9 + 2) +BW8," ")," ")</f>
        <v xml:space="preserve"> </v>
      </c>
      <c r="BW9" s="92" t="str">
        <f>IFERROR(IF(AND(BS5&lt;&gt;BS9,ISNUMBER(BV9)),INDEX('1 ubicaciones'!$I$2:$I$22,BS9 + 1) + MAX(BV9,INDEX('1 ubicaciones'!$F$2:$F$22,BS9 + 1))," ")," ")</f>
        <v xml:space="preserve"> </v>
      </c>
      <c r="BX9" s="64" t="str">
        <f>IFERROR(IF(AND(BR9 = BR5, BR10 = ""), BV9 - BW5, BW9 - BW5)," ")</f>
        <v xml:space="preserve"> </v>
      </c>
      <c r="BY9" s="49" t="str">
        <f>IFERROR(IF(ISNUMBER(BS9),INDEX('1 ubicaciones'!$L$2:$L$22,BS9 + 1) + BY8," ")," ")</f>
        <v xml:space="preserve"> </v>
      </c>
      <c r="BZ9" s="58" t="str">
        <f>IFERROR(IF(ISNUMBER(BS9),INDEX('1 ubicaciones'!$J$2:$J$22,BS9 + 1)," ")," ")</f>
        <v xml:space="preserve"> </v>
      </c>
      <c r="CA9" s="58" t="str">
        <f>IFERROR(IF(ISNUMBER(BS9),INDEX('1 ubicaciones'!$K$2:$K$22,BS9 + 1)," ")," ")</f>
        <v xml:space="preserve"> </v>
      </c>
      <c r="CB9" s="58" t="str">
        <f>IFERROR(IF(ISNUMBER(BS9),IF(BR9 = BR5, 0, BZ9 + CB8)," ")," ")</f>
        <v xml:space="preserve"> </v>
      </c>
      <c r="CC9" s="58" t="str">
        <f>IFERROR(IF(ISNUMBER(BS9),IF(BR10 = BR5, 0, IF(BR10 = "", 0, CC10 + CA10))," ")," ")</f>
        <v xml:space="preserve"> </v>
      </c>
      <c r="CD9" s="49" t="str">
        <f t="shared" si="4"/>
        <v xml:space="preserve"> </v>
      </c>
      <c r="CH9" s="23">
        <v>4</v>
      </c>
      <c r="CI9" s="66" t="s">
        <v>4325</v>
      </c>
      <c r="CJ9" s="49" t="str">
        <f>IFERROR(MATCH(CI9,'1 ubicaciones'!$B$2:$B$22, 0) - 1," ")</f>
        <v xml:space="preserve"> </v>
      </c>
      <c r="CK9" s="58" t="str">
        <f>IFERROR(IF(ISNUMBER(CJ9),INDEX('2.Distancias'!$C$2:$C$1445,CJ8*38+CJ9 + 2) +CK8," ")," ")</f>
        <v xml:space="preserve"> </v>
      </c>
      <c r="CL9" s="64" t="str">
        <f>IFERROR(IF(ISNUMBER(CJ9),'3.Vehículos'!$F$10 * INDEX('2.Distancias'!$D$2:$D$1445,CJ8*38+CJ9 + 2) +CL8," ")," ")</f>
        <v xml:space="preserve"> </v>
      </c>
      <c r="CM9" s="92" t="str">
        <f>IFERROR(IF(ISNUMBER(CJ9),'3.Vehículos'!$F$10 * INDEX('2.Distancias'!$D$2:$D$1445,CJ8*38+CJ9 + 2) +CN8," ")," ")</f>
        <v xml:space="preserve"> </v>
      </c>
      <c r="CN9" s="92" t="str">
        <f>IFERROR(IF(AND(CJ5&lt;&gt;CJ9,ISNUMBER(CM9)),INDEX('1 ubicaciones'!$I$2:$I$22,CJ9 + 1) + MAX(CM9,INDEX('1 ubicaciones'!$F$2:$F$22,CJ9 + 1))," ")," ")</f>
        <v xml:space="preserve"> </v>
      </c>
      <c r="CO9" s="64" t="str">
        <f>IFERROR(IF(AND(CI9 = CI5, CI10 = ""), CM9 - CN5, CN9 - CN5)," ")</f>
        <v xml:space="preserve"> </v>
      </c>
      <c r="CP9" s="49" t="str">
        <f>IFERROR(IF(ISNUMBER(CJ9),INDEX('1 ubicaciones'!$L$2:$L$22,CJ9 + 1) + CP8," ")," ")</f>
        <v xml:space="preserve"> </v>
      </c>
      <c r="CQ9" s="58" t="str">
        <f>IFERROR(IF(ISNUMBER(CJ9),INDEX('1 ubicaciones'!$J$2:$J$22,CJ9 + 1)," ")," ")</f>
        <v xml:space="preserve"> </v>
      </c>
      <c r="CR9" s="58" t="str">
        <f>IFERROR(IF(ISNUMBER(CJ9),INDEX('1 ubicaciones'!$K$2:$K$22,CJ9 + 1)," ")," ")</f>
        <v xml:space="preserve"> </v>
      </c>
      <c r="CS9" s="58" t="str">
        <f>IFERROR(IF(ISNUMBER(CJ9),IF(CI9 = CI5, 0, CQ9 + CS8)," ")," ")</f>
        <v xml:space="preserve"> </v>
      </c>
      <c r="CT9" s="58" t="str">
        <f>IFERROR(IF(ISNUMBER(CJ9),IF(CI10 = CI5, 0, IF(CI10 = "", 0, CT10 + CR10))," ")," ")</f>
        <v xml:space="preserve"> </v>
      </c>
      <c r="CU9" s="49" t="str">
        <f t="shared" si="5"/>
        <v xml:space="preserve"> </v>
      </c>
      <c r="CY9" s="23">
        <v>4</v>
      </c>
      <c r="CZ9" s="66"/>
      <c r="DA9" s="49" t="str">
        <f>IFERROR(MATCH(CZ9,'1 ubicaciones'!$B$2:$B$22, 0) - 1," ")</f>
        <v xml:space="preserve"> </v>
      </c>
      <c r="DB9" s="58" t="str">
        <f>IFERROR(IF(ISNUMBER(DA9),INDEX('2.Distancias'!$C$2:$C$1445,DA8*38+DA9 + 2) +DB8," ")," ")</f>
        <v xml:space="preserve"> </v>
      </c>
      <c r="DC9" s="64" t="str">
        <f>IFERROR(IF(ISNUMBER(DA9),'3.Vehículos'!$F$11 * INDEX('2.Distancias'!$D$2:$D$1445,DA8*38+DA9 + 2) +DC8," ")," ")</f>
        <v xml:space="preserve"> </v>
      </c>
      <c r="DD9" s="92" t="str">
        <f>IFERROR(IF(ISNUMBER(DA9),'3.Vehículos'!$F$11 * INDEX('2.Distancias'!$D$2:$D$1445,DA8*38+DA9 + 2) +DE8," ")," ")</f>
        <v xml:space="preserve"> </v>
      </c>
      <c r="DE9" s="92" t="str">
        <f>IFERROR(IF(AND(DA5&lt;&gt;DA9,ISNUMBER(DD9)),INDEX('1 ubicaciones'!$I$2:$I$22,DA9 + 1) + MAX(DD9,INDEX('1 ubicaciones'!$F$2:$F$22,DA9 + 1))," ")," ")</f>
        <v xml:space="preserve"> </v>
      </c>
      <c r="DF9" s="64" t="str">
        <f>IFERROR(IF(AND(CZ9 = CZ5, CZ10 = ""), DD9 - DE5, DE9 - DE5)," ")</f>
        <v xml:space="preserve"> </v>
      </c>
      <c r="DG9" s="49" t="str">
        <f>IFERROR(IF(ISNUMBER(DA9),INDEX('1 ubicaciones'!$L$2:$L$22,DA9 + 1) + DG8," ")," ")</f>
        <v xml:space="preserve"> </v>
      </c>
      <c r="DH9" s="58" t="str">
        <f>IFERROR(IF(ISNUMBER(DA9),INDEX('1 ubicaciones'!$J$2:$J$22,DA9 + 1)," ")," ")</f>
        <v xml:space="preserve"> </v>
      </c>
      <c r="DI9" s="58" t="str">
        <f>IFERROR(IF(ISNUMBER(DA9),INDEX('1 ubicaciones'!$K$2:$K$22,DA9 + 1)," ")," ")</f>
        <v xml:space="preserve"> </v>
      </c>
      <c r="DJ9" s="58" t="str">
        <f>IFERROR(IF(ISNUMBER(DA9),IF(CZ9 = CZ5, 0, DH9 + DJ8)," ")," ")</f>
        <v xml:space="preserve"> </v>
      </c>
      <c r="DK9" s="58" t="str">
        <f>IFERROR(IF(ISNUMBER(DA9),IF(CZ10 = CZ5, 0, IF(CZ10 = "", 0, DK10 + DI10))," ")," ")</f>
        <v xml:space="preserve"> </v>
      </c>
      <c r="DL9" s="49" t="str">
        <f t="shared" si="6"/>
        <v xml:space="preserve"> </v>
      </c>
      <c r="DP9" s="23">
        <v>4</v>
      </c>
      <c r="DQ9" s="66" t="s">
        <v>4320</v>
      </c>
      <c r="DR9" s="49" t="str">
        <f>IFERROR(MATCH(DQ9,'1 ubicaciones'!$B$2:$B$22, 0) - 1," ")</f>
        <v xml:space="preserve"> </v>
      </c>
      <c r="DS9" s="58" t="str">
        <f>IFERROR(IF(ISNUMBER(DR9),INDEX('2.Distancias'!$C$2:$C$1445,DR8*38+DR9 + 2) +DS8," ")," ")</f>
        <v xml:space="preserve"> </v>
      </c>
      <c r="DT9" s="64" t="str">
        <f>IFERROR(IF(ISNUMBER(DR9),'3.Vehículos'!$F$18 * INDEX('2.Distancias'!$D$2:$D$1445,DR8*38+DR9 + 2) +DT8," ")," ")</f>
        <v xml:space="preserve"> </v>
      </c>
      <c r="DU9" s="92" t="str">
        <f>IFERROR(IF(ISNUMBER(DR9),'3.Vehículos'!$F$18 * INDEX('2.Distancias'!$D$2:$D$1445,DR8*38+DR9 + 2) +DV8," ")," ")</f>
        <v xml:space="preserve"> </v>
      </c>
      <c r="DV9" s="92" t="str">
        <f>IFERROR(IF(AND(DR5&lt;&gt;DR9,ISNUMBER(DU9)),INDEX('1 ubicaciones'!$I$2:$I$22,DR9 + 1) + MAX(DU9,INDEX('1 ubicaciones'!$F$2:$F$22,DR9 + 1))," ")," ")</f>
        <v xml:space="preserve"> </v>
      </c>
      <c r="DW9" s="64" t="str">
        <f>IFERROR(IF(AND(DQ9 = DQ5, DQ10 = ""), DU9 - DV5, DV9 - DV5)," ")</f>
        <v xml:space="preserve"> </v>
      </c>
      <c r="DX9" s="49" t="str">
        <f>IFERROR(IF(ISNUMBER(DR9),INDEX('1 ubicaciones'!$L$2:$L$22,DR9 + 1) + DX8," ")," ")</f>
        <v xml:space="preserve"> </v>
      </c>
      <c r="DY9" s="58" t="str">
        <f>IFERROR(IF(ISNUMBER(DR9),INDEX('1 ubicaciones'!$J$2:$J$22,DR9 + 1)," ")," ")</f>
        <v xml:space="preserve"> </v>
      </c>
      <c r="DZ9" s="58" t="str">
        <f>IFERROR(IF(ISNUMBER(DR9),INDEX('1 ubicaciones'!$K$2:$K$22,DR9 + 1)," ")," ")</f>
        <v xml:space="preserve"> </v>
      </c>
      <c r="EA9" s="58" t="str">
        <f>IFERROR(IF(ISNUMBER(DR9),IF(DQ9 = DQ5, 0, DY9 + EA8)," ")," ")</f>
        <v xml:space="preserve"> </v>
      </c>
      <c r="EB9" s="58" t="str">
        <f>IFERROR(IF(ISNUMBER(DR9),IF(DQ10 = DQ5, 0, IF(DQ10 = "", 0, EB10 + DZ10))," ")," ")</f>
        <v xml:space="preserve"> </v>
      </c>
      <c r="EC9" s="49" t="str">
        <f t="shared" si="7"/>
        <v xml:space="preserve"> </v>
      </c>
    </row>
    <row r="10" spans="1:133" x14ac:dyDescent="0.25">
      <c r="A10" s="23">
        <v>5</v>
      </c>
      <c r="B10" s="63" t="s">
        <v>4310</v>
      </c>
      <c r="C10" s="49" t="str">
        <f>IFERROR(MATCH(B10,'1 ubicaciones'!$B$2:$B$22, 0) - 1," ")</f>
        <v xml:space="preserve"> </v>
      </c>
      <c r="D10" s="58" t="str">
        <f>IFERROR(IF(ISNUMBER(C10),INDEX('2.Distancias'!$C$2:$C$1445,C9*38+C10 + 2) +D9," ")," ")</f>
        <v xml:space="preserve"> </v>
      </c>
      <c r="E10" s="64" t="str">
        <f>IFERROR(IF(ISNUMBER(C10),'3.Vehículos'!$F$2 * INDEX('2.Distancias'!$D$2:$D$1445,C9*38+C10 + 2) +E9," ")," ")</f>
        <v xml:space="preserve"> </v>
      </c>
      <c r="F10" s="92" t="str">
        <f>IFERROR(IF(ISNUMBER(C10),'3.Vehículos'!$F$2 * INDEX('2.Distancias'!$D$2:$D$1445,C9*38+C10 + 2) +G9," ")," ")</f>
        <v xml:space="preserve"> </v>
      </c>
      <c r="G10" s="92" t="str">
        <f>IFERROR(IF(AND(C5&lt;&gt;C10,ISNUMBER(F10)),INDEX('1 ubicaciones'!$I$2:$I$22,C10 + 1) + MAX(F10,INDEX('1 ubicaciones'!$F$2:$F$22,C10 + 1))," ")," ")</f>
        <v xml:space="preserve"> </v>
      </c>
      <c r="H10" s="64" t="str">
        <f>IFERROR(IF(AND(B10 = B5, B11 = ""), F10 - G5, G10 - G5)," ")</f>
        <v xml:space="preserve"> </v>
      </c>
      <c r="I10" s="49" t="str">
        <f>IFERROR(IF(ISNUMBER(C10),INDEX('1 ubicaciones'!$L$2:$L$22,C10 + 1) + I9," ")," ")</f>
        <v xml:space="preserve"> </v>
      </c>
      <c r="J10" s="58" t="str">
        <f>IFERROR(IF(ISNUMBER(C10),INDEX('1 ubicaciones'!$J$2:$J$22,C10 + 1)," ")," ")</f>
        <v xml:space="preserve"> </v>
      </c>
      <c r="K10" s="58" t="str">
        <f>IFERROR(IF(ISNUMBER(C10),INDEX('1 ubicaciones'!$K$2:$K$22,C10 + 1)," ")," ")</f>
        <v xml:space="preserve"> </v>
      </c>
      <c r="L10" s="58" t="str">
        <f>IFERROR(IF(ISNUMBER(C10),IF(B10 = B5, 0, J10 + L9)," ")," ")</f>
        <v xml:space="preserve"> </v>
      </c>
      <c r="M10" s="58" t="str">
        <f>IFERROR(IF(ISNUMBER(C10),IF(B11 = B5, 0, IF(B11 = "", 0, M11 + K11))," ")," ")</f>
        <v xml:space="preserve"> </v>
      </c>
      <c r="N10" s="49" t="str">
        <f t="shared" si="0"/>
        <v xml:space="preserve"> </v>
      </c>
      <c r="R10" s="23">
        <v>5</v>
      </c>
      <c r="S10" s="63" t="s">
        <v>4280</v>
      </c>
      <c r="T10" s="49" t="str">
        <f>IFERROR(MATCH(S10,'1 ubicaciones'!$B$2:$B$22, 0) - 1," ")</f>
        <v xml:space="preserve"> </v>
      </c>
      <c r="U10" s="58" t="str">
        <f>IFERROR(IF(ISNUMBER(T10),INDEX('2.Distancias'!$C$2:$C$1445,T9*38+T10 + 2) +U9," ")," ")</f>
        <v xml:space="preserve"> </v>
      </c>
      <c r="V10" s="64" t="str">
        <f>IFERROR(IF(ISNUMBER(T10),'3.Vehículos'!$F$3 * INDEX('2.Distancias'!$D$2:$D$1445,T9*38+T10 + 2) +V9," ")," ")</f>
        <v xml:space="preserve"> </v>
      </c>
      <c r="W10" s="92" t="str">
        <f>IFERROR(IF(ISNUMBER(T10),'3.Vehículos'!$F$3 * INDEX('2.Distancias'!$D$2:$D$1445,T9*38+T10 + 2) +X9," ")," ")</f>
        <v xml:space="preserve"> </v>
      </c>
      <c r="X10" s="92" t="str">
        <f>IFERROR(IF(AND(T5&lt;&gt;T10,ISNUMBER(W10)),INDEX('1 ubicaciones'!$I$2:$I$22,T10 + 1) + MAX(W10,INDEX('1 ubicaciones'!$F$2:$F$22,T10 + 1))," ")," ")</f>
        <v xml:space="preserve"> </v>
      </c>
      <c r="Y10" s="64" t="str">
        <f>IFERROR(IF(AND(S10 = S5, S11 = ""), W10 - X5, X10 - X5)," ")</f>
        <v xml:space="preserve"> </v>
      </c>
      <c r="Z10" s="49" t="str">
        <f>IFERROR(IF(ISNUMBER(T10),INDEX('1 ubicaciones'!$L$2:$L$22,T10 + 1) + Z9," ")," ")</f>
        <v xml:space="preserve"> </v>
      </c>
      <c r="AA10" s="58" t="str">
        <f>IFERROR(IF(ISNUMBER(T10),INDEX('1 ubicaciones'!$J$2:$J$22,T10 + 1)," ")," ")</f>
        <v xml:space="preserve"> </v>
      </c>
      <c r="AB10" s="58" t="str">
        <f>IFERROR(IF(ISNUMBER(T10),INDEX('1 ubicaciones'!$K$2:$K$22,T10 + 1)," ")," ")</f>
        <v xml:space="preserve"> </v>
      </c>
      <c r="AC10" s="58" t="str">
        <f>IFERROR(IF(ISNUMBER(T10),IF(S10 = S5, 0, AA10 + AC9)," ")," ")</f>
        <v xml:space="preserve"> </v>
      </c>
      <c r="AD10" s="58" t="str">
        <f>IFERROR(IF(ISNUMBER(T10),IF(S11 = S5, 0, IF(S11 = "", 0, AD11 + AB11))," ")," ")</f>
        <v xml:space="preserve"> </v>
      </c>
      <c r="AE10" s="49" t="str">
        <f t="shared" si="1"/>
        <v xml:space="preserve"> </v>
      </c>
      <c r="AI10" s="23">
        <v>5</v>
      </c>
      <c r="AJ10" s="63" t="s">
        <v>4297</v>
      </c>
      <c r="AK10" s="49" t="str">
        <f>IFERROR(MATCH(AJ10,'1 ubicaciones'!$B$2:$B$22, 0) - 1," ")</f>
        <v xml:space="preserve"> </v>
      </c>
      <c r="AL10" s="58" t="str">
        <f>IFERROR(IF(ISNUMBER(AK10),INDEX('2.Distancias'!$C$2:$C$1445,AK9*38+AK10 + 2) +AL9," ")," ")</f>
        <v xml:space="preserve"> </v>
      </c>
      <c r="AM10" s="64" t="str">
        <f>IFERROR(IF(ISNUMBER(AK10),'3.Vehículos'!$F$4 * INDEX('2.Distancias'!$D$2:$D$1445,AK9*38+AK10 + 2) +AM9," ")," ")</f>
        <v xml:space="preserve"> </v>
      </c>
      <c r="AN10" s="92" t="str">
        <f>IFERROR(IF(ISNUMBER(AK10),'3.Vehículos'!$F$4 * INDEX('2.Distancias'!$D$2:$D$1445,AK9*38+AK10 + 2) +AO9," ")," ")</f>
        <v xml:space="preserve"> </v>
      </c>
      <c r="AO10" s="92" t="str">
        <f>IFERROR(IF(AND(AK5&lt;&gt;AK10,ISNUMBER(AN10)),INDEX('1 ubicaciones'!$I$2:$I$22,AK10 + 1) + MAX(AN10,INDEX('1 ubicaciones'!$F$2:$F$22,AK10 + 1))," ")," ")</f>
        <v xml:space="preserve"> </v>
      </c>
      <c r="AP10" s="64" t="str">
        <f>IFERROR(IF(AND(AJ10 = AJ5, AJ11 = ""), AN10 - AO5, AO10 - AO5)," ")</f>
        <v xml:space="preserve"> </v>
      </c>
      <c r="AQ10" s="49" t="str">
        <f>IFERROR(IF(ISNUMBER(AK10),INDEX('1 ubicaciones'!$L$2:$L$22,AK10 + 1) + AQ9," ")," ")</f>
        <v xml:space="preserve"> </v>
      </c>
      <c r="AR10" s="58" t="str">
        <f>IFERROR(IF(ISNUMBER(AK10),INDEX('1 ubicaciones'!$J$2:$J$22,AK10 + 1)," ")," ")</f>
        <v xml:space="preserve"> </v>
      </c>
      <c r="AS10" s="58" t="str">
        <f>IFERROR(IF(ISNUMBER(AK10),INDEX('1 ubicaciones'!$K$2:$K$22,AK10 + 1)," ")," ")</f>
        <v xml:space="preserve"> </v>
      </c>
      <c r="AT10" s="58" t="str">
        <f>IFERROR(IF(ISNUMBER(AK10),IF(AJ10 = AJ5, 0, AR10 + AT9)," ")," ")</f>
        <v xml:space="preserve"> </v>
      </c>
      <c r="AU10" s="58" t="str">
        <f>IFERROR(IF(ISNUMBER(AK10),IF(AJ11 = AJ5, 0, IF(AJ11 = "", 0, AU11 + AS11))," ")," ")</f>
        <v xml:space="preserve"> </v>
      </c>
      <c r="AV10" s="49" t="str">
        <f t="shared" si="2"/>
        <v xml:space="preserve"> </v>
      </c>
      <c r="AZ10" s="23">
        <v>5</v>
      </c>
      <c r="BA10" s="63" t="s">
        <v>4303</v>
      </c>
      <c r="BB10" s="49" t="str">
        <f>IFERROR(MATCH(BA10,'1 ubicaciones'!$B$2:$B$22, 0) - 1," ")</f>
        <v xml:space="preserve"> </v>
      </c>
      <c r="BC10" s="58" t="str">
        <f>IFERROR(IF(ISNUMBER(BB10),INDEX('2.Distancias'!$C$2:$C$1445,BB9*38+BB10 + 2) +BC9," ")," ")</f>
        <v xml:space="preserve"> </v>
      </c>
      <c r="BD10" s="64" t="str">
        <f>IFERROR(IF(ISNUMBER(BB10),'3.Vehículos'!$F$5 * INDEX('2.Distancias'!$D$2:$D$1445,BB9*38+BB10 + 2) +BD9," ")," ")</f>
        <v xml:space="preserve"> </v>
      </c>
      <c r="BE10" s="92" t="str">
        <f>IFERROR(IF(ISNUMBER(BB10),'3.Vehículos'!$F$5 * INDEX('2.Distancias'!$D$2:$D$1445,BB9*38+BB10 + 2) +BF9," ")," ")</f>
        <v xml:space="preserve"> </v>
      </c>
      <c r="BF10" s="92" t="str">
        <f>IFERROR(IF(AND(BB5&lt;&gt;BB10,ISNUMBER(BE10)),INDEX('1 ubicaciones'!$I$2:$I$22,BB10 + 1) + MAX(BE10,INDEX('1 ubicaciones'!$F$2:$F$22,BB10 + 1))," ")," ")</f>
        <v xml:space="preserve"> </v>
      </c>
      <c r="BG10" s="64" t="str">
        <f>IFERROR(IF(AND(BA10 = BA5, BA11 = ""), BE10 - BF5, BF10 - BF5)," ")</f>
        <v xml:space="preserve"> </v>
      </c>
      <c r="BH10" s="49" t="str">
        <f>IFERROR(IF(ISNUMBER(BB10),INDEX('1 ubicaciones'!$L$2:$L$22,BB10 + 1) + BH9," ")," ")</f>
        <v xml:space="preserve"> </v>
      </c>
      <c r="BI10" s="58" t="str">
        <f>IFERROR(IF(ISNUMBER(BB10),INDEX('1 ubicaciones'!$J$2:$J$22,BB10 + 1)," ")," ")</f>
        <v xml:space="preserve"> </v>
      </c>
      <c r="BJ10" s="58" t="str">
        <f>IFERROR(IF(ISNUMBER(BB10),INDEX('1 ubicaciones'!$K$2:$K$22,BB10 + 1)," ")," ")</f>
        <v xml:space="preserve"> </v>
      </c>
      <c r="BK10" s="58" t="str">
        <f>IFERROR(IF(ISNUMBER(BB10),IF(BA10 = BA5, 0, BI10 + BK9)," ")," ")</f>
        <v xml:space="preserve"> </v>
      </c>
      <c r="BL10" s="58" t="str">
        <f>IFERROR(IF(ISNUMBER(BB10),IF(BA11 = BA5, 0, IF(BA11 = "", 0, BL11 + BJ11))," ")," ")</f>
        <v xml:space="preserve"> </v>
      </c>
      <c r="BM10" s="49" t="str">
        <f t="shared" si="3"/>
        <v xml:space="preserve"> </v>
      </c>
      <c r="BQ10" s="23">
        <v>5</v>
      </c>
      <c r="BR10" s="63" t="s">
        <v>4279</v>
      </c>
      <c r="BS10" s="49" t="str">
        <f>IFERROR(MATCH(BR10,'1 ubicaciones'!$B$2:$B$22, 0) - 1," ")</f>
        <v xml:space="preserve"> </v>
      </c>
      <c r="BT10" s="58" t="str">
        <f>IFERROR(IF(ISNUMBER(BS10),INDEX('2.Distancias'!$C$2:$C$1445,BS9*38+BS10 + 2) +BT9," ")," ")</f>
        <v xml:space="preserve"> </v>
      </c>
      <c r="BU10" s="64" t="str">
        <f>IFERROR(IF(ISNUMBER(BS10),'3.Vehículos'!$F$6 * INDEX('2.Distancias'!$D$2:$D$1445,BS9*38+BS10 + 2) +BU9," ")," ")</f>
        <v xml:space="preserve"> </v>
      </c>
      <c r="BV10" s="92" t="str">
        <f>IFERROR(IF(ISNUMBER(BS10),'3.Vehículos'!$F$6 * INDEX('2.Distancias'!$D$2:$D$1445,BS9*38+BS10 + 2) +BW9," ")," ")</f>
        <v xml:space="preserve"> </v>
      </c>
      <c r="BW10" s="92" t="str">
        <f>IFERROR(IF(AND(BS5&lt;&gt;BS10,ISNUMBER(BV10)),INDEX('1 ubicaciones'!$I$2:$I$22,BS10 + 1) + MAX(BV10,INDEX('1 ubicaciones'!$F$2:$F$22,BS10 + 1))," ")," ")</f>
        <v xml:space="preserve"> </v>
      </c>
      <c r="BX10" s="64" t="str">
        <f>IFERROR(IF(AND(BR10 = BR5, BR11 = ""), BV10 - BW5, BW10 - BW5)," ")</f>
        <v xml:space="preserve"> </v>
      </c>
      <c r="BY10" s="49" t="str">
        <f>IFERROR(IF(ISNUMBER(BS10),INDEX('1 ubicaciones'!$L$2:$L$22,BS10 + 1) + BY9," ")," ")</f>
        <v xml:space="preserve"> </v>
      </c>
      <c r="BZ10" s="58" t="str">
        <f>IFERROR(IF(ISNUMBER(BS10),INDEX('1 ubicaciones'!$J$2:$J$22,BS10 + 1)," ")," ")</f>
        <v xml:space="preserve"> </v>
      </c>
      <c r="CA10" s="58" t="str">
        <f>IFERROR(IF(ISNUMBER(BS10),INDEX('1 ubicaciones'!$K$2:$K$22,BS10 + 1)," ")," ")</f>
        <v xml:space="preserve"> </v>
      </c>
      <c r="CB10" s="58" t="str">
        <f>IFERROR(IF(ISNUMBER(BS10),IF(BR10 = BR5, 0, BZ10 + CB9)," ")," ")</f>
        <v xml:space="preserve"> </v>
      </c>
      <c r="CC10" s="58" t="str">
        <f>IFERROR(IF(ISNUMBER(BS10),IF(BR11 = BR5, 0, IF(BR11 = "", 0, CC11 + CA11))," ")," ")</f>
        <v xml:space="preserve"> </v>
      </c>
      <c r="CD10" s="49" t="str">
        <f t="shared" si="4"/>
        <v xml:space="preserve"> </v>
      </c>
      <c r="CH10" s="23">
        <v>5</v>
      </c>
      <c r="CI10" s="63" t="s">
        <v>4306</v>
      </c>
      <c r="CJ10" s="49" t="str">
        <f>IFERROR(MATCH(CI10,'1 ubicaciones'!$B$2:$B$22, 0) - 1," ")</f>
        <v xml:space="preserve"> </v>
      </c>
      <c r="CK10" s="58" t="str">
        <f>IFERROR(IF(ISNUMBER(CJ10),INDEX('2.Distancias'!$C$2:$C$1445,CJ9*38+CJ10 + 2) +CK9," ")," ")</f>
        <v xml:space="preserve"> </v>
      </c>
      <c r="CL10" s="64" t="str">
        <f>IFERROR(IF(ISNUMBER(CJ10),'3.Vehículos'!$F$10 * INDEX('2.Distancias'!$D$2:$D$1445,CJ9*38+CJ10 + 2) +CL9," ")," ")</f>
        <v xml:space="preserve"> </v>
      </c>
      <c r="CM10" s="92" t="str">
        <f>IFERROR(IF(ISNUMBER(CJ10),'3.Vehículos'!$F$10 * INDEX('2.Distancias'!$D$2:$D$1445,CJ9*38+CJ10 + 2) +CN9," ")," ")</f>
        <v xml:space="preserve"> </v>
      </c>
      <c r="CN10" s="92" t="str">
        <f>IFERROR(IF(AND(CJ5&lt;&gt;CJ10,ISNUMBER(CM10)),INDEX('1 ubicaciones'!$I$2:$I$22,CJ10 + 1) + MAX(CM10,INDEX('1 ubicaciones'!$F$2:$F$22,CJ10 + 1))," ")," ")</f>
        <v xml:space="preserve"> </v>
      </c>
      <c r="CO10" s="64" t="str">
        <f>IFERROR(IF(AND(CI10 = CI5, CI11 = ""), CM10 - CN5, CN10 - CN5)," ")</f>
        <v xml:space="preserve"> </v>
      </c>
      <c r="CP10" s="49" t="str">
        <f>IFERROR(IF(ISNUMBER(CJ10),INDEX('1 ubicaciones'!$L$2:$L$22,CJ10 + 1) + CP9," ")," ")</f>
        <v xml:space="preserve"> </v>
      </c>
      <c r="CQ10" s="58" t="str">
        <f>IFERROR(IF(ISNUMBER(CJ10),INDEX('1 ubicaciones'!$J$2:$J$22,CJ10 + 1)," ")," ")</f>
        <v xml:space="preserve"> </v>
      </c>
      <c r="CR10" s="58" t="str">
        <f>IFERROR(IF(ISNUMBER(CJ10),INDEX('1 ubicaciones'!$K$2:$K$22,CJ10 + 1)," ")," ")</f>
        <v xml:space="preserve"> </v>
      </c>
      <c r="CS10" s="58" t="str">
        <f>IFERROR(IF(ISNUMBER(CJ10),IF(CI10 = CI5, 0, CQ10 + CS9)," ")," ")</f>
        <v xml:space="preserve"> </v>
      </c>
      <c r="CT10" s="58" t="str">
        <f>IFERROR(IF(ISNUMBER(CJ10),IF(CI11 = CI5, 0, IF(CI11 = "", 0, CT11 + CR11))," ")," ")</f>
        <v xml:space="preserve"> </v>
      </c>
      <c r="CU10" s="49" t="str">
        <f t="shared" si="5"/>
        <v xml:space="preserve"> </v>
      </c>
      <c r="CY10" s="23">
        <v>5</v>
      </c>
      <c r="CZ10" s="63"/>
      <c r="DA10" s="49" t="str">
        <f>IFERROR(MATCH(CZ10,'1 ubicaciones'!$B$2:$B$22, 0) - 1," ")</f>
        <v xml:space="preserve"> </v>
      </c>
      <c r="DB10" s="58" t="str">
        <f>IFERROR(IF(ISNUMBER(DA10),INDEX('2.Distancias'!$C$2:$C$1445,DA9*38+DA10 + 2) +DB9," ")," ")</f>
        <v xml:space="preserve"> </v>
      </c>
      <c r="DC10" s="64" t="str">
        <f>IFERROR(IF(ISNUMBER(DA10),'3.Vehículos'!$F$11 * INDEX('2.Distancias'!$D$2:$D$1445,DA9*38+DA10 + 2) +DC9," ")," ")</f>
        <v xml:space="preserve"> </v>
      </c>
      <c r="DD10" s="92" t="str">
        <f>IFERROR(IF(ISNUMBER(DA10),'3.Vehículos'!$F$11 * INDEX('2.Distancias'!$D$2:$D$1445,DA9*38+DA10 + 2) +DE9," ")," ")</f>
        <v xml:space="preserve"> </v>
      </c>
      <c r="DE10" s="92" t="str">
        <f>IFERROR(IF(AND(DA5&lt;&gt;DA10,ISNUMBER(DD10)),INDEX('1 ubicaciones'!$I$2:$I$22,DA10 + 1) + MAX(DD10,INDEX('1 ubicaciones'!$F$2:$F$22,DA10 + 1))," ")," ")</f>
        <v xml:space="preserve"> </v>
      </c>
      <c r="DF10" s="64" t="str">
        <f>IFERROR(IF(AND(CZ10 = CZ5, CZ11 = ""), DD10 - DE5, DE10 - DE5)," ")</f>
        <v xml:space="preserve"> </v>
      </c>
      <c r="DG10" s="49" t="str">
        <f>IFERROR(IF(ISNUMBER(DA10),INDEX('1 ubicaciones'!$L$2:$L$22,DA10 + 1) + DG9," ")," ")</f>
        <v xml:space="preserve"> </v>
      </c>
      <c r="DH10" s="58" t="str">
        <f>IFERROR(IF(ISNUMBER(DA10),INDEX('1 ubicaciones'!$J$2:$J$22,DA10 + 1)," ")," ")</f>
        <v xml:space="preserve"> </v>
      </c>
      <c r="DI10" s="58" t="str">
        <f>IFERROR(IF(ISNUMBER(DA10),INDEX('1 ubicaciones'!$K$2:$K$22,DA10 + 1)," ")," ")</f>
        <v xml:space="preserve"> </v>
      </c>
      <c r="DJ10" s="58" t="str">
        <f>IFERROR(IF(ISNUMBER(DA10),IF(CZ10 = CZ5, 0, DH10 + DJ9)," ")," ")</f>
        <v xml:space="preserve"> </v>
      </c>
      <c r="DK10" s="58" t="str">
        <f>IFERROR(IF(ISNUMBER(DA10),IF(CZ11 = CZ5, 0, IF(CZ11 = "", 0, DK11 + DI11))," ")," ")</f>
        <v xml:space="preserve"> </v>
      </c>
      <c r="DL10" s="49" t="str">
        <f t="shared" si="6"/>
        <v xml:space="preserve"> </v>
      </c>
      <c r="DP10" s="23">
        <v>5</v>
      </c>
      <c r="DQ10" s="63" t="s">
        <v>4307</v>
      </c>
      <c r="DR10" s="49" t="str">
        <f>IFERROR(MATCH(DQ10,'1 ubicaciones'!$B$2:$B$22, 0) - 1," ")</f>
        <v xml:space="preserve"> </v>
      </c>
      <c r="DS10" s="58" t="str">
        <f>IFERROR(IF(ISNUMBER(DR10),INDEX('2.Distancias'!$C$2:$C$1445,DR9*38+DR10 + 2) +DS9," ")," ")</f>
        <v xml:space="preserve"> </v>
      </c>
      <c r="DT10" s="64" t="str">
        <f>IFERROR(IF(ISNUMBER(DR10),'3.Vehículos'!$F$18 * INDEX('2.Distancias'!$D$2:$D$1445,DR9*38+DR10 + 2) +DT9," ")," ")</f>
        <v xml:space="preserve"> </v>
      </c>
      <c r="DU10" s="92" t="str">
        <f>IFERROR(IF(ISNUMBER(DR10),'3.Vehículos'!$F$18 * INDEX('2.Distancias'!$D$2:$D$1445,DR9*38+DR10 + 2) +DV9," ")," ")</f>
        <v xml:space="preserve"> </v>
      </c>
      <c r="DV10" s="92" t="str">
        <f>IFERROR(IF(AND(DR5&lt;&gt;DR10,ISNUMBER(DU10)),INDEX('1 ubicaciones'!$I$2:$I$22,DR10 + 1) + MAX(DU10,INDEX('1 ubicaciones'!$F$2:$F$22,DR10 + 1))," ")," ")</f>
        <v xml:space="preserve"> </v>
      </c>
      <c r="DW10" s="64" t="str">
        <f>IFERROR(IF(AND(DQ10 = DQ5, DQ11 = ""), DU10 - DV5, DV10 - DV5)," ")</f>
        <v xml:space="preserve"> </v>
      </c>
      <c r="DX10" s="49" t="str">
        <f>IFERROR(IF(ISNUMBER(DR10),INDEX('1 ubicaciones'!$L$2:$L$22,DR10 + 1) + DX9," ")," ")</f>
        <v xml:space="preserve"> </v>
      </c>
      <c r="DY10" s="58" t="str">
        <f>IFERROR(IF(ISNUMBER(DR10),INDEX('1 ubicaciones'!$J$2:$J$22,DR10 + 1)," ")," ")</f>
        <v xml:space="preserve"> </v>
      </c>
      <c r="DZ10" s="58" t="str">
        <f>IFERROR(IF(ISNUMBER(DR10),INDEX('1 ubicaciones'!$K$2:$K$22,DR10 + 1)," ")," ")</f>
        <v xml:space="preserve"> </v>
      </c>
      <c r="EA10" s="58" t="str">
        <f>IFERROR(IF(ISNUMBER(DR10),IF(DQ10 = DQ5, 0, DY10 + EA9)," ")," ")</f>
        <v xml:space="preserve"> </v>
      </c>
      <c r="EB10" s="58" t="str">
        <f>IFERROR(IF(ISNUMBER(DR10),IF(DQ11 = DQ5, 0, IF(DQ11 = "", 0, EB11 + DZ11))," ")," ")</f>
        <v xml:space="preserve"> </v>
      </c>
      <c r="EC10" s="49" t="str">
        <f t="shared" si="7"/>
        <v xml:space="preserve"> </v>
      </c>
    </row>
    <row r="11" spans="1:133" x14ac:dyDescent="0.25">
      <c r="A11" s="23">
        <v>6</v>
      </c>
      <c r="B11" s="66" t="s">
        <v>4267</v>
      </c>
      <c r="C11" s="49" t="str">
        <f>IFERROR(MATCH(B11,'1 ubicaciones'!$B$2:$B$22, 0) - 1," ")</f>
        <v xml:space="preserve"> </v>
      </c>
      <c r="D11" s="58" t="str">
        <f>IFERROR(IF(ISNUMBER(C11),INDEX('2.Distancias'!$C$2:$C$1445,C10*38+C11 + 2) +D10," ")," ")</f>
        <v xml:space="preserve"> </v>
      </c>
      <c r="E11" s="64" t="str">
        <f>IFERROR(IF(ISNUMBER(C11),'3.Vehículos'!$F$2 * INDEX('2.Distancias'!$D$2:$D$1445,C10*38+C11 + 2) +E10," ")," ")</f>
        <v xml:space="preserve"> </v>
      </c>
      <c r="F11" s="92" t="str">
        <f>IFERROR(IF(ISNUMBER(C11),'3.Vehículos'!$F$2 * INDEX('2.Distancias'!$D$2:$D$1445,C10*38+C11 + 2) +G10," ")," ")</f>
        <v xml:space="preserve"> </v>
      </c>
      <c r="G11" s="92" t="str">
        <f>IFERROR(IF(AND(C5&lt;&gt;C11,ISNUMBER(F11)),INDEX('1 ubicaciones'!$I$2:$I$22,C11 + 1) + MAX(F11,INDEX('1 ubicaciones'!$F$2:$F$22,C11 + 1))," ")," ")</f>
        <v xml:space="preserve"> </v>
      </c>
      <c r="H11" s="64" t="str">
        <f>IFERROR(IF(AND(B11 = B5, B12 = ""), F11 - G5, G11 - G5)," ")</f>
        <v xml:space="preserve"> </v>
      </c>
      <c r="I11" s="49" t="str">
        <f>IFERROR(IF(ISNUMBER(C11),INDEX('1 ubicaciones'!$L$2:$L$22,C11 + 1) + I10," ")," ")</f>
        <v xml:space="preserve"> </v>
      </c>
      <c r="J11" s="58" t="str">
        <f>IFERROR(IF(ISNUMBER(C11),INDEX('1 ubicaciones'!$J$2:$J$22,C11 + 1)," ")," ")</f>
        <v xml:space="preserve"> </v>
      </c>
      <c r="K11" s="58" t="str">
        <f>IFERROR(IF(ISNUMBER(C11),INDEX('1 ubicaciones'!$K$2:$K$22,C11 + 1)," ")," ")</f>
        <v xml:space="preserve"> </v>
      </c>
      <c r="L11" s="58" t="str">
        <f>IFERROR(IF(ISNUMBER(C11),IF(B11 = B5, 0, J11 + L10)," ")," ")</f>
        <v xml:space="preserve"> </v>
      </c>
      <c r="M11" s="58" t="str">
        <f>IFERROR(IF(ISNUMBER(C11),IF(B12 = B5, 0, IF(B12 = "", 0, M12 + K12))," ")," ")</f>
        <v xml:space="preserve"> </v>
      </c>
      <c r="N11" s="49" t="str">
        <f t="shared" si="0"/>
        <v xml:space="preserve"> </v>
      </c>
      <c r="R11" s="23">
        <v>6</v>
      </c>
      <c r="S11" s="66"/>
      <c r="T11" s="49" t="str">
        <f>IFERROR(MATCH(S11,'1 ubicaciones'!$B$2:$B$22, 0) - 1," ")</f>
        <v xml:space="preserve"> </v>
      </c>
      <c r="U11" s="58" t="str">
        <f>IFERROR(IF(ISNUMBER(T11),INDEX('2.Distancias'!$C$2:$C$1445,T10*38+T11 + 2) +U10," ")," ")</f>
        <v xml:space="preserve"> </v>
      </c>
      <c r="V11" s="64" t="str">
        <f>IFERROR(IF(ISNUMBER(T11),'3.Vehículos'!$F$3 * INDEX('2.Distancias'!$D$2:$D$1445,T10*38+T11 + 2) +V10," ")," ")</f>
        <v xml:space="preserve"> </v>
      </c>
      <c r="W11" s="92" t="str">
        <f>IFERROR(IF(ISNUMBER(T11),'3.Vehículos'!$F$3 * INDEX('2.Distancias'!$D$2:$D$1445,T10*38+T11 + 2) +X10," ")," ")</f>
        <v xml:space="preserve"> </v>
      </c>
      <c r="X11" s="92" t="str">
        <f>IFERROR(IF(AND(T5&lt;&gt;T11,ISNUMBER(W11)),INDEX('1 ubicaciones'!$I$2:$I$22,T11 + 1) + MAX(W11,INDEX('1 ubicaciones'!$F$2:$F$22,T11 + 1))," ")," ")</f>
        <v xml:space="preserve"> </v>
      </c>
      <c r="Y11" s="64" t="str">
        <f>IFERROR(IF(AND(S11 = S5, S12 = ""), W11 - X5, X11 - X5)," ")</f>
        <v xml:space="preserve"> </v>
      </c>
      <c r="Z11" s="49" t="str">
        <f>IFERROR(IF(ISNUMBER(T11),INDEX('1 ubicaciones'!$L$2:$L$22,T11 + 1) + Z10," ")," ")</f>
        <v xml:space="preserve"> </v>
      </c>
      <c r="AA11" s="58" t="str">
        <f>IFERROR(IF(ISNUMBER(T11),INDEX('1 ubicaciones'!$J$2:$J$22,T11 + 1)," ")," ")</f>
        <v xml:space="preserve"> </v>
      </c>
      <c r="AB11" s="58" t="str">
        <f>IFERROR(IF(ISNUMBER(T11),INDEX('1 ubicaciones'!$K$2:$K$22,T11 + 1)," ")," ")</f>
        <v xml:space="preserve"> </v>
      </c>
      <c r="AC11" s="58" t="str">
        <f>IFERROR(IF(ISNUMBER(T11),IF(S11 = S5, 0, AA11 + AC10)," ")," ")</f>
        <v xml:space="preserve"> </v>
      </c>
      <c r="AD11" s="58" t="str">
        <f>IFERROR(IF(ISNUMBER(T11),IF(S12 = S5, 0, IF(S12 = "", 0, AD12 + AB12))," ")," ")</f>
        <v xml:space="preserve"> </v>
      </c>
      <c r="AE11" s="49" t="str">
        <f t="shared" si="1"/>
        <v xml:space="preserve"> </v>
      </c>
      <c r="AI11" s="23">
        <v>6</v>
      </c>
      <c r="AJ11" s="66" t="s">
        <v>4267</v>
      </c>
      <c r="AK11" s="49" t="str">
        <f>IFERROR(MATCH(AJ11,'1 ubicaciones'!$B$2:$B$22, 0) - 1," ")</f>
        <v xml:space="preserve"> </v>
      </c>
      <c r="AL11" s="58" t="str">
        <f>IFERROR(IF(ISNUMBER(AK11),INDEX('2.Distancias'!$C$2:$C$1445,AK10*38+AK11 + 2) +AL10," ")," ")</f>
        <v xml:space="preserve"> </v>
      </c>
      <c r="AM11" s="64" t="str">
        <f>IFERROR(IF(ISNUMBER(AK11),'3.Vehículos'!$F$4 * INDEX('2.Distancias'!$D$2:$D$1445,AK10*38+AK11 + 2) +AM10," ")," ")</f>
        <v xml:space="preserve"> </v>
      </c>
      <c r="AN11" s="92" t="str">
        <f>IFERROR(IF(ISNUMBER(AK11),'3.Vehículos'!$F$4 * INDEX('2.Distancias'!$D$2:$D$1445,AK10*38+AK11 + 2) +AO10," ")," ")</f>
        <v xml:space="preserve"> </v>
      </c>
      <c r="AO11" s="92" t="str">
        <f>IFERROR(IF(AND(AK5&lt;&gt;AK11,ISNUMBER(AN11)),INDEX('1 ubicaciones'!$I$2:$I$22,AK11 + 1) + MAX(AN11,INDEX('1 ubicaciones'!$F$2:$F$22,AK11 + 1))," ")," ")</f>
        <v xml:space="preserve"> </v>
      </c>
      <c r="AP11" s="64" t="str">
        <f>IFERROR(IF(AND(AJ11 = AJ5, AJ12 = ""), AN11 - AO5, AO11 - AO5)," ")</f>
        <v xml:space="preserve"> </v>
      </c>
      <c r="AQ11" s="49" t="str">
        <f>IFERROR(IF(ISNUMBER(AK11),INDEX('1 ubicaciones'!$L$2:$L$22,AK11 + 1) + AQ10," ")," ")</f>
        <v xml:space="preserve"> </v>
      </c>
      <c r="AR11" s="58" t="str">
        <f>IFERROR(IF(ISNUMBER(AK11),INDEX('1 ubicaciones'!$J$2:$J$22,AK11 + 1)," ")," ")</f>
        <v xml:space="preserve"> </v>
      </c>
      <c r="AS11" s="58" t="str">
        <f>IFERROR(IF(ISNUMBER(AK11),INDEX('1 ubicaciones'!$K$2:$K$22,AK11 + 1)," ")," ")</f>
        <v xml:space="preserve"> </v>
      </c>
      <c r="AT11" s="58" t="str">
        <f>IFERROR(IF(ISNUMBER(AK11),IF(AJ11 = AJ5, 0, AR11 + AT10)," ")," ")</f>
        <v xml:space="preserve"> </v>
      </c>
      <c r="AU11" s="58" t="str">
        <f>IFERROR(IF(ISNUMBER(AK11),IF(AJ12 = AJ5, 0, IF(AJ12 = "", 0, AU12 + AS12))," ")," ")</f>
        <v xml:space="preserve"> </v>
      </c>
      <c r="AV11" s="49" t="str">
        <f t="shared" si="2"/>
        <v xml:space="preserve"> </v>
      </c>
      <c r="AZ11" s="23">
        <v>6</v>
      </c>
      <c r="BA11" s="66" t="s">
        <v>4312</v>
      </c>
      <c r="BB11" s="49" t="str">
        <f>IFERROR(MATCH(BA11,'1 ubicaciones'!$B$2:$B$22, 0) - 1," ")</f>
        <v xml:space="preserve"> </v>
      </c>
      <c r="BC11" s="58" t="str">
        <f>IFERROR(IF(ISNUMBER(BB11),INDEX('2.Distancias'!$C$2:$C$1445,BB10*38+BB11 + 2) +BC10," ")," ")</f>
        <v xml:space="preserve"> </v>
      </c>
      <c r="BD11" s="64" t="str">
        <f>IFERROR(IF(ISNUMBER(BB11),'3.Vehículos'!$F$5 * INDEX('2.Distancias'!$D$2:$D$1445,BB10*38+BB11 + 2) +BD10," ")," ")</f>
        <v xml:space="preserve"> </v>
      </c>
      <c r="BE11" s="92" t="str">
        <f>IFERROR(IF(ISNUMBER(BB11),'3.Vehículos'!$F$5 * INDEX('2.Distancias'!$D$2:$D$1445,BB10*38+BB11 + 2) +BF10," ")," ")</f>
        <v xml:space="preserve"> </v>
      </c>
      <c r="BF11" s="92" t="str">
        <f>IFERROR(IF(AND(BB5&lt;&gt;BB11,ISNUMBER(BE11)),INDEX('1 ubicaciones'!$I$2:$I$22,BB11 + 1) + MAX(BE11,INDEX('1 ubicaciones'!$F$2:$F$22,BB11 + 1))," ")," ")</f>
        <v xml:space="preserve"> </v>
      </c>
      <c r="BG11" s="64" t="str">
        <f>IFERROR(IF(AND(BA11 = BA5, BA12 = ""), BE11 - BF5, BF11 - BF5)," ")</f>
        <v xml:space="preserve"> </v>
      </c>
      <c r="BH11" s="49" t="str">
        <f>IFERROR(IF(ISNUMBER(BB11),INDEX('1 ubicaciones'!$L$2:$L$22,BB11 + 1) + BH10," ")," ")</f>
        <v xml:space="preserve"> </v>
      </c>
      <c r="BI11" s="58" t="str">
        <f>IFERROR(IF(ISNUMBER(BB11),INDEX('1 ubicaciones'!$J$2:$J$22,BB11 + 1)," ")," ")</f>
        <v xml:space="preserve"> </v>
      </c>
      <c r="BJ11" s="58" t="str">
        <f>IFERROR(IF(ISNUMBER(BB11),INDEX('1 ubicaciones'!$K$2:$K$22,BB11 + 1)," ")," ")</f>
        <v xml:space="preserve"> </v>
      </c>
      <c r="BK11" s="58" t="str">
        <f>IFERROR(IF(ISNUMBER(BB11),IF(BA11 = BA5, 0, BI11 + BK10)," ")," ")</f>
        <v xml:space="preserve"> </v>
      </c>
      <c r="BL11" s="58" t="str">
        <f>IFERROR(IF(ISNUMBER(BB11),IF(BA12 = BA5, 0, IF(BA12 = "", 0, BL12 + BJ12))," ")," ")</f>
        <v xml:space="preserve"> </v>
      </c>
      <c r="BM11" s="49" t="str">
        <f t="shared" si="3"/>
        <v xml:space="preserve"> </v>
      </c>
      <c r="BQ11" s="23">
        <v>6</v>
      </c>
      <c r="BR11" s="66" t="s">
        <v>4267</v>
      </c>
      <c r="BS11" s="49" t="str">
        <f>IFERROR(MATCH(BR11,'1 ubicaciones'!$B$2:$B$22, 0) - 1," ")</f>
        <v xml:space="preserve"> </v>
      </c>
      <c r="BT11" s="58" t="str">
        <f>IFERROR(IF(ISNUMBER(BS11),INDEX('2.Distancias'!$C$2:$C$1445,BS10*38+BS11 + 2) +BT10," ")," ")</f>
        <v xml:space="preserve"> </v>
      </c>
      <c r="BU11" s="64" t="str">
        <f>IFERROR(IF(ISNUMBER(BS11),'3.Vehículos'!$F$6 * INDEX('2.Distancias'!$D$2:$D$1445,BS10*38+BS11 + 2) +BU10," ")," ")</f>
        <v xml:space="preserve"> </v>
      </c>
      <c r="BV11" s="92" t="str">
        <f>IFERROR(IF(ISNUMBER(BS11),'3.Vehículos'!$F$6 * INDEX('2.Distancias'!$D$2:$D$1445,BS10*38+BS11 + 2) +BW10," ")," ")</f>
        <v xml:space="preserve"> </v>
      </c>
      <c r="BW11" s="92" t="str">
        <f>IFERROR(IF(AND(BS5&lt;&gt;BS11,ISNUMBER(BV11)),INDEX('1 ubicaciones'!$I$2:$I$22,BS11 + 1) + MAX(BV11,INDEX('1 ubicaciones'!$F$2:$F$22,BS11 + 1))," ")," ")</f>
        <v xml:space="preserve"> </v>
      </c>
      <c r="BX11" s="64" t="str">
        <f>IFERROR(IF(AND(BR11 = BR5, BR12 = ""), BV11 - BW5, BW11 - BW5)," ")</f>
        <v xml:space="preserve"> </v>
      </c>
      <c r="BY11" s="49" t="str">
        <f>IFERROR(IF(ISNUMBER(BS11),INDEX('1 ubicaciones'!$L$2:$L$22,BS11 + 1) + BY10," ")," ")</f>
        <v xml:space="preserve"> </v>
      </c>
      <c r="BZ11" s="58" t="str">
        <f>IFERROR(IF(ISNUMBER(BS11),INDEX('1 ubicaciones'!$J$2:$J$22,BS11 + 1)," ")," ")</f>
        <v xml:space="preserve"> </v>
      </c>
      <c r="CA11" s="58" t="str">
        <f>IFERROR(IF(ISNUMBER(BS11),INDEX('1 ubicaciones'!$K$2:$K$22,BS11 + 1)," ")," ")</f>
        <v xml:space="preserve"> </v>
      </c>
      <c r="CB11" s="58" t="str">
        <f>IFERROR(IF(ISNUMBER(BS11),IF(BR11 = BR5, 0, BZ11 + CB10)," ")," ")</f>
        <v xml:space="preserve"> </v>
      </c>
      <c r="CC11" s="58" t="str">
        <f>IFERROR(IF(ISNUMBER(BS11),IF(BR12 = BR5, 0, IF(BR12 = "", 0, CC12 + CA12))," ")," ")</f>
        <v xml:space="preserve"> </v>
      </c>
      <c r="CD11" s="49" t="str">
        <f t="shared" si="4"/>
        <v xml:space="preserve"> </v>
      </c>
      <c r="CH11" s="23">
        <v>6</v>
      </c>
      <c r="CI11" s="66" t="s">
        <v>4280</v>
      </c>
      <c r="CJ11" s="49" t="str">
        <f>IFERROR(MATCH(CI11,'1 ubicaciones'!$B$2:$B$22, 0) - 1," ")</f>
        <v xml:space="preserve"> </v>
      </c>
      <c r="CK11" s="58" t="str">
        <f>IFERROR(IF(ISNUMBER(CJ11),INDEX('2.Distancias'!$C$2:$C$1445,CJ10*38+CJ11 + 2) +CK10," ")," ")</f>
        <v xml:space="preserve"> </v>
      </c>
      <c r="CL11" s="64" t="str">
        <f>IFERROR(IF(ISNUMBER(CJ11),'3.Vehículos'!$F$10 * INDEX('2.Distancias'!$D$2:$D$1445,CJ10*38+CJ11 + 2) +CL10," ")," ")</f>
        <v xml:space="preserve"> </v>
      </c>
      <c r="CM11" s="92" t="str">
        <f>IFERROR(IF(ISNUMBER(CJ11),'3.Vehículos'!$F$10 * INDEX('2.Distancias'!$D$2:$D$1445,CJ10*38+CJ11 + 2) +CN10," ")," ")</f>
        <v xml:space="preserve"> </v>
      </c>
      <c r="CN11" s="92" t="str">
        <f>IFERROR(IF(AND(CJ5&lt;&gt;CJ11,ISNUMBER(CM11)),INDEX('1 ubicaciones'!$I$2:$I$22,CJ11 + 1) + MAX(CM11,INDEX('1 ubicaciones'!$F$2:$F$22,CJ11 + 1))," ")," ")</f>
        <v xml:space="preserve"> </v>
      </c>
      <c r="CO11" s="64" t="str">
        <f>IFERROR(IF(AND(CI11 = CI5, CI12 = ""), CM11 - CN5, CN11 - CN5)," ")</f>
        <v xml:space="preserve"> </v>
      </c>
      <c r="CP11" s="49" t="str">
        <f>IFERROR(IF(ISNUMBER(CJ11),INDEX('1 ubicaciones'!$L$2:$L$22,CJ11 + 1) + CP10," ")," ")</f>
        <v xml:space="preserve"> </v>
      </c>
      <c r="CQ11" s="58" t="str">
        <f>IFERROR(IF(ISNUMBER(CJ11),INDEX('1 ubicaciones'!$J$2:$J$22,CJ11 + 1)," ")," ")</f>
        <v xml:space="preserve"> </v>
      </c>
      <c r="CR11" s="58" t="str">
        <f>IFERROR(IF(ISNUMBER(CJ11),INDEX('1 ubicaciones'!$K$2:$K$22,CJ11 + 1)," ")," ")</f>
        <v xml:space="preserve"> </v>
      </c>
      <c r="CS11" s="58" t="str">
        <f>IFERROR(IF(ISNUMBER(CJ11),IF(CI11 = CI5, 0, CQ11 + CS10)," ")," ")</f>
        <v xml:space="preserve"> </v>
      </c>
      <c r="CT11" s="58" t="str">
        <f>IFERROR(IF(ISNUMBER(CJ11),IF(CI12 = CI5, 0, IF(CI12 = "", 0, CT12 + CR12))," ")," ")</f>
        <v xml:space="preserve"> </v>
      </c>
      <c r="CU11" s="49" t="str">
        <f t="shared" si="5"/>
        <v xml:space="preserve"> </v>
      </c>
      <c r="CY11" s="23">
        <v>6</v>
      </c>
      <c r="CZ11" s="66"/>
      <c r="DA11" s="49" t="str">
        <f>IFERROR(MATCH(CZ11,'1 ubicaciones'!$B$2:$B$22, 0) - 1," ")</f>
        <v xml:space="preserve"> </v>
      </c>
      <c r="DB11" s="58" t="str">
        <f>IFERROR(IF(ISNUMBER(DA11),INDEX('2.Distancias'!$C$2:$C$1445,DA10*38+DA11 + 2) +DB10," ")," ")</f>
        <v xml:space="preserve"> </v>
      </c>
      <c r="DC11" s="64" t="str">
        <f>IFERROR(IF(ISNUMBER(DA11),'3.Vehículos'!$F$11 * INDEX('2.Distancias'!$D$2:$D$1445,DA10*38+DA11 + 2) +DC10," ")," ")</f>
        <v xml:space="preserve"> </v>
      </c>
      <c r="DD11" s="92" t="str">
        <f>IFERROR(IF(ISNUMBER(DA11),'3.Vehículos'!$F$11 * INDEX('2.Distancias'!$D$2:$D$1445,DA10*38+DA11 + 2) +DE10," ")," ")</f>
        <v xml:space="preserve"> </v>
      </c>
      <c r="DE11" s="92" t="str">
        <f>IFERROR(IF(AND(DA5&lt;&gt;DA11,ISNUMBER(DD11)),INDEX('1 ubicaciones'!$I$2:$I$22,DA11 + 1) + MAX(DD11,INDEX('1 ubicaciones'!$F$2:$F$22,DA11 + 1))," ")," ")</f>
        <v xml:space="preserve"> </v>
      </c>
      <c r="DF11" s="64" t="str">
        <f>IFERROR(IF(AND(CZ11 = CZ5, CZ12 = ""), DD11 - DE5, DE11 - DE5)," ")</f>
        <v xml:space="preserve"> </v>
      </c>
      <c r="DG11" s="49" t="str">
        <f>IFERROR(IF(ISNUMBER(DA11),INDEX('1 ubicaciones'!$L$2:$L$22,DA11 + 1) + DG10," ")," ")</f>
        <v xml:space="preserve"> </v>
      </c>
      <c r="DH11" s="58" t="str">
        <f>IFERROR(IF(ISNUMBER(DA11),INDEX('1 ubicaciones'!$J$2:$J$22,DA11 + 1)," ")," ")</f>
        <v xml:space="preserve"> </v>
      </c>
      <c r="DI11" s="58" t="str">
        <f>IFERROR(IF(ISNUMBER(DA11),INDEX('1 ubicaciones'!$K$2:$K$22,DA11 + 1)," ")," ")</f>
        <v xml:space="preserve"> </v>
      </c>
      <c r="DJ11" s="58" t="str">
        <f>IFERROR(IF(ISNUMBER(DA11),IF(CZ11 = CZ5, 0, DH11 + DJ10)," ")," ")</f>
        <v xml:space="preserve"> </v>
      </c>
      <c r="DK11" s="58" t="str">
        <f>IFERROR(IF(ISNUMBER(DA11),IF(CZ12 = CZ5, 0, IF(CZ12 = "", 0, DK12 + DI12))," ")," ")</f>
        <v xml:space="preserve"> </v>
      </c>
      <c r="DL11" s="49" t="str">
        <f t="shared" si="6"/>
        <v xml:space="preserve"> </v>
      </c>
      <c r="DP11" s="23">
        <v>6</v>
      </c>
      <c r="DQ11" s="66" t="s">
        <v>4281</v>
      </c>
      <c r="DR11" s="49" t="str">
        <f>IFERROR(MATCH(DQ11,'1 ubicaciones'!$B$2:$B$22, 0) - 1," ")</f>
        <v xml:space="preserve"> </v>
      </c>
      <c r="DS11" s="58" t="str">
        <f>IFERROR(IF(ISNUMBER(DR11),INDEX('2.Distancias'!$C$2:$C$1445,DR10*38+DR11 + 2) +DS10," ")," ")</f>
        <v xml:space="preserve"> </v>
      </c>
      <c r="DT11" s="64" t="str">
        <f>IFERROR(IF(ISNUMBER(DR11),'3.Vehículos'!$F$18 * INDEX('2.Distancias'!$D$2:$D$1445,DR10*38+DR11 + 2) +DT10," ")," ")</f>
        <v xml:space="preserve"> </v>
      </c>
      <c r="DU11" s="92" t="str">
        <f>IFERROR(IF(ISNUMBER(DR11),'3.Vehículos'!$F$18 * INDEX('2.Distancias'!$D$2:$D$1445,DR10*38+DR11 + 2) +DV10," ")," ")</f>
        <v xml:space="preserve"> </v>
      </c>
      <c r="DV11" s="92" t="str">
        <f>IFERROR(IF(AND(DR5&lt;&gt;DR11,ISNUMBER(DU11)),INDEX('1 ubicaciones'!$I$2:$I$22,DR11 + 1) + MAX(DU11,INDEX('1 ubicaciones'!$F$2:$F$22,DR11 + 1))," ")," ")</f>
        <v xml:space="preserve"> </v>
      </c>
      <c r="DW11" s="64" t="str">
        <f>IFERROR(IF(AND(DQ11 = DQ5, DQ12 = ""), DU11 - DV5, DV11 - DV5)," ")</f>
        <v xml:space="preserve"> </v>
      </c>
      <c r="DX11" s="49" t="str">
        <f>IFERROR(IF(ISNUMBER(DR11),INDEX('1 ubicaciones'!$L$2:$L$22,DR11 + 1) + DX10," ")," ")</f>
        <v xml:space="preserve"> </v>
      </c>
      <c r="DY11" s="58" t="str">
        <f>IFERROR(IF(ISNUMBER(DR11),INDEX('1 ubicaciones'!$J$2:$J$22,DR11 + 1)," ")," ")</f>
        <v xml:space="preserve"> </v>
      </c>
      <c r="DZ11" s="58" t="str">
        <f>IFERROR(IF(ISNUMBER(DR11),INDEX('1 ubicaciones'!$K$2:$K$22,DR11 + 1)," ")," ")</f>
        <v xml:space="preserve"> </v>
      </c>
      <c r="EA11" s="58" t="str">
        <f>IFERROR(IF(ISNUMBER(DR11),IF(DQ11 = DQ5, 0, DY11 + EA10)," ")," ")</f>
        <v xml:space="preserve"> </v>
      </c>
      <c r="EB11" s="58" t="str">
        <f>IFERROR(IF(ISNUMBER(DR11),IF(DQ12 = DQ5, 0, IF(DQ12 = "", 0, EB12 + DZ12))," ")," ")</f>
        <v xml:space="preserve"> </v>
      </c>
      <c r="EC11" s="49" t="str">
        <f t="shared" si="7"/>
        <v xml:space="preserve"> </v>
      </c>
    </row>
    <row r="12" spans="1:133" x14ac:dyDescent="0.25">
      <c r="A12" s="23">
        <v>7</v>
      </c>
      <c r="B12" s="63"/>
      <c r="C12" s="49" t="str">
        <f>IFERROR(MATCH(B12,'1 ubicaciones'!$B$2:$B$22, 0) - 1," ")</f>
        <v xml:space="preserve"> </v>
      </c>
      <c r="D12" s="58" t="str">
        <f>IFERROR(IF(ISNUMBER(C12),INDEX('2.Distancias'!$C$2:$C$1445,C11*38+C12 + 2) +D11," ")," ")</f>
        <v xml:space="preserve"> </v>
      </c>
      <c r="E12" s="64" t="str">
        <f>IFERROR(IF(ISNUMBER(C12),'3.Vehículos'!$F$2 * INDEX('2.Distancias'!$D$2:$D$1445,C11*38+C12 + 2) +E11," ")," ")</f>
        <v xml:space="preserve"> </v>
      </c>
      <c r="F12" s="92" t="str">
        <f>IFERROR(IF(ISNUMBER(C12),'3.Vehículos'!$F$2 * INDEX('2.Distancias'!$D$2:$D$1445,C11*38+C12 + 2) +G11," ")," ")</f>
        <v xml:space="preserve"> </v>
      </c>
      <c r="G12" s="92" t="str">
        <f>IFERROR(IF(AND(C5&lt;&gt;C12,ISNUMBER(F12)),INDEX('1 ubicaciones'!$I$2:$I$22,C12 + 1) + MAX(F12,INDEX('1 ubicaciones'!$F$2:$F$22,C12 + 1))," ")," ")</f>
        <v xml:space="preserve"> </v>
      </c>
      <c r="H12" s="64" t="str">
        <f>IFERROR(IF(AND(B12 = B5, B13 = ""), F12 - G5, G12 - G5)," ")</f>
        <v xml:space="preserve"> </v>
      </c>
      <c r="I12" s="49" t="str">
        <f>IFERROR(IF(ISNUMBER(C12),INDEX('1 ubicaciones'!$L$2:$L$22,C12 + 1) + I11," ")," ")</f>
        <v xml:space="preserve"> </v>
      </c>
      <c r="J12" s="58" t="str">
        <f>IFERROR(IF(ISNUMBER(C12),INDEX('1 ubicaciones'!$J$2:$J$22,C12 + 1)," ")," ")</f>
        <v xml:space="preserve"> </v>
      </c>
      <c r="K12" s="58" t="str">
        <f>IFERROR(IF(ISNUMBER(C12),INDEX('1 ubicaciones'!$K$2:$K$22,C12 + 1)," ")," ")</f>
        <v xml:space="preserve"> </v>
      </c>
      <c r="L12" s="58" t="str">
        <f>IFERROR(IF(ISNUMBER(C12),IF(B12 = B5, 0, J12 + L11)," ")," ")</f>
        <v xml:space="preserve"> </v>
      </c>
      <c r="M12" s="58" t="str">
        <f>IFERROR(IF(ISNUMBER(C12),IF(B13 = B5, 0, IF(B13 = "", 0, M13 + K13))," ")," ")</f>
        <v xml:space="preserve"> </v>
      </c>
      <c r="N12" s="49" t="str">
        <f t="shared" si="0"/>
        <v xml:space="preserve"> </v>
      </c>
      <c r="R12" s="23">
        <v>7</v>
      </c>
      <c r="S12" s="63"/>
      <c r="T12" s="49" t="str">
        <f>IFERROR(MATCH(S12,'1 ubicaciones'!$B$2:$B$22, 0) - 1," ")</f>
        <v xml:space="preserve"> </v>
      </c>
      <c r="U12" s="58" t="str">
        <f>IFERROR(IF(ISNUMBER(T12),INDEX('2.Distancias'!$C$2:$C$1445,T11*38+T12 + 2) +U11," ")," ")</f>
        <v xml:space="preserve"> </v>
      </c>
      <c r="V12" s="64" t="str">
        <f>IFERROR(IF(ISNUMBER(T12),'3.Vehículos'!$F$3 * INDEX('2.Distancias'!$D$2:$D$1445,T11*38+T12 + 2) +V11," ")," ")</f>
        <v xml:space="preserve"> </v>
      </c>
      <c r="W12" s="92" t="str">
        <f>IFERROR(IF(ISNUMBER(T12),'3.Vehículos'!$F$3 * INDEX('2.Distancias'!$D$2:$D$1445,T11*38+T12 + 2) +X11," ")," ")</f>
        <v xml:space="preserve"> </v>
      </c>
      <c r="X12" s="92" t="str">
        <f>IFERROR(IF(AND(T5&lt;&gt;T12,ISNUMBER(W12)),INDEX('1 ubicaciones'!$I$2:$I$22,T12 + 1) + MAX(W12,INDEX('1 ubicaciones'!$F$2:$F$22,T12 + 1))," ")," ")</f>
        <v xml:space="preserve"> </v>
      </c>
      <c r="Y12" s="64" t="str">
        <f>IFERROR(IF(AND(S12 = S5, S13 = ""), W12 - X5, X12 - X5)," ")</f>
        <v xml:space="preserve"> </v>
      </c>
      <c r="Z12" s="49" t="str">
        <f>IFERROR(IF(ISNUMBER(T12),INDEX('1 ubicaciones'!$L$2:$L$22,T12 + 1) + Z11," ")," ")</f>
        <v xml:space="preserve"> </v>
      </c>
      <c r="AA12" s="58" t="str">
        <f>IFERROR(IF(ISNUMBER(T12),INDEX('1 ubicaciones'!$J$2:$J$22,T12 + 1)," ")," ")</f>
        <v xml:space="preserve"> </v>
      </c>
      <c r="AB12" s="58" t="str">
        <f>IFERROR(IF(ISNUMBER(T12),INDEX('1 ubicaciones'!$K$2:$K$22,T12 + 1)," ")," ")</f>
        <v xml:space="preserve"> </v>
      </c>
      <c r="AC12" s="58" t="str">
        <f>IFERROR(IF(ISNUMBER(T12),IF(S12 = S5, 0, AA12 + AC11)," ")," ")</f>
        <v xml:space="preserve"> </v>
      </c>
      <c r="AD12" s="58" t="str">
        <f>IFERROR(IF(ISNUMBER(T12),IF(S13 = S5, 0, IF(S13 = "", 0, AD13 + AB13))," ")," ")</f>
        <v xml:space="preserve"> </v>
      </c>
      <c r="AE12" s="49" t="str">
        <f t="shared" si="1"/>
        <v xml:space="preserve"> </v>
      </c>
      <c r="AI12" s="23">
        <v>7</v>
      </c>
      <c r="AJ12" s="63"/>
      <c r="AK12" s="49" t="str">
        <f>IFERROR(MATCH(AJ12,'1 ubicaciones'!$B$2:$B$22, 0) - 1," ")</f>
        <v xml:space="preserve"> </v>
      </c>
      <c r="AL12" s="58" t="str">
        <f>IFERROR(IF(ISNUMBER(AK12),INDEX('2.Distancias'!$C$2:$C$1445,AK11*38+AK12 + 2) +AL11," ")," ")</f>
        <v xml:space="preserve"> </v>
      </c>
      <c r="AM12" s="64" t="str">
        <f>IFERROR(IF(ISNUMBER(AK12),'3.Vehículos'!$F$4 * INDEX('2.Distancias'!$D$2:$D$1445,AK11*38+AK12 + 2) +AM11," ")," ")</f>
        <v xml:space="preserve"> </v>
      </c>
      <c r="AN12" s="92" t="str">
        <f>IFERROR(IF(ISNUMBER(AK12),'3.Vehículos'!$F$4 * INDEX('2.Distancias'!$D$2:$D$1445,AK11*38+AK12 + 2) +AO11," ")," ")</f>
        <v xml:space="preserve"> </v>
      </c>
      <c r="AO12" s="92" t="str">
        <f>IFERROR(IF(AND(AK5&lt;&gt;AK12,ISNUMBER(AN12)),INDEX('1 ubicaciones'!$I$2:$I$22,AK12 + 1) + MAX(AN12,INDEX('1 ubicaciones'!$F$2:$F$22,AK12 + 1))," ")," ")</f>
        <v xml:space="preserve"> </v>
      </c>
      <c r="AP12" s="64" t="str">
        <f>IFERROR(IF(AND(AJ12 = AJ5, AJ13 = ""), AN12 - AO5, AO12 - AO5)," ")</f>
        <v xml:space="preserve"> </v>
      </c>
      <c r="AQ12" s="49" t="str">
        <f>IFERROR(IF(ISNUMBER(AK12),INDEX('1 ubicaciones'!$L$2:$L$22,AK12 + 1) + AQ11," ")," ")</f>
        <v xml:space="preserve"> </v>
      </c>
      <c r="AR12" s="58" t="str">
        <f>IFERROR(IF(ISNUMBER(AK12),INDEX('1 ubicaciones'!$J$2:$J$22,AK12 + 1)," ")," ")</f>
        <v xml:space="preserve"> </v>
      </c>
      <c r="AS12" s="58" t="str">
        <f>IFERROR(IF(ISNUMBER(AK12),INDEX('1 ubicaciones'!$K$2:$K$22,AK12 + 1)," ")," ")</f>
        <v xml:space="preserve"> </v>
      </c>
      <c r="AT12" s="58" t="str">
        <f>IFERROR(IF(ISNUMBER(AK12),IF(AJ12 = AJ5, 0, AR12 + AT11)," ")," ")</f>
        <v xml:space="preserve"> </v>
      </c>
      <c r="AU12" s="58" t="str">
        <f>IFERROR(IF(ISNUMBER(AK12),IF(AJ13 = AJ5, 0, IF(AJ13 = "", 0, AU13 + AS13))," ")," ")</f>
        <v xml:space="preserve"> </v>
      </c>
      <c r="AV12" s="49" t="str">
        <f t="shared" si="2"/>
        <v xml:space="preserve"> </v>
      </c>
      <c r="AZ12" s="23">
        <v>7</v>
      </c>
      <c r="BA12" s="63" t="s">
        <v>4267</v>
      </c>
      <c r="BB12" s="49" t="str">
        <f>IFERROR(MATCH(BA12,'1 ubicaciones'!$B$2:$B$22, 0) - 1," ")</f>
        <v xml:space="preserve"> </v>
      </c>
      <c r="BC12" s="58" t="str">
        <f>IFERROR(IF(ISNUMBER(BB12),INDEX('2.Distancias'!$C$2:$C$1445,BB11*38+BB12 + 2) +BC11," ")," ")</f>
        <v xml:space="preserve"> </v>
      </c>
      <c r="BD12" s="64" t="str">
        <f>IFERROR(IF(ISNUMBER(BB12),'3.Vehículos'!$F$5 * INDEX('2.Distancias'!$D$2:$D$1445,BB11*38+BB12 + 2) +BD11," ")," ")</f>
        <v xml:space="preserve"> </v>
      </c>
      <c r="BE12" s="92" t="str">
        <f>IFERROR(IF(ISNUMBER(BB12),'3.Vehículos'!$F$5 * INDEX('2.Distancias'!$D$2:$D$1445,BB11*38+BB12 + 2) +BF11," ")," ")</f>
        <v xml:space="preserve"> </v>
      </c>
      <c r="BF12" s="92" t="str">
        <f>IFERROR(IF(AND(BB5&lt;&gt;BB12,ISNUMBER(BE12)),INDEX('1 ubicaciones'!$I$2:$I$22,BB12 + 1) + MAX(BE12,INDEX('1 ubicaciones'!$F$2:$F$22,BB12 + 1))," ")," ")</f>
        <v xml:space="preserve"> </v>
      </c>
      <c r="BG12" s="64" t="str">
        <f>IFERROR(IF(AND(BA12 = BA5, BA13 = ""), BE12 - BF5, BF12 - BF5)," ")</f>
        <v xml:space="preserve"> </v>
      </c>
      <c r="BH12" s="49" t="str">
        <f>IFERROR(IF(ISNUMBER(BB12),INDEX('1 ubicaciones'!$L$2:$L$22,BB12 + 1) + BH11," ")," ")</f>
        <v xml:space="preserve"> </v>
      </c>
      <c r="BI12" s="58" t="str">
        <f>IFERROR(IF(ISNUMBER(BB12),INDEX('1 ubicaciones'!$J$2:$J$22,BB12 + 1)," ")," ")</f>
        <v xml:space="preserve"> </v>
      </c>
      <c r="BJ12" s="58" t="str">
        <f>IFERROR(IF(ISNUMBER(BB12),INDEX('1 ubicaciones'!$K$2:$K$22,BB12 + 1)," ")," ")</f>
        <v xml:space="preserve"> </v>
      </c>
      <c r="BK12" s="58" t="str">
        <f>IFERROR(IF(ISNUMBER(BB12),IF(BA12 = BA5, 0, BI12 + BK11)," ")," ")</f>
        <v xml:space="preserve"> </v>
      </c>
      <c r="BL12" s="58" t="str">
        <f>IFERROR(IF(ISNUMBER(BB12),IF(BA13 = BA5, 0, IF(BA13 = "", 0, BL13 + BJ13))," ")," ")</f>
        <v xml:space="preserve"> </v>
      </c>
      <c r="BM12" s="49" t="str">
        <f t="shared" si="3"/>
        <v xml:space="preserve"> </v>
      </c>
      <c r="BQ12" s="23">
        <v>7</v>
      </c>
      <c r="BR12" s="63"/>
      <c r="BS12" s="49" t="str">
        <f>IFERROR(MATCH(BR12,'1 ubicaciones'!$B$2:$B$22, 0) - 1," ")</f>
        <v xml:space="preserve"> </v>
      </c>
      <c r="BT12" s="58" t="str">
        <f>IFERROR(IF(ISNUMBER(BS12),INDEX('2.Distancias'!$C$2:$C$1445,BS11*38+BS12 + 2) +BT11," ")," ")</f>
        <v xml:space="preserve"> </v>
      </c>
      <c r="BU12" s="64" t="str">
        <f>IFERROR(IF(ISNUMBER(BS12),'3.Vehículos'!$F$6 * INDEX('2.Distancias'!$D$2:$D$1445,BS11*38+BS12 + 2) +BU11," ")," ")</f>
        <v xml:space="preserve"> </v>
      </c>
      <c r="BV12" s="92" t="str">
        <f>IFERROR(IF(ISNUMBER(BS12),'3.Vehículos'!$F$6 * INDEX('2.Distancias'!$D$2:$D$1445,BS11*38+BS12 + 2) +BW11," ")," ")</f>
        <v xml:space="preserve"> </v>
      </c>
      <c r="BW12" s="92" t="str">
        <f>IFERROR(IF(AND(BS5&lt;&gt;BS12,ISNUMBER(BV12)),INDEX('1 ubicaciones'!$I$2:$I$22,BS12 + 1) + MAX(BV12,INDEX('1 ubicaciones'!$F$2:$F$22,BS12 + 1))," ")," ")</f>
        <v xml:space="preserve"> </v>
      </c>
      <c r="BX12" s="64" t="str">
        <f>IFERROR(IF(AND(BR12 = BR5, BR13 = ""), BV12 - BW5, BW12 - BW5)," ")</f>
        <v xml:space="preserve"> </v>
      </c>
      <c r="BY12" s="49" t="str">
        <f>IFERROR(IF(ISNUMBER(BS12),INDEX('1 ubicaciones'!$L$2:$L$22,BS12 + 1) + BY11," ")," ")</f>
        <v xml:space="preserve"> </v>
      </c>
      <c r="BZ12" s="58" t="str">
        <f>IFERROR(IF(ISNUMBER(BS12),INDEX('1 ubicaciones'!$J$2:$J$22,BS12 + 1)," ")," ")</f>
        <v xml:space="preserve"> </v>
      </c>
      <c r="CA12" s="58" t="str">
        <f>IFERROR(IF(ISNUMBER(BS12),INDEX('1 ubicaciones'!$K$2:$K$22,BS12 + 1)," ")," ")</f>
        <v xml:space="preserve"> </v>
      </c>
      <c r="CB12" s="58" t="str">
        <f>IFERROR(IF(ISNUMBER(BS12),IF(BR12 = BR5, 0, BZ12 + CB11)," ")," ")</f>
        <v xml:space="preserve"> </v>
      </c>
      <c r="CC12" s="58" t="str">
        <f>IFERROR(IF(ISNUMBER(BS12),IF(BR13 = BR5, 0, IF(BR13 = "", 0, CC13 + CA13))," ")," ")</f>
        <v xml:space="preserve"> </v>
      </c>
      <c r="CD12" s="49" t="str">
        <f t="shared" si="4"/>
        <v xml:space="preserve"> </v>
      </c>
      <c r="CH12" s="23">
        <v>7</v>
      </c>
      <c r="CI12" s="63"/>
      <c r="CJ12" s="49" t="str">
        <f>IFERROR(MATCH(CI12,'1 ubicaciones'!$B$2:$B$22, 0) - 1," ")</f>
        <v xml:space="preserve"> </v>
      </c>
      <c r="CK12" s="58" t="str">
        <f>IFERROR(IF(ISNUMBER(CJ12),INDEX('2.Distancias'!$C$2:$C$1445,CJ11*38+CJ12 + 2) +CK11," ")," ")</f>
        <v xml:space="preserve"> </v>
      </c>
      <c r="CL12" s="64" t="str">
        <f>IFERROR(IF(ISNUMBER(CJ12),'3.Vehículos'!$F$10 * INDEX('2.Distancias'!$D$2:$D$1445,CJ11*38+CJ12 + 2) +CL11," ")," ")</f>
        <v xml:space="preserve"> </v>
      </c>
      <c r="CM12" s="92" t="str">
        <f>IFERROR(IF(ISNUMBER(CJ12),'3.Vehículos'!$F$10 * INDEX('2.Distancias'!$D$2:$D$1445,CJ11*38+CJ12 + 2) +CN11," ")," ")</f>
        <v xml:space="preserve"> </v>
      </c>
      <c r="CN12" s="92" t="str">
        <f>IFERROR(IF(AND(CJ5&lt;&gt;CJ12,ISNUMBER(CM12)),INDEX('1 ubicaciones'!$I$2:$I$22,CJ12 + 1) + MAX(CM12,INDEX('1 ubicaciones'!$F$2:$F$22,CJ12 + 1))," ")," ")</f>
        <v xml:space="preserve"> </v>
      </c>
      <c r="CO12" s="64" t="str">
        <f>IFERROR(IF(AND(CI12 = CI5, CI13 = ""), CM12 - CN5, CN12 - CN5)," ")</f>
        <v xml:space="preserve"> </v>
      </c>
      <c r="CP12" s="49" t="str">
        <f>IFERROR(IF(ISNUMBER(CJ12),INDEX('1 ubicaciones'!$L$2:$L$22,CJ12 + 1) + CP11," ")," ")</f>
        <v xml:space="preserve"> </v>
      </c>
      <c r="CQ12" s="58" t="str">
        <f>IFERROR(IF(ISNUMBER(CJ12),INDEX('1 ubicaciones'!$J$2:$J$22,CJ12 + 1)," ")," ")</f>
        <v xml:space="preserve"> </v>
      </c>
      <c r="CR12" s="58" t="str">
        <f>IFERROR(IF(ISNUMBER(CJ12),INDEX('1 ubicaciones'!$K$2:$K$22,CJ12 + 1)," ")," ")</f>
        <v xml:space="preserve"> </v>
      </c>
      <c r="CS12" s="58" t="str">
        <f>IFERROR(IF(ISNUMBER(CJ12),IF(CI12 = CI5, 0, CQ12 + CS11)," ")," ")</f>
        <v xml:space="preserve"> </v>
      </c>
      <c r="CT12" s="58" t="str">
        <f>IFERROR(IF(ISNUMBER(CJ12),IF(CI13 = CI5, 0, IF(CI13 = "", 0, CT13 + CR13))," ")," ")</f>
        <v xml:space="preserve"> </v>
      </c>
      <c r="CU12" s="49" t="str">
        <f t="shared" si="5"/>
        <v xml:space="preserve"> </v>
      </c>
      <c r="CY12" s="23">
        <v>7</v>
      </c>
      <c r="CZ12" s="63"/>
      <c r="DA12" s="49" t="str">
        <f>IFERROR(MATCH(CZ12,'1 ubicaciones'!$B$2:$B$22, 0) - 1," ")</f>
        <v xml:space="preserve"> </v>
      </c>
      <c r="DB12" s="58" t="str">
        <f>IFERROR(IF(ISNUMBER(DA12),INDEX('2.Distancias'!$C$2:$C$1445,DA11*38+DA12 + 2) +DB11," ")," ")</f>
        <v xml:space="preserve"> </v>
      </c>
      <c r="DC12" s="64" t="str">
        <f>IFERROR(IF(ISNUMBER(DA12),'3.Vehículos'!$F$11 * INDEX('2.Distancias'!$D$2:$D$1445,DA11*38+DA12 + 2) +DC11," ")," ")</f>
        <v xml:space="preserve"> </v>
      </c>
      <c r="DD12" s="92" t="str">
        <f>IFERROR(IF(ISNUMBER(DA12),'3.Vehículos'!$F$11 * INDEX('2.Distancias'!$D$2:$D$1445,DA11*38+DA12 + 2) +DE11," ")," ")</f>
        <v xml:space="preserve"> </v>
      </c>
      <c r="DE12" s="92" t="str">
        <f>IFERROR(IF(AND(DA5&lt;&gt;DA12,ISNUMBER(DD12)),INDEX('1 ubicaciones'!$I$2:$I$22,DA12 + 1) + MAX(DD12,INDEX('1 ubicaciones'!$F$2:$F$22,DA12 + 1))," ")," ")</f>
        <v xml:space="preserve"> </v>
      </c>
      <c r="DF12" s="64" t="str">
        <f>IFERROR(IF(AND(CZ12 = CZ5, CZ13 = ""), DD12 - DE5, DE12 - DE5)," ")</f>
        <v xml:space="preserve"> </v>
      </c>
      <c r="DG12" s="49" t="str">
        <f>IFERROR(IF(ISNUMBER(DA12),INDEX('1 ubicaciones'!$L$2:$L$22,DA12 + 1) + DG11," ")," ")</f>
        <v xml:space="preserve"> </v>
      </c>
      <c r="DH12" s="58" t="str">
        <f>IFERROR(IF(ISNUMBER(DA12),INDEX('1 ubicaciones'!$J$2:$J$22,DA12 + 1)," ")," ")</f>
        <v xml:space="preserve"> </v>
      </c>
      <c r="DI12" s="58" t="str">
        <f>IFERROR(IF(ISNUMBER(DA12),INDEX('1 ubicaciones'!$K$2:$K$22,DA12 + 1)," ")," ")</f>
        <v xml:space="preserve"> </v>
      </c>
      <c r="DJ12" s="58" t="str">
        <f>IFERROR(IF(ISNUMBER(DA12),IF(CZ12 = CZ5, 0, DH12 + DJ11)," ")," ")</f>
        <v xml:space="preserve"> </v>
      </c>
      <c r="DK12" s="58" t="str">
        <f>IFERROR(IF(ISNUMBER(DA12),IF(CZ13 = CZ5, 0, IF(CZ13 = "", 0, DK13 + DI13))," ")," ")</f>
        <v xml:space="preserve"> </v>
      </c>
      <c r="DL12" s="49" t="str">
        <f t="shared" si="6"/>
        <v xml:space="preserve"> </v>
      </c>
      <c r="DP12" s="23">
        <v>7</v>
      </c>
      <c r="DQ12" s="63"/>
      <c r="DR12" s="49" t="str">
        <f>IFERROR(MATCH(DQ12,'1 ubicaciones'!$B$2:$B$22, 0) - 1," ")</f>
        <v xml:space="preserve"> </v>
      </c>
      <c r="DS12" s="58" t="str">
        <f>IFERROR(IF(ISNUMBER(DR12),INDEX('2.Distancias'!$C$2:$C$1445,DR11*38+DR12 + 2) +DS11," ")," ")</f>
        <v xml:space="preserve"> </v>
      </c>
      <c r="DT12" s="64" t="str">
        <f>IFERROR(IF(ISNUMBER(DR12),'3.Vehículos'!$F$18 * INDEX('2.Distancias'!$D$2:$D$1445,DR11*38+DR12 + 2) +DT11," ")," ")</f>
        <v xml:space="preserve"> </v>
      </c>
      <c r="DU12" s="92" t="str">
        <f>IFERROR(IF(ISNUMBER(DR12),'3.Vehículos'!$F$18 * INDEX('2.Distancias'!$D$2:$D$1445,DR11*38+DR12 + 2) +DV11," ")," ")</f>
        <v xml:space="preserve"> </v>
      </c>
      <c r="DV12" s="92" t="str">
        <f>IFERROR(IF(AND(DR5&lt;&gt;DR12,ISNUMBER(DU12)),INDEX('1 ubicaciones'!$I$2:$I$22,DR12 + 1) + MAX(DU12,INDEX('1 ubicaciones'!$F$2:$F$22,DR12 + 1))," ")," ")</f>
        <v xml:space="preserve"> </v>
      </c>
      <c r="DW12" s="64" t="str">
        <f>IFERROR(IF(AND(DQ12 = DQ5, DQ13 = ""), DU12 - DV5, DV12 - DV5)," ")</f>
        <v xml:space="preserve"> </v>
      </c>
      <c r="DX12" s="49" t="str">
        <f>IFERROR(IF(ISNUMBER(DR12),INDEX('1 ubicaciones'!$L$2:$L$22,DR12 + 1) + DX11," ")," ")</f>
        <v xml:space="preserve"> </v>
      </c>
      <c r="DY12" s="58" t="str">
        <f>IFERROR(IF(ISNUMBER(DR12),INDEX('1 ubicaciones'!$J$2:$J$22,DR12 + 1)," ")," ")</f>
        <v xml:space="preserve"> </v>
      </c>
      <c r="DZ12" s="58" t="str">
        <f>IFERROR(IF(ISNUMBER(DR12),INDEX('1 ubicaciones'!$K$2:$K$22,DR12 + 1)," ")," ")</f>
        <v xml:space="preserve"> </v>
      </c>
      <c r="EA12" s="58" t="str">
        <f>IFERROR(IF(ISNUMBER(DR12),IF(DQ12 = DQ5, 0, DY12 + EA11)," ")," ")</f>
        <v xml:space="preserve"> </v>
      </c>
      <c r="EB12" s="58" t="str">
        <f>IFERROR(IF(ISNUMBER(DR12),IF(DQ13 = DQ5, 0, IF(DQ13 = "", 0, EB13 + DZ13))," ")," ")</f>
        <v xml:space="preserve"> </v>
      </c>
      <c r="EC12" s="49" t="str">
        <f t="shared" si="7"/>
        <v xml:space="preserve"> </v>
      </c>
    </row>
    <row r="13" spans="1:133" x14ac:dyDescent="0.25">
      <c r="A13" s="23">
        <v>8</v>
      </c>
      <c r="B13" s="66"/>
      <c r="C13" s="49" t="str">
        <f>IFERROR(MATCH(B13,'1 ubicaciones'!$B$2:$B$22, 0) - 1," ")</f>
        <v xml:space="preserve"> </v>
      </c>
      <c r="D13" s="58" t="str">
        <f>IFERROR(IF(ISNUMBER(C13),INDEX('2.Distancias'!$C$2:$C$1445,C12*38+C13 + 2) +D12," ")," ")</f>
        <v xml:space="preserve"> </v>
      </c>
      <c r="E13" s="64" t="str">
        <f>IFERROR(IF(ISNUMBER(C13),'3.Vehículos'!$F$2 * INDEX('2.Distancias'!$D$2:$D$1445,C12*38+C13 + 2) +E12," ")," ")</f>
        <v xml:space="preserve"> </v>
      </c>
      <c r="F13" s="92" t="str">
        <f>IFERROR(IF(ISNUMBER(C13),'3.Vehículos'!$F$2 * INDEX('2.Distancias'!$D$2:$D$1445,C12*38+C13 + 2) +G12," ")," ")</f>
        <v xml:space="preserve"> </v>
      </c>
      <c r="G13" s="92" t="str">
        <f>IFERROR(IF(AND(C5&lt;&gt;C13,ISNUMBER(F13)),INDEX('1 ubicaciones'!$I$2:$I$22,C13 + 1) + MAX(F13,INDEX('1 ubicaciones'!$F$2:$F$22,C13 + 1))," ")," ")</f>
        <v xml:space="preserve"> </v>
      </c>
      <c r="H13" s="64" t="str">
        <f>IFERROR(IF(AND(B13 = B5, B14 = ""), F13 - G5, G13 - G5)," ")</f>
        <v xml:space="preserve"> </v>
      </c>
      <c r="I13" s="49" t="str">
        <f>IFERROR(IF(ISNUMBER(C13),INDEX('1 ubicaciones'!$L$2:$L$22,C13 + 1) + I12," ")," ")</f>
        <v xml:space="preserve"> </v>
      </c>
      <c r="J13" s="58" t="str">
        <f>IFERROR(IF(ISNUMBER(C13),INDEX('1 ubicaciones'!$J$2:$J$22,C13 + 1)," ")," ")</f>
        <v xml:space="preserve"> </v>
      </c>
      <c r="K13" s="58" t="str">
        <f>IFERROR(IF(ISNUMBER(C13),INDEX('1 ubicaciones'!$K$2:$K$22,C13 + 1)," ")," ")</f>
        <v xml:space="preserve"> </v>
      </c>
      <c r="L13" s="58" t="str">
        <f>IFERROR(IF(ISNUMBER(C13),IF(B13 = B5, 0, J13 + L12)," ")," ")</f>
        <v xml:space="preserve"> </v>
      </c>
      <c r="M13" s="58" t="str">
        <f>IFERROR(IF(ISNUMBER(C13),IF(B14 = B5, 0, IF(B14 = "", 0, M14 + K14))," ")," ")</f>
        <v xml:space="preserve"> </v>
      </c>
      <c r="N13" s="49" t="str">
        <f t="shared" si="0"/>
        <v xml:space="preserve"> </v>
      </c>
      <c r="R13" s="23">
        <v>8</v>
      </c>
      <c r="S13" s="66"/>
      <c r="T13" s="49" t="str">
        <f>IFERROR(MATCH(S13,'1 ubicaciones'!$B$2:$B$22, 0) - 1," ")</f>
        <v xml:space="preserve"> </v>
      </c>
      <c r="U13" s="58" t="str">
        <f>IFERROR(IF(ISNUMBER(T13),INDEX('2.Distancias'!$C$2:$C$1445,T12*38+T13 + 2) +U12," ")," ")</f>
        <v xml:space="preserve"> </v>
      </c>
      <c r="V13" s="64" t="str">
        <f>IFERROR(IF(ISNUMBER(T13),'3.Vehículos'!$F$3 * INDEX('2.Distancias'!$D$2:$D$1445,T12*38+T13 + 2) +V12," ")," ")</f>
        <v xml:space="preserve"> </v>
      </c>
      <c r="W13" s="92" t="str">
        <f>IFERROR(IF(ISNUMBER(T13),'3.Vehículos'!$F$3 * INDEX('2.Distancias'!$D$2:$D$1445,T12*38+T13 + 2) +X12," ")," ")</f>
        <v xml:space="preserve"> </v>
      </c>
      <c r="X13" s="92" t="str">
        <f>IFERROR(IF(AND(T5&lt;&gt;T13,ISNUMBER(W13)),INDEX('1 ubicaciones'!$I$2:$I$22,T13 + 1) + MAX(W13,INDEX('1 ubicaciones'!$F$2:$F$22,T13 + 1))," ")," ")</f>
        <v xml:space="preserve"> </v>
      </c>
      <c r="Y13" s="64" t="str">
        <f>IFERROR(IF(AND(S13 = S5, S14 = ""), W13 - X5, X13 - X5)," ")</f>
        <v xml:space="preserve"> </v>
      </c>
      <c r="Z13" s="49" t="str">
        <f>IFERROR(IF(ISNUMBER(T13),INDEX('1 ubicaciones'!$L$2:$L$22,T13 + 1) + Z12," ")," ")</f>
        <v xml:space="preserve"> </v>
      </c>
      <c r="AA13" s="58" t="str">
        <f>IFERROR(IF(ISNUMBER(T13),INDEX('1 ubicaciones'!$J$2:$J$22,T13 + 1)," ")," ")</f>
        <v xml:space="preserve"> </v>
      </c>
      <c r="AB13" s="58" t="str">
        <f>IFERROR(IF(ISNUMBER(T13),INDEX('1 ubicaciones'!$K$2:$K$22,T13 + 1)," ")," ")</f>
        <v xml:space="preserve"> </v>
      </c>
      <c r="AC13" s="58" t="str">
        <f>IFERROR(IF(ISNUMBER(T13),IF(S13 = S5, 0, AA13 + AC12)," ")," ")</f>
        <v xml:space="preserve"> </v>
      </c>
      <c r="AD13" s="58" t="str">
        <f>IFERROR(IF(ISNUMBER(T13),IF(S14 = S5, 0, IF(S14 = "", 0, AD14 + AB14))," ")," ")</f>
        <v xml:space="preserve"> </v>
      </c>
      <c r="AE13" s="49" t="str">
        <f t="shared" si="1"/>
        <v xml:space="preserve"> </v>
      </c>
      <c r="AI13" s="23">
        <v>8</v>
      </c>
      <c r="AJ13" s="66"/>
      <c r="AK13" s="49" t="str">
        <f>IFERROR(MATCH(AJ13,'1 ubicaciones'!$B$2:$B$22, 0) - 1," ")</f>
        <v xml:space="preserve"> </v>
      </c>
      <c r="AL13" s="58" t="str">
        <f>IFERROR(IF(ISNUMBER(AK13),INDEX('2.Distancias'!$C$2:$C$1445,AK12*38+AK13 + 2) +AL12," ")," ")</f>
        <v xml:space="preserve"> </v>
      </c>
      <c r="AM13" s="64" t="str">
        <f>IFERROR(IF(ISNUMBER(AK13),'3.Vehículos'!$F$4 * INDEX('2.Distancias'!$D$2:$D$1445,AK12*38+AK13 + 2) +AM12," ")," ")</f>
        <v xml:space="preserve"> </v>
      </c>
      <c r="AN13" s="92" t="str">
        <f>IFERROR(IF(ISNUMBER(AK13),'3.Vehículos'!$F$4 * INDEX('2.Distancias'!$D$2:$D$1445,AK12*38+AK13 + 2) +AO12," ")," ")</f>
        <v xml:space="preserve"> </v>
      </c>
      <c r="AO13" s="92" t="str">
        <f>IFERROR(IF(AND(AK5&lt;&gt;AK13,ISNUMBER(AN13)),INDEX('1 ubicaciones'!$I$2:$I$22,AK13 + 1) + MAX(AN13,INDEX('1 ubicaciones'!$F$2:$F$22,AK13 + 1))," ")," ")</f>
        <v xml:space="preserve"> </v>
      </c>
      <c r="AP13" s="64" t="str">
        <f>IFERROR(IF(AND(AJ13 = AJ5, AJ14 = ""), AN13 - AO5, AO13 - AO5)," ")</f>
        <v xml:space="preserve"> </v>
      </c>
      <c r="AQ13" s="49" t="str">
        <f>IFERROR(IF(ISNUMBER(AK13),INDEX('1 ubicaciones'!$L$2:$L$22,AK13 + 1) + AQ12," ")," ")</f>
        <v xml:space="preserve"> </v>
      </c>
      <c r="AR13" s="58" t="str">
        <f>IFERROR(IF(ISNUMBER(AK13),INDEX('1 ubicaciones'!$J$2:$J$22,AK13 + 1)," ")," ")</f>
        <v xml:space="preserve"> </v>
      </c>
      <c r="AS13" s="58" t="str">
        <f>IFERROR(IF(ISNUMBER(AK13),INDEX('1 ubicaciones'!$K$2:$K$22,AK13 + 1)," ")," ")</f>
        <v xml:space="preserve"> </v>
      </c>
      <c r="AT13" s="58" t="str">
        <f>IFERROR(IF(ISNUMBER(AK13),IF(AJ13 = AJ5, 0, AR13 + AT12)," ")," ")</f>
        <v xml:space="preserve"> </v>
      </c>
      <c r="AU13" s="58" t="str">
        <f>IFERROR(IF(ISNUMBER(AK13),IF(AJ14 = AJ5, 0, IF(AJ14 = "", 0, AU14 + AS14))," ")," ")</f>
        <v xml:space="preserve"> </v>
      </c>
      <c r="AV13" s="49" t="str">
        <f t="shared" si="2"/>
        <v xml:space="preserve"> </v>
      </c>
      <c r="AZ13" s="23">
        <v>8</v>
      </c>
      <c r="BA13" s="66"/>
      <c r="BB13" s="49" t="str">
        <f>IFERROR(MATCH(BA13,'1 ubicaciones'!$B$2:$B$22, 0) - 1," ")</f>
        <v xml:space="preserve"> </v>
      </c>
      <c r="BC13" s="58" t="str">
        <f>IFERROR(IF(ISNUMBER(BB13),INDEX('2.Distancias'!$C$2:$C$1445,BB12*38+BB13 + 2) +BC12," ")," ")</f>
        <v xml:space="preserve"> </v>
      </c>
      <c r="BD13" s="64" t="str">
        <f>IFERROR(IF(ISNUMBER(BB13),'3.Vehículos'!$F$5 * INDEX('2.Distancias'!$D$2:$D$1445,BB12*38+BB13 + 2) +BD12," ")," ")</f>
        <v xml:space="preserve"> </v>
      </c>
      <c r="BE13" s="92" t="str">
        <f>IFERROR(IF(ISNUMBER(BB13),'3.Vehículos'!$F$5 * INDEX('2.Distancias'!$D$2:$D$1445,BB12*38+BB13 + 2) +BF12," ")," ")</f>
        <v xml:space="preserve"> </v>
      </c>
      <c r="BF13" s="92" t="str">
        <f>IFERROR(IF(AND(BB5&lt;&gt;BB13,ISNUMBER(BE13)),INDEX('1 ubicaciones'!$I$2:$I$22,BB13 + 1) + MAX(BE13,INDEX('1 ubicaciones'!$F$2:$F$22,BB13 + 1))," ")," ")</f>
        <v xml:space="preserve"> </v>
      </c>
      <c r="BG13" s="64" t="str">
        <f>IFERROR(IF(AND(BA13 = BA5, BA14 = ""), BE13 - BF5, BF13 - BF5)," ")</f>
        <v xml:space="preserve"> </v>
      </c>
      <c r="BH13" s="49" t="str">
        <f>IFERROR(IF(ISNUMBER(BB13),INDEX('1 ubicaciones'!$L$2:$L$22,BB13 + 1) + BH12," ")," ")</f>
        <v xml:space="preserve"> </v>
      </c>
      <c r="BI13" s="58" t="str">
        <f>IFERROR(IF(ISNUMBER(BB13),INDEX('1 ubicaciones'!$J$2:$J$22,BB13 + 1)," ")," ")</f>
        <v xml:space="preserve"> </v>
      </c>
      <c r="BJ13" s="58" t="str">
        <f>IFERROR(IF(ISNUMBER(BB13),INDEX('1 ubicaciones'!$K$2:$K$22,BB13 + 1)," ")," ")</f>
        <v xml:space="preserve"> </v>
      </c>
      <c r="BK13" s="58" t="str">
        <f>IFERROR(IF(ISNUMBER(BB13),IF(BA13 = BA5, 0, BI13 + BK12)," ")," ")</f>
        <v xml:space="preserve"> </v>
      </c>
      <c r="BL13" s="58" t="str">
        <f>IFERROR(IF(ISNUMBER(BB13),IF(BA14 = BA5, 0, IF(BA14 = "", 0, BL14 + BJ14))," ")," ")</f>
        <v xml:space="preserve"> </v>
      </c>
      <c r="BM13" s="49" t="str">
        <f t="shared" si="3"/>
        <v xml:space="preserve"> </v>
      </c>
      <c r="BQ13" s="23">
        <v>8</v>
      </c>
      <c r="BR13" s="66"/>
      <c r="BS13" s="49" t="str">
        <f>IFERROR(MATCH(BR13,'1 ubicaciones'!$B$2:$B$22, 0) - 1," ")</f>
        <v xml:space="preserve"> </v>
      </c>
      <c r="BT13" s="58" t="str">
        <f>IFERROR(IF(ISNUMBER(BS13),INDEX('2.Distancias'!$C$2:$C$1445,BS12*38+BS13 + 2) +BT12," ")," ")</f>
        <v xml:space="preserve"> </v>
      </c>
      <c r="BU13" s="64" t="str">
        <f>IFERROR(IF(ISNUMBER(BS13),'3.Vehículos'!$F$6 * INDEX('2.Distancias'!$D$2:$D$1445,BS12*38+BS13 + 2) +BU12," ")," ")</f>
        <v xml:space="preserve"> </v>
      </c>
      <c r="BV13" s="92" t="str">
        <f>IFERROR(IF(ISNUMBER(BS13),'3.Vehículos'!$F$6 * INDEX('2.Distancias'!$D$2:$D$1445,BS12*38+BS13 + 2) +BW12," ")," ")</f>
        <v xml:space="preserve"> </v>
      </c>
      <c r="BW13" s="92" t="str">
        <f>IFERROR(IF(AND(BS5&lt;&gt;BS13,ISNUMBER(BV13)),INDEX('1 ubicaciones'!$I$2:$I$22,BS13 + 1) + MAX(BV13,INDEX('1 ubicaciones'!$F$2:$F$22,BS13 + 1))," ")," ")</f>
        <v xml:space="preserve"> </v>
      </c>
      <c r="BX13" s="64" t="str">
        <f>IFERROR(IF(AND(BR13 = BR5, BR14 = ""), BV13 - BW5, BW13 - BW5)," ")</f>
        <v xml:space="preserve"> </v>
      </c>
      <c r="BY13" s="49" t="str">
        <f>IFERROR(IF(ISNUMBER(BS13),INDEX('1 ubicaciones'!$L$2:$L$22,BS13 + 1) + BY12," ")," ")</f>
        <v xml:space="preserve"> </v>
      </c>
      <c r="BZ13" s="58" t="str">
        <f>IFERROR(IF(ISNUMBER(BS13),INDEX('1 ubicaciones'!$J$2:$J$22,BS13 + 1)," ")," ")</f>
        <v xml:space="preserve"> </v>
      </c>
      <c r="CA13" s="58" t="str">
        <f>IFERROR(IF(ISNUMBER(BS13),INDEX('1 ubicaciones'!$K$2:$K$22,BS13 + 1)," ")," ")</f>
        <v xml:space="preserve"> </v>
      </c>
      <c r="CB13" s="58" t="str">
        <f>IFERROR(IF(ISNUMBER(BS13),IF(BR13 = BR5, 0, BZ13 + CB12)," ")," ")</f>
        <v xml:space="preserve"> </v>
      </c>
      <c r="CC13" s="58" t="str">
        <f>IFERROR(IF(ISNUMBER(BS13),IF(BR14 = BR5, 0, IF(BR14 = "", 0, CC14 + CA14))," ")," ")</f>
        <v xml:space="preserve"> </v>
      </c>
      <c r="CD13" s="49" t="str">
        <f t="shared" si="4"/>
        <v xml:space="preserve"> </v>
      </c>
      <c r="CH13" s="23">
        <v>8</v>
      </c>
      <c r="CI13" s="66"/>
      <c r="CJ13" s="49" t="str">
        <f>IFERROR(MATCH(CI13,'1 ubicaciones'!$B$2:$B$22, 0) - 1," ")</f>
        <v xml:space="preserve"> </v>
      </c>
      <c r="CK13" s="58" t="str">
        <f>IFERROR(IF(ISNUMBER(CJ13),INDEX('2.Distancias'!$C$2:$C$1445,CJ12*38+CJ13 + 2) +CK12," ")," ")</f>
        <v xml:space="preserve"> </v>
      </c>
      <c r="CL13" s="64" t="str">
        <f>IFERROR(IF(ISNUMBER(CJ13),'3.Vehículos'!$F$10 * INDEX('2.Distancias'!$D$2:$D$1445,CJ12*38+CJ13 + 2) +CL12," ")," ")</f>
        <v xml:space="preserve"> </v>
      </c>
      <c r="CM13" s="92" t="str">
        <f>IFERROR(IF(ISNUMBER(CJ13),'3.Vehículos'!$F$10 * INDEX('2.Distancias'!$D$2:$D$1445,CJ12*38+CJ13 + 2) +CN12," ")," ")</f>
        <v xml:space="preserve"> </v>
      </c>
      <c r="CN13" s="92" t="str">
        <f>IFERROR(IF(AND(CJ5&lt;&gt;CJ13,ISNUMBER(CM13)),INDEX('1 ubicaciones'!$I$2:$I$22,CJ13 + 1) + MAX(CM13,INDEX('1 ubicaciones'!$F$2:$F$22,CJ13 + 1))," ")," ")</f>
        <v xml:space="preserve"> </v>
      </c>
      <c r="CO13" s="64" t="str">
        <f>IFERROR(IF(AND(CI13 = CI5, CI14 = ""), CM13 - CN5, CN13 - CN5)," ")</f>
        <v xml:space="preserve"> </v>
      </c>
      <c r="CP13" s="49" t="str">
        <f>IFERROR(IF(ISNUMBER(CJ13),INDEX('1 ubicaciones'!$L$2:$L$22,CJ13 + 1) + CP12," ")," ")</f>
        <v xml:space="preserve"> </v>
      </c>
      <c r="CQ13" s="58" t="str">
        <f>IFERROR(IF(ISNUMBER(CJ13),INDEX('1 ubicaciones'!$J$2:$J$22,CJ13 + 1)," ")," ")</f>
        <v xml:space="preserve"> </v>
      </c>
      <c r="CR13" s="58" t="str">
        <f>IFERROR(IF(ISNUMBER(CJ13),INDEX('1 ubicaciones'!$K$2:$K$22,CJ13 + 1)," ")," ")</f>
        <v xml:space="preserve"> </v>
      </c>
      <c r="CS13" s="58" t="str">
        <f>IFERROR(IF(ISNUMBER(CJ13),IF(CI13 = CI5, 0, CQ13 + CS12)," ")," ")</f>
        <v xml:space="preserve"> </v>
      </c>
      <c r="CT13" s="58" t="str">
        <f>IFERROR(IF(ISNUMBER(CJ13),IF(CI14 = CI5, 0, IF(CI14 = "", 0, CT14 + CR14))," ")," ")</f>
        <v xml:space="preserve"> </v>
      </c>
      <c r="CU13" s="49" t="str">
        <f t="shared" si="5"/>
        <v xml:space="preserve"> </v>
      </c>
      <c r="CY13" s="23">
        <v>8</v>
      </c>
      <c r="CZ13" s="66"/>
      <c r="DA13" s="49" t="str">
        <f>IFERROR(MATCH(CZ13,'1 ubicaciones'!$B$2:$B$22, 0) - 1," ")</f>
        <v xml:space="preserve"> </v>
      </c>
      <c r="DB13" s="58" t="str">
        <f>IFERROR(IF(ISNUMBER(DA13),INDEX('2.Distancias'!$C$2:$C$1445,DA12*38+DA13 + 2) +DB12," ")," ")</f>
        <v xml:space="preserve"> </v>
      </c>
      <c r="DC13" s="64" t="str">
        <f>IFERROR(IF(ISNUMBER(DA13),'3.Vehículos'!$F$11 * INDEX('2.Distancias'!$D$2:$D$1445,DA12*38+DA13 + 2) +DC12," ")," ")</f>
        <v xml:space="preserve"> </v>
      </c>
      <c r="DD13" s="92" t="str">
        <f>IFERROR(IF(ISNUMBER(DA13),'3.Vehículos'!$F$11 * INDEX('2.Distancias'!$D$2:$D$1445,DA12*38+DA13 + 2) +DE12," ")," ")</f>
        <v xml:space="preserve"> </v>
      </c>
      <c r="DE13" s="92" t="str">
        <f>IFERROR(IF(AND(DA5&lt;&gt;DA13,ISNUMBER(DD13)),INDEX('1 ubicaciones'!$I$2:$I$22,DA13 + 1) + MAX(DD13,INDEX('1 ubicaciones'!$F$2:$F$22,DA13 + 1))," ")," ")</f>
        <v xml:space="preserve"> </v>
      </c>
      <c r="DF13" s="64" t="str">
        <f>IFERROR(IF(AND(CZ13 = CZ5, CZ14 = ""), DD13 - DE5, DE13 - DE5)," ")</f>
        <v xml:space="preserve"> </v>
      </c>
      <c r="DG13" s="49" t="str">
        <f>IFERROR(IF(ISNUMBER(DA13),INDEX('1 ubicaciones'!$L$2:$L$22,DA13 + 1) + DG12," ")," ")</f>
        <v xml:space="preserve"> </v>
      </c>
      <c r="DH13" s="58" t="str">
        <f>IFERROR(IF(ISNUMBER(DA13),INDEX('1 ubicaciones'!$J$2:$J$22,DA13 + 1)," ")," ")</f>
        <v xml:space="preserve"> </v>
      </c>
      <c r="DI13" s="58" t="str">
        <f>IFERROR(IF(ISNUMBER(DA13),INDEX('1 ubicaciones'!$K$2:$K$22,DA13 + 1)," ")," ")</f>
        <v xml:space="preserve"> </v>
      </c>
      <c r="DJ13" s="58" t="str">
        <f>IFERROR(IF(ISNUMBER(DA13),IF(CZ13 = CZ5, 0, DH13 + DJ12)," ")," ")</f>
        <v xml:space="preserve"> </v>
      </c>
      <c r="DK13" s="58" t="str">
        <f>IFERROR(IF(ISNUMBER(DA13),IF(CZ14 = CZ5, 0, IF(CZ14 = "", 0, DK14 + DI14))," ")," ")</f>
        <v xml:space="preserve"> </v>
      </c>
      <c r="DL13" s="49" t="str">
        <f t="shared" si="6"/>
        <v xml:space="preserve"> </v>
      </c>
      <c r="DP13" s="23">
        <v>8</v>
      </c>
      <c r="DQ13" s="66"/>
      <c r="DR13" s="49" t="str">
        <f>IFERROR(MATCH(DQ13,'1 ubicaciones'!$B$2:$B$22, 0) - 1," ")</f>
        <v xml:space="preserve"> </v>
      </c>
      <c r="DS13" s="58" t="str">
        <f>IFERROR(IF(ISNUMBER(DR13),INDEX('2.Distancias'!$C$2:$C$1445,DR12*38+DR13 + 2) +DS12," ")," ")</f>
        <v xml:space="preserve"> </v>
      </c>
      <c r="DT13" s="64" t="str">
        <f>IFERROR(IF(ISNUMBER(DR13),'3.Vehículos'!$F$18 * INDEX('2.Distancias'!$D$2:$D$1445,DR12*38+DR13 + 2) +DT12," ")," ")</f>
        <v xml:space="preserve"> </v>
      </c>
      <c r="DU13" s="92" t="str">
        <f>IFERROR(IF(ISNUMBER(DR13),'3.Vehículos'!$F$18 * INDEX('2.Distancias'!$D$2:$D$1445,DR12*38+DR13 + 2) +DV12," ")," ")</f>
        <v xml:space="preserve"> </v>
      </c>
      <c r="DV13" s="92" t="str">
        <f>IFERROR(IF(AND(DR5&lt;&gt;DR13,ISNUMBER(DU13)),INDEX('1 ubicaciones'!$I$2:$I$22,DR13 + 1) + MAX(DU13,INDEX('1 ubicaciones'!$F$2:$F$22,DR13 + 1))," ")," ")</f>
        <v xml:space="preserve"> </v>
      </c>
      <c r="DW13" s="64" t="str">
        <f>IFERROR(IF(AND(DQ13 = DQ5, DQ14 = ""), DU13 - DV5, DV13 - DV5)," ")</f>
        <v xml:space="preserve"> </v>
      </c>
      <c r="DX13" s="49" t="str">
        <f>IFERROR(IF(ISNUMBER(DR13),INDEX('1 ubicaciones'!$L$2:$L$22,DR13 + 1) + DX12," ")," ")</f>
        <v xml:space="preserve"> </v>
      </c>
      <c r="DY13" s="58" t="str">
        <f>IFERROR(IF(ISNUMBER(DR13),INDEX('1 ubicaciones'!$J$2:$J$22,DR13 + 1)," ")," ")</f>
        <v xml:space="preserve"> </v>
      </c>
      <c r="DZ13" s="58" t="str">
        <f>IFERROR(IF(ISNUMBER(DR13),INDEX('1 ubicaciones'!$K$2:$K$22,DR13 + 1)," ")," ")</f>
        <v xml:space="preserve"> </v>
      </c>
      <c r="EA13" s="58" t="str">
        <f>IFERROR(IF(ISNUMBER(DR13),IF(DQ13 = DQ5, 0, DY13 + EA12)," ")," ")</f>
        <v xml:space="preserve"> </v>
      </c>
      <c r="EB13" s="58" t="str">
        <f>IFERROR(IF(ISNUMBER(DR13),IF(DQ14 = DQ5, 0, IF(DQ14 = "", 0, EB14 + DZ14))," ")," ")</f>
        <v xml:space="preserve"> </v>
      </c>
      <c r="EC13" s="49" t="str">
        <f t="shared" si="7"/>
        <v xml:space="preserve"> </v>
      </c>
    </row>
    <row r="14" spans="1:133" x14ac:dyDescent="0.25">
      <c r="A14" s="23">
        <v>9</v>
      </c>
      <c r="B14" s="63"/>
      <c r="C14" s="49" t="str">
        <f>IFERROR(MATCH(B14,'1 ubicaciones'!$B$2:$B$22, 0) - 1," ")</f>
        <v xml:space="preserve"> </v>
      </c>
      <c r="D14" s="58" t="str">
        <f>IFERROR(IF(ISNUMBER(C14),INDEX('2.Distancias'!$C$2:$C$1445,C13*38+C14 + 2) +D13," ")," ")</f>
        <v xml:space="preserve"> </v>
      </c>
      <c r="E14" s="64" t="str">
        <f>IFERROR(IF(ISNUMBER(C14),'3.Vehículos'!$F$2 * INDEX('2.Distancias'!$D$2:$D$1445,C13*38+C14 + 2) +E13," ")," ")</f>
        <v xml:space="preserve"> </v>
      </c>
      <c r="F14" s="92" t="str">
        <f>IFERROR(IF(ISNUMBER(C14),'3.Vehículos'!$F$2 * INDEX('2.Distancias'!$D$2:$D$1445,C13*38+C14 + 2) +G13," ")," ")</f>
        <v xml:space="preserve"> </v>
      </c>
      <c r="G14" s="92" t="str">
        <f>IFERROR(IF(AND(C5&lt;&gt;C14,ISNUMBER(F14)),INDEX('1 ubicaciones'!$I$2:$I$22,C14 + 1) + MAX(F14,INDEX('1 ubicaciones'!$F$2:$F$22,C14 + 1))," ")," ")</f>
        <v xml:space="preserve"> </v>
      </c>
      <c r="H14" s="64" t="str">
        <f>IFERROR(IF(AND(B14 = B5, B15 = ""), F14 - G5, G14 - G5)," ")</f>
        <v xml:space="preserve"> </v>
      </c>
      <c r="I14" s="49" t="str">
        <f>IFERROR(IF(ISNUMBER(C14),INDEX('1 ubicaciones'!$L$2:$L$22,C14 + 1) + I13," ")," ")</f>
        <v xml:space="preserve"> </v>
      </c>
      <c r="J14" s="58" t="str">
        <f>IFERROR(IF(ISNUMBER(C14),INDEX('1 ubicaciones'!$J$2:$J$22,C14 + 1)," ")," ")</f>
        <v xml:space="preserve"> </v>
      </c>
      <c r="K14" s="58" t="str">
        <f>IFERROR(IF(ISNUMBER(C14),INDEX('1 ubicaciones'!$K$2:$K$22,C14 + 1)," ")," ")</f>
        <v xml:space="preserve"> </v>
      </c>
      <c r="L14" s="58" t="str">
        <f>IFERROR(IF(ISNUMBER(C14),IF(B14 = B5, 0, J14 + L13)," ")," ")</f>
        <v xml:space="preserve"> </v>
      </c>
      <c r="M14" s="58" t="str">
        <f>IFERROR(IF(ISNUMBER(C14),IF(B15 = B5, 0, IF(B15 = "", 0, M15 + K15))," ")," ")</f>
        <v xml:space="preserve"> </v>
      </c>
      <c r="N14" s="49" t="str">
        <f t="shared" si="0"/>
        <v xml:space="preserve"> </v>
      </c>
      <c r="R14" s="23">
        <v>9</v>
      </c>
      <c r="S14" s="63"/>
      <c r="T14" s="49" t="str">
        <f>IFERROR(MATCH(S14,'1 ubicaciones'!$B$2:$B$22, 0) - 1," ")</f>
        <v xml:space="preserve"> </v>
      </c>
      <c r="U14" s="58" t="str">
        <f>IFERROR(IF(ISNUMBER(T14),INDEX('2.Distancias'!$C$2:$C$1445,T13*38+T14 + 2) +U13," ")," ")</f>
        <v xml:space="preserve"> </v>
      </c>
      <c r="V14" s="64" t="str">
        <f>IFERROR(IF(ISNUMBER(T14),'3.Vehículos'!$F$3 * INDEX('2.Distancias'!$D$2:$D$1445,T13*38+T14 + 2) +V13," ")," ")</f>
        <v xml:space="preserve"> </v>
      </c>
      <c r="W14" s="92" t="str">
        <f>IFERROR(IF(ISNUMBER(T14),'3.Vehículos'!$F$3 * INDEX('2.Distancias'!$D$2:$D$1445,T13*38+T14 + 2) +X13," ")," ")</f>
        <v xml:space="preserve"> </v>
      </c>
      <c r="X14" s="92" t="str">
        <f>IFERROR(IF(AND(T5&lt;&gt;T14,ISNUMBER(W14)),INDEX('1 ubicaciones'!$I$2:$I$22,T14 + 1) + MAX(W14,INDEX('1 ubicaciones'!$F$2:$F$22,T14 + 1))," ")," ")</f>
        <v xml:space="preserve"> </v>
      </c>
      <c r="Y14" s="64" t="str">
        <f>IFERROR(IF(AND(S14 = S5, S15 = ""), W14 - X5, X14 - X5)," ")</f>
        <v xml:space="preserve"> </v>
      </c>
      <c r="Z14" s="49" t="str">
        <f>IFERROR(IF(ISNUMBER(T14),INDEX('1 ubicaciones'!$L$2:$L$22,T14 + 1) + Z13," ")," ")</f>
        <v xml:space="preserve"> </v>
      </c>
      <c r="AA14" s="58" t="str">
        <f>IFERROR(IF(ISNUMBER(T14),INDEX('1 ubicaciones'!$J$2:$J$22,T14 + 1)," ")," ")</f>
        <v xml:space="preserve"> </v>
      </c>
      <c r="AB14" s="58" t="str">
        <f>IFERROR(IF(ISNUMBER(T14),INDEX('1 ubicaciones'!$K$2:$K$22,T14 + 1)," ")," ")</f>
        <v xml:space="preserve"> </v>
      </c>
      <c r="AC14" s="58" t="str">
        <f>IFERROR(IF(ISNUMBER(T14),IF(S14 = S5, 0, AA14 + AC13)," ")," ")</f>
        <v xml:space="preserve"> </v>
      </c>
      <c r="AD14" s="58" t="str">
        <f>IFERROR(IF(ISNUMBER(T14),IF(S15 = S5, 0, IF(S15 = "", 0, AD15 + AB15))," ")," ")</f>
        <v xml:space="preserve"> </v>
      </c>
      <c r="AE14" s="49" t="str">
        <f t="shared" si="1"/>
        <v xml:space="preserve"> </v>
      </c>
      <c r="AI14" s="23">
        <v>9</v>
      </c>
      <c r="AJ14" s="63"/>
      <c r="AK14" s="49" t="str">
        <f>IFERROR(MATCH(AJ14,'1 ubicaciones'!$B$2:$B$22, 0) - 1," ")</f>
        <v xml:space="preserve"> </v>
      </c>
      <c r="AL14" s="58" t="str">
        <f>IFERROR(IF(ISNUMBER(AK14),INDEX('2.Distancias'!$C$2:$C$1445,AK13*38+AK14 + 2) +AL13," ")," ")</f>
        <v xml:space="preserve"> </v>
      </c>
      <c r="AM14" s="64" t="str">
        <f>IFERROR(IF(ISNUMBER(AK14),'3.Vehículos'!$F$4 * INDEX('2.Distancias'!$D$2:$D$1445,AK13*38+AK14 + 2) +AM13," ")," ")</f>
        <v xml:space="preserve"> </v>
      </c>
      <c r="AN14" s="92" t="str">
        <f>IFERROR(IF(ISNUMBER(AK14),'3.Vehículos'!$F$4 * INDEX('2.Distancias'!$D$2:$D$1445,AK13*38+AK14 + 2) +AO13," ")," ")</f>
        <v xml:space="preserve"> </v>
      </c>
      <c r="AO14" s="92" t="str">
        <f>IFERROR(IF(AND(AK5&lt;&gt;AK14,ISNUMBER(AN14)),INDEX('1 ubicaciones'!$I$2:$I$22,AK14 + 1) + MAX(AN14,INDEX('1 ubicaciones'!$F$2:$F$22,AK14 + 1))," ")," ")</f>
        <v xml:space="preserve"> </v>
      </c>
      <c r="AP14" s="64" t="str">
        <f>IFERROR(IF(AND(AJ14 = AJ5, AJ15 = ""), AN14 - AO5, AO14 - AO5)," ")</f>
        <v xml:space="preserve"> </v>
      </c>
      <c r="AQ14" s="49" t="str">
        <f>IFERROR(IF(ISNUMBER(AK14),INDEX('1 ubicaciones'!$L$2:$L$22,AK14 + 1) + AQ13," ")," ")</f>
        <v xml:space="preserve"> </v>
      </c>
      <c r="AR14" s="58" t="str">
        <f>IFERROR(IF(ISNUMBER(AK14),INDEX('1 ubicaciones'!$J$2:$J$22,AK14 + 1)," ")," ")</f>
        <v xml:space="preserve"> </v>
      </c>
      <c r="AS14" s="58" t="str">
        <f>IFERROR(IF(ISNUMBER(AK14),INDEX('1 ubicaciones'!$K$2:$K$22,AK14 + 1)," ")," ")</f>
        <v xml:space="preserve"> </v>
      </c>
      <c r="AT14" s="58" t="str">
        <f>IFERROR(IF(ISNUMBER(AK14),IF(AJ14 = AJ5, 0, AR14 + AT13)," ")," ")</f>
        <v xml:space="preserve"> </v>
      </c>
      <c r="AU14" s="58" t="str">
        <f>IFERROR(IF(ISNUMBER(AK14),IF(AJ15 = AJ5, 0, IF(AJ15 = "", 0, AU15 + AS15))," ")," ")</f>
        <v xml:space="preserve"> </v>
      </c>
      <c r="AV14" s="49" t="str">
        <f t="shared" si="2"/>
        <v xml:space="preserve"> </v>
      </c>
      <c r="AZ14" s="23">
        <v>9</v>
      </c>
      <c r="BA14" s="63"/>
      <c r="BB14" s="49" t="str">
        <f>IFERROR(MATCH(BA14,'1 ubicaciones'!$B$2:$B$22, 0) - 1," ")</f>
        <v xml:space="preserve"> </v>
      </c>
      <c r="BC14" s="58" t="str">
        <f>IFERROR(IF(ISNUMBER(BB14),INDEX('2.Distancias'!$C$2:$C$1445,BB13*38+BB14 + 2) +BC13," ")," ")</f>
        <v xml:space="preserve"> </v>
      </c>
      <c r="BD14" s="64" t="str">
        <f>IFERROR(IF(ISNUMBER(BB14),'3.Vehículos'!$F$5 * INDEX('2.Distancias'!$D$2:$D$1445,BB13*38+BB14 + 2) +BD13," ")," ")</f>
        <v xml:space="preserve"> </v>
      </c>
      <c r="BE14" s="92" t="str">
        <f>IFERROR(IF(ISNUMBER(BB14),'3.Vehículos'!$F$5 * INDEX('2.Distancias'!$D$2:$D$1445,BB13*38+BB14 + 2) +BF13," ")," ")</f>
        <v xml:space="preserve"> </v>
      </c>
      <c r="BF14" s="92" t="str">
        <f>IFERROR(IF(AND(BB5&lt;&gt;BB14,ISNUMBER(BE14)),INDEX('1 ubicaciones'!$I$2:$I$22,BB14 + 1) + MAX(BE14,INDEX('1 ubicaciones'!$F$2:$F$22,BB14 + 1))," ")," ")</f>
        <v xml:space="preserve"> </v>
      </c>
      <c r="BG14" s="64" t="str">
        <f>IFERROR(IF(AND(BA14 = BA5, BA15 = ""), BE14 - BF5, BF14 - BF5)," ")</f>
        <v xml:space="preserve"> </v>
      </c>
      <c r="BH14" s="49" t="str">
        <f>IFERROR(IF(ISNUMBER(BB14),INDEX('1 ubicaciones'!$L$2:$L$22,BB14 + 1) + BH13," ")," ")</f>
        <v xml:space="preserve"> </v>
      </c>
      <c r="BI14" s="58" t="str">
        <f>IFERROR(IF(ISNUMBER(BB14),INDEX('1 ubicaciones'!$J$2:$J$22,BB14 + 1)," ")," ")</f>
        <v xml:space="preserve"> </v>
      </c>
      <c r="BJ14" s="58" t="str">
        <f>IFERROR(IF(ISNUMBER(BB14),INDEX('1 ubicaciones'!$K$2:$K$22,BB14 + 1)," ")," ")</f>
        <v xml:space="preserve"> </v>
      </c>
      <c r="BK14" s="58" t="str">
        <f>IFERROR(IF(ISNUMBER(BB14),IF(BA14 = BA5, 0, BI14 + BK13)," ")," ")</f>
        <v xml:space="preserve"> </v>
      </c>
      <c r="BL14" s="58" t="str">
        <f>IFERROR(IF(ISNUMBER(BB14),IF(BA15 = BA5, 0, IF(BA15 = "", 0, BL15 + BJ15))," ")," ")</f>
        <v xml:space="preserve"> </v>
      </c>
      <c r="BM14" s="49" t="str">
        <f t="shared" si="3"/>
        <v xml:space="preserve"> </v>
      </c>
      <c r="BQ14" s="23">
        <v>9</v>
      </c>
      <c r="BR14" s="63"/>
      <c r="BS14" s="49" t="str">
        <f>IFERROR(MATCH(BR14,'1 ubicaciones'!$B$2:$B$22, 0) - 1," ")</f>
        <v xml:space="preserve"> </v>
      </c>
      <c r="BT14" s="58" t="str">
        <f>IFERROR(IF(ISNUMBER(BS14),INDEX('2.Distancias'!$C$2:$C$1445,BS13*38+BS14 + 2) +BT13," ")," ")</f>
        <v xml:space="preserve"> </v>
      </c>
      <c r="BU14" s="64" t="str">
        <f>IFERROR(IF(ISNUMBER(BS14),'3.Vehículos'!$F$6 * INDEX('2.Distancias'!$D$2:$D$1445,BS13*38+BS14 + 2) +BU13," ")," ")</f>
        <v xml:space="preserve"> </v>
      </c>
      <c r="BV14" s="92" t="str">
        <f>IFERROR(IF(ISNUMBER(BS14),'3.Vehículos'!$F$6 * INDEX('2.Distancias'!$D$2:$D$1445,BS13*38+BS14 + 2) +BW13," ")," ")</f>
        <v xml:space="preserve"> </v>
      </c>
      <c r="BW14" s="92" t="str">
        <f>IFERROR(IF(AND(BS5&lt;&gt;BS14,ISNUMBER(BV14)),INDEX('1 ubicaciones'!$I$2:$I$22,BS14 + 1) + MAX(BV14,INDEX('1 ubicaciones'!$F$2:$F$22,BS14 + 1))," ")," ")</f>
        <v xml:space="preserve"> </v>
      </c>
      <c r="BX14" s="64" t="str">
        <f>IFERROR(IF(AND(BR14 = BR5, BR15 = ""), BV14 - BW5, BW14 - BW5)," ")</f>
        <v xml:space="preserve"> </v>
      </c>
      <c r="BY14" s="49" t="str">
        <f>IFERROR(IF(ISNUMBER(BS14),INDEX('1 ubicaciones'!$L$2:$L$22,BS14 + 1) + BY13," ")," ")</f>
        <v xml:space="preserve"> </v>
      </c>
      <c r="BZ14" s="58" t="str">
        <f>IFERROR(IF(ISNUMBER(BS14),INDEX('1 ubicaciones'!$J$2:$J$22,BS14 + 1)," ")," ")</f>
        <v xml:space="preserve"> </v>
      </c>
      <c r="CA14" s="58" t="str">
        <f>IFERROR(IF(ISNUMBER(BS14),INDEX('1 ubicaciones'!$K$2:$K$22,BS14 + 1)," ")," ")</f>
        <v xml:space="preserve"> </v>
      </c>
      <c r="CB14" s="58" t="str">
        <f>IFERROR(IF(ISNUMBER(BS14),IF(BR14 = BR5, 0, BZ14 + CB13)," ")," ")</f>
        <v xml:space="preserve"> </v>
      </c>
      <c r="CC14" s="58" t="str">
        <f>IFERROR(IF(ISNUMBER(BS14),IF(BR15 = BR5, 0, IF(BR15 = "", 0, CC15 + CA15))," ")," ")</f>
        <v xml:space="preserve"> </v>
      </c>
      <c r="CD14" s="49" t="str">
        <f t="shared" si="4"/>
        <v xml:space="preserve"> </v>
      </c>
      <c r="CH14" s="23">
        <v>9</v>
      </c>
      <c r="CI14" s="63"/>
      <c r="CJ14" s="49" t="str">
        <f>IFERROR(MATCH(CI14,'1 ubicaciones'!$B$2:$B$22, 0) - 1," ")</f>
        <v xml:space="preserve"> </v>
      </c>
      <c r="CK14" s="58" t="str">
        <f>IFERROR(IF(ISNUMBER(CJ14),INDEX('2.Distancias'!$C$2:$C$1445,CJ13*38+CJ14 + 2) +CK13," ")," ")</f>
        <v xml:space="preserve"> </v>
      </c>
      <c r="CL14" s="64" t="str">
        <f>IFERROR(IF(ISNUMBER(CJ14),'3.Vehículos'!$F$10 * INDEX('2.Distancias'!$D$2:$D$1445,CJ13*38+CJ14 + 2) +CL13," ")," ")</f>
        <v xml:space="preserve"> </v>
      </c>
      <c r="CM14" s="92" t="str">
        <f>IFERROR(IF(ISNUMBER(CJ14),'3.Vehículos'!$F$10 * INDEX('2.Distancias'!$D$2:$D$1445,CJ13*38+CJ14 + 2) +CN13," ")," ")</f>
        <v xml:space="preserve"> </v>
      </c>
      <c r="CN14" s="92" t="str">
        <f>IFERROR(IF(AND(CJ5&lt;&gt;CJ14,ISNUMBER(CM14)),INDEX('1 ubicaciones'!$I$2:$I$22,CJ14 + 1) + MAX(CM14,INDEX('1 ubicaciones'!$F$2:$F$22,CJ14 + 1))," ")," ")</f>
        <v xml:space="preserve"> </v>
      </c>
      <c r="CO14" s="64" t="str">
        <f>IFERROR(IF(AND(CI14 = CI5, CI15 = ""), CM14 - CN5, CN14 - CN5)," ")</f>
        <v xml:space="preserve"> </v>
      </c>
      <c r="CP14" s="49" t="str">
        <f>IFERROR(IF(ISNUMBER(CJ14),INDEX('1 ubicaciones'!$L$2:$L$22,CJ14 + 1) + CP13," ")," ")</f>
        <v xml:space="preserve"> </v>
      </c>
      <c r="CQ14" s="58" t="str">
        <f>IFERROR(IF(ISNUMBER(CJ14),INDEX('1 ubicaciones'!$J$2:$J$22,CJ14 + 1)," ")," ")</f>
        <v xml:space="preserve"> </v>
      </c>
      <c r="CR14" s="58" t="str">
        <f>IFERROR(IF(ISNUMBER(CJ14),INDEX('1 ubicaciones'!$K$2:$K$22,CJ14 + 1)," ")," ")</f>
        <v xml:space="preserve"> </v>
      </c>
      <c r="CS14" s="58" t="str">
        <f>IFERROR(IF(ISNUMBER(CJ14),IF(CI14 = CI5, 0, CQ14 + CS13)," ")," ")</f>
        <v xml:space="preserve"> </v>
      </c>
      <c r="CT14" s="58" t="str">
        <f>IFERROR(IF(ISNUMBER(CJ14),IF(CI15 = CI5, 0, IF(CI15 = "", 0, CT15 + CR15))," ")," ")</f>
        <v xml:space="preserve"> </v>
      </c>
      <c r="CU14" s="49" t="str">
        <f t="shared" si="5"/>
        <v xml:space="preserve"> </v>
      </c>
      <c r="CY14" s="23">
        <v>9</v>
      </c>
      <c r="CZ14" s="63"/>
      <c r="DA14" s="49" t="str">
        <f>IFERROR(MATCH(CZ14,'1 ubicaciones'!$B$2:$B$22, 0) - 1," ")</f>
        <v xml:space="preserve"> </v>
      </c>
      <c r="DB14" s="58" t="str">
        <f>IFERROR(IF(ISNUMBER(DA14),INDEX('2.Distancias'!$C$2:$C$1445,DA13*38+DA14 + 2) +DB13," ")," ")</f>
        <v xml:space="preserve"> </v>
      </c>
      <c r="DC14" s="64" t="str">
        <f>IFERROR(IF(ISNUMBER(DA14),'3.Vehículos'!$F$11 * INDEX('2.Distancias'!$D$2:$D$1445,DA13*38+DA14 + 2) +DC13," ")," ")</f>
        <v xml:space="preserve"> </v>
      </c>
      <c r="DD14" s="92" t="str">
        <f>IFERROR(IF(ISNUMBER(DA14),'3.Vehículos'!$F$11 * INDEX('2.Distancias'!$D$2:$D$1445,DA13*38+DA14 + 2) +DE13," ")," ")</f>
        <v xml:space="preserve"> </v>
      </c>
      <c r="DE14" s="92" t="str">
        <f>IFERROR(IF(AND(DA5&lt;&gt;DA14,ISNUMBER(DD14)),INDEX('1 ubicaciones'!$I$2:$I$22,DA14 + 1) + MAX(DD14,INDEX('1 ubicaciones'!$F$2:$F$22,DA14 + 1))," ")," ")</f>
        <v xml:space="preserve"> </v>
      </c>
      <c r="DF14" s="64" t="str">
        <f>IFERROR(IF(AND(CZ14 = CZ5, CZ15 = ""), DD14 - DE5, DE14 - DE5)," ")</f>
        <v xml:space="preserve"> </v>
      </c>
      <c r="DG14" s="49" t="str">
        <f>IFERROR(IF(ISNUMBER(DA14),INDEX('1 ubicaciones'!$L$2:$L$22,DA14 + 1) + DG13," ")," ")</f>
        <v xml:space="preserve"> </v>
      </c>
      <c r="DH14" s="58" t="str">
        <f>IFERROR(IF(ISNUMBER(DA14),INDEX('1 ubicaciones'!$J$2:$J$22,DA14 + 1)," ")," ")</f>
        <v xml:space="preserve"> </v>
      </c>
      <c r="DI14" s="58" t="str">
        <f>IFERROR(IF(ISNUMBER(DA14),INDEX('1 ubicaciones'!$K$2:$K$22,DA14 + 1)," ")," ")</f>
        <v xml:space="preserve"> </v>
      </c>
      <c r="DJ14" s="58" t="str">
        <f>IFERROR(IF(ISNUMBER(DA14),IF(CZ14 = CZ5, 0, DH14 + DJ13)," ")," ")</f>
        <v xml:space="preserve"> </v>
      </c>
      <c r="DK14" s="58" t="str">
        <f>IFERROR(IF(ISNUMBER(DA14),IF(CZ15 = CZ5, 0, IF(CZ15 = "", 0, DK15 + DI15))," ")," ")</f>
        <v xml:space="preserve"> </v>
      </c>
      <c r="DL14" s="49" t="str">
        <f t="shared" si="6"/>
        <v xml:space="preserve"> </v>
      </c>
      <c r="DP14" s="23">
        <v>9</v>
      </c>
      <c r="DQ14" s="63"/>
      <c r="DR14" s="49" t="str">
        <f>IFERROR(MATCH(DQ14,'1 ubicaciones'!$B$2:$B$22, 0) - 1," ")</f>
        <v xml:space="preserve"> </v>
      </c>
      <c r="DS14" s="58" t="str">
        <f>IFERROR(IF(ISNUMBER(DR14),INDEX('2.Distancias'!$C$2:$C$1445,DR13*38+DR14 + 2) +DS13," ")," ")</f>
        <v xml:space="preserve"> </v>
      </c>
      <c r="DT14" s="64" t="str">
        <f>IFERROR(IF(ISNUMBER(DR14),'3.Vehículos'!$F$18 * INDEX('2.Distancias'!$D$2:$D$1445,DR13*38+DR14 + 2) +DT13," ")," ")</f>
        <v xml:space="preserve"> </v>
      </c>
      <c r="DU14" s="92" t="str">
        <f>IFERROR(IF(ISNUMBER(DR14),'3.Vehículos'!$F$18 * INDEX('2.Distancias'!$D$2:$D$1445,DR13*38+DR14 + 2) +DV13," ")," ")</f>
        <v xml:space="preserve"> </v>
      </c>
      <c r="DV14" s="92" t="str">
        <f>IFERROR(IF(AND(DR5&lt;&gt;DR14,ISNUMBER(DU14)),INDEX('1 ubicaciones'!$I$2:$I$22,DR14 + 1) + MAX(DU14,INDEX('1 ubicaciones'!$F$2:$F$22,DR14 + 1))," ")," ")</f>
        <v xml:space="preserve"> </v>
      </c>
      <c r="DW14" s="64" t="str">
        <f>IFERROR(IF(AND(DQ14 = DQ5, DQ15 = ""), DU14 - DV5, DV14 - DV5)," ")</f>
        <v xml:space="preserve"> </v>
      </c>
      <c r="DX14" s="49" t="str">
        <f>IFERROR(IF(ISNUMBER(DR14),INDEX('1 ubicaciones'!$L$2:$L$22,DR14 + 1) + DX13," ")," ")</f>
        <v xml:space="preserve"> </v>
      </c>
      <c r="DY14" s="58" t="str">
        <f>IFERROR(IF(ISNUMBER(DR14),INDEX('1 ubicaciones'!$J$2:$J$22,DR14 + 1)," ")," ")</f>
        <v xml:space="preserve"> </v>
      </c>
      <c r="DZ14" s="58" t="str">
        <f>IFERROR(IF(ISNUMBER(DR14),INDEX('1 ubicaciones'!$K$2:$K$22,DR14 + 1)," ")," ")</f>
        <v xml:space="preserve"> </v>
      </c>
      <c r="EA14" s="58" t="str">
        <f>IFERROR(IF(ISNUMBER(DR14),IF(DQ14 = DQ5, 0, DY14 + EA13)," ")," ")</f>
        <v xml:space="preserve"> </v>
      </c>
      <c r="EB14" s="58" t="str">
        <f>IFERROR(IF(ISNUMBER(DR14),IF(DQ15 = DQ5, 0, IF(DQ15 = "", 0, EB15 + DZ15))," ")," ")</f>
        <v xml:space="preserve"> </v>
      </c>
      <c r="EC14" s="49" t="str">
        <f t="shared" si="7"/>
        <v xml:space="preserve"> </v>
      </c>
    </row>
    <row r="15" spans="1:133" x14ac:dyDescent="0.25">
      <c r="A15" s="23">
        <v>10</v>
      </c>
      <c r="B15" s="66"/>
      <c r="C15" s="49" t="str">
        <f>IFERROR(MATCH(B15,'1 ubicaciones'!$B$2:$B$22, 0) - 1," ")</f>
        <v xml:space="preserve"> </v>
      </c>
      <c r="D15" s="58" t="str">
        <f>IFERROR(IF(ISNUMBER(C15),INDEX('2.Distancias'!$C$2:$C$1445,C14*38+C15 + 2) +D14," ")," ")</f>
        <v xml:space="preserve"> </v>
      </c>
      <c r="E15" s="64" t="str">
        <f>IFERROR(IF(ISNUMBER(C15),'3.Vehículos'!$F$2 * INDEX('2.Distancias'!$D$2:$D$1445,C14*38+C15 + 2) +E14," ")," ")</f>
        <v xml:space="preserve"> </v>
      </c>
      <c r="F15" s="92" t="str">
        <f>IFERROR(IF(ISNUMBER(C15),'3.Vehículos'!$F$2 * INDEX('2.Distancias'!$D$2:$D$1445,C14*38+C15 + 2) +G14," ")," ")</f>
        <v xml:space="preserve"> </v>
      </c>
      <c r="G15" s="92" t="str">
        <f>IFERROR(IF(AND(C5&lt;&gt;C15,ISNUMBER(F15)),INDEX('1 ubicaciones'!$I$2:$I$22,C15 + 1) + MAX(F15,INDEX('1 ubicaciones'!$F$2:$F$22,C15 + 1))," ")," ")</f>
        <v xml:space="preserve"> </v>
      </c>
      <c r="H15" s="64" t="str">
        <f>IFERROR(IF(AND(B15 = B5, B16 = ""), F15 - G5, G15 - G5)," ")</f>
        <v xml:space="preserve"> </v>
      </c>
      <c r="I15" s="49" t="str">
        <f>IFERROR(IF(ISNUMBER(C15),INDEX('1 ubicaciones'!$L$2:$L$22,C15 + 1) + I14," ")," ")</f>
        <v xml:space="preserve"> </v>
      </c>
      <c r="J15" s="58" t="str">
        <f>IFERROR(IF(ISNUMBER(C15),INDEX('1 ubicaciones'!$J$2:$J$22,C15 + 1)," ")," ")</f>
        <v xml:space="preserve"> </v>
      </c>
      <c r="K15" s="58" t="str">
        <f>IFERROR(IF(ISNUMBER(C15),INDEX('1 ubicaciones'!$K$2:$K$22,C15 + 1)," ")," ")</f>
        <v xml:space="preserve"> </v>
      </c>
      <c r="L15" s="58" t="str">
        <f>IFERROR(IF(ISNUMBER(C15),IF(B15 = B5, 0, J15 + L14)," ")," ")</f>
        <v xml:space="preserve"> </v>
      </c>
      <c r="M15" s="58" t="str">
        <f>IFERROR(IF(ISNUMBER(C15),IF(B16 = B5, 0, IF(B16 = "", 0, M16 + K16))," ")," ")</f>
        <v xml:space="preserve"> </v>
      </c>
      <c r="N15" s="49" t="str">
        <f t="shared" si="0"/>
        <v xml:space="preserve"> </v>
      </c>
      <c r="R15" s="23">
        <v>10</v>
      </c>
      <c r="S15" s="66"/>
      <c r="T15" s="49" t="str">
        <f>IFERROR(MATCH(S15,'1 ubicaciones'!$B$2:$B$22, 0) - 1," ")</f>
        <v xml:space="preserve"> </v>
      </c>
      <c r="U15" s="58" t="str">
        <f>IFERROR(IF(ISNUMBER(T15),INDEX('2.Distancias'!$C$2:$C$1445,T14*38+T15 + 2) +U14," ")," ")</f>
        <v xml:space="preserve"> </v>
      </c>
      <c r="V15" s="64" t="str">
        <f>IFERROR(IF(ISNUMBER(T15),'3.Vehículos'!$F$3 * INDEX('2.Distancias'!$D$2:$D$1445,T14*38+T15 + 2) +V14," ")," ")</f>
        <v xml:space="preserve"> </v>
      </c>
      <c r="W15" s="92" t="str">
        <f>IFERROR(IF(ISNUMBER(T15),'3.Vehículos'!$F$3 * INDEX('2.Distancias'!$D$2:$D$1445,T14*38+T15 + 2) +X14," ")," ")</f>
        <v xml:space="preserve"> </v>
      </c>
      <c r="X15" s="92" t="str">
        <f>IFERROR(IF(AND(T5&lt;&gt;T15,ISNUMBER(W15)),INDEX('1 ubicaciones'!$I$2:$I$22,T15 + 1) + MAX(W15,INDEX('1 ubicaciones'!$F$2:$F$22,T15 + 1))," ")," ")</f>
        <v xml:space="preserve"> </v>
      </c>
      <c r="Y15" s="64" t="str">
        <f>IFERROR(IF(AND(S15 = S5, S16 = ""), W15 - X5, X15 - X5)," ")</f>
        <v xml:space="preserve"> </v>
      </c>
      <c r="Z15" s="49" t="str">
        <f>IFERROR(IF(ISNUMBER(T15),INDEX('1 ubicaciones'!$L$2:$L$22,T15 + 1) + Z14," ")," ")</f>
        <v xml:space="preserve"> </v>
      </c>
      <c r="AA15" s="58" t="str">
        <f>IFERROR(IF(ISNUMBER(T15),INDEX('1 ubicaciones'!$J$2:$J$22,T15 + 1)," ")," ")</f>
        <v xml:space="preserve"> </v>
      </c>
      <c r="AB15" s="58" t="str">
        <f>IFERROR(IF(ISNUMBER(T15),INDEX('1 ubicaciones'!$K$2:$K$22,T15 + 1)," ")," ")</f>
        <v xml:space="preserve"> </v>
      </c>
      <c r="AC15" s="58" t="str">
        <f>IFERROR(IF(ISNUMBER(T15),IF(S15 = S5, 0, AA15 + AC14)," ")," ")</f>
        <v xml:space="preserve"> </v>
      </c>
      <c r="AD15" s="58" t="str">
        <f>IFERROR(IF(ISNUMBER(T15),IF(S16 = S5, 0, IF(S16 = "", 0, AD16 + AB16))," ")," ")</f>
        <v xml:space="preserve"> </v>
      </c>
      <c r="AE15" s="49" t="str">
        <f t="shared" si="1"/>
        <v xml:space="preserve"> </v>
      </c>
      <c r="AI15" s="23">
        <v>10</v>
      </c>
      <c r="AJ15" s="66"/>
      <c r="AK15" s="49" t="str">
        <f>IFERROR(MATCH(AJ15,'1 ubicaciones'!$B$2:$B$22, 0) - 1," ")</f>
        <v xml:space="preserve"> </v>
      </c>
      <c r="AL15" s="58" t="str">
        <f>IFERROR(IF(ISNUMBER(AK15),INDEX('2.Distancias'!$C$2:$C$1445,AK14*38+AK15 + 2) +AL14," ")," ")</f>
        <v xml:space="preserve"> </v>
      </c>
      <c r="AM15" s="64" t="str">
        <f>IFERROR(IF(ISNUMBER(AK15),'3.Vehículos'!$F$4 * INDEX('2.Distancias'!$D$2:$D$1445,AK14*38+AK15 + 2) +AM14," ")," ")</f>
        <v xml:space="preserve"> </v>
      </c>
      <c r="AN15" s="92" t="str">
        <f>IFERROR(IF(ISNUMBER(AK15),'3.Vehículos'!$F$4 * INDEX('2.Distancias'!$D$2:$D$1445,AK14*38+AK15 + 2) +AO14," ")," ")</f>
        <v xml:space="preserve"> </v>
      </c>
      <c r="AO15" s="92" t="str">
        <f>IFERROR(IF(AND(AK5&lt;&gt;AK15,ISNUMBER(AN15)),INDEX('1 ubicaciones'!$I$2:$I$22,AK15 + 1) + MAX(AN15,INDEX('1 ubicaciones'!$F$2:$F$22,AK15 + 1))," ")," ")</f>
        <v xml:space="preserve"> </v>
      </c>
      <c r="AP15" s="64" t="str">
        <f>IFERROR(IF(AND(AJ15 = AJ5, AJ16 = ""), AN15 - AO5, AO15 - AO5)," ")</f>
        <v xml:space="preserve"> </v>
      </c>
      <c r="AQ15" s="49" t="str">
        <f>IFERROR(IF(ISNUMBER(AK15),INDEX('1 ubicaciones'!$L$2:$L$22,AK15 + 1) + AQ14," ")," ")</f>
        <v xml:space="preserve"> </v>
      </c>
      <c r="AR15" s="58" t="str">
        <f>IFERROR(IF(ISNUMBER(AK15),INDEX('1 ubicaciones'!$J$2:$J$22,AK15 + 1)," ")," ")</f>
        <v xml:space="preserve"> </v>
      </c>
      <c r="AS15" s="58" t="str">
        <f>IFERROR(IF(ISNUMBER(AK15),INDEX('1 ubicaciones'!$K$2:$K$22,AK15 + 1)," ")," ")</f>
        <v xml:space="preserve"> </v>
      </c>
      <c r="AT15" s="58" t="str">
        <f>IFERROR(IF(ISNUMBER(AK15),IF(AJ15 = AJ5, 0, AR15 + AT14)," ")," ")</f>
        <v xml:space="preserve"> </v>
      </c>
      <c r="AU15" s="58" t="str">
        <f>IFERROR(IF(ISNUMBER(AK15),IF(AJ16 = AJ5, 0, IF(AJ16 = "", 0, AU16 + AS16))," ")," ")</f>
        <v xml:space="preserve"> </v>
      </c>
      <c r="AV15" s="49" t="str">
        <f t="shared" si="2"/>
        <v xml:space="preserve"> </v>
      </c>
      <c r="AZ15" s="23">
        <v>10</v>
      </c>
      <c r="BA15" s="66"/>
      <c r="BB15" s="49" t="str">
        <f>IFERROR(MATCH(BA15,'1 ubicaciones'!$B$2:$B$22, 0) - 1," ")</f>
        <v xml:space="preserve"> </v>
      </c>
      <c r="BC15" s="58" t="str">
        <f>IFERROR(IF(ISNUMBER(BB15),INDEX('2.Distancias'!$C$2:$C$1445,BB14*38+BB15 + 2) +BC14," ")," ")</f>
        <v xml:space="preserve"> </v>
      </c>
      <c r="BD15" s="64" t="str">
        <f>IFERROR(IF(ISNUMBER(BB15),'3.Vehículos'!$F$5 * INDEX('2.Distancias'!$D$2:$D$1445,BB14*38+BB15 + 2) +BD14," ")," ")</f>
        <v xml:space="preserve"> </v>
      </c>
      <c r="BE15" s="92" t="str">
        <f>IFERROR(IF(ISNUMBER(BB15),'3.Vehículos'!$F$5 * INDEX('2.Distancias'!$D$2:$D$1445,BB14*38+BB15 + 2) +BF14," ")," ")</f>
        <v xml:space="preserve"> </v>
      </c>
      <c r="BF15" s="92" t="str">
        <f>IFERROR(IF(AND(BB5&lt;&gt;BB15,ISNUMBER(BE15)),INDEX('1 ubicaciones'!$I$2:$I$22,BB15 + 1) + MAX(BE15,INDEX('1 ubicaciones'!$F$2:$F$22,BB15 + 1))," ")," ")</f>
        <v xml:space="preserve"> </v>
      </c>
      <c r="BG15" s="64" t="str">
        <f>IFERROR(IF(AND(BA15 = BA5, BA16 = ""), BE15 - BF5, BF15 - BF5)," ")</f>
        <v xml:space="preserve"> </v>
      </c>
      <c r="BH15" s="49" t="str">
        <f>IFERROR(IF(ISNUMBER(BB15),INDEX('1 ubicaciones'!$L$2:$L$22,BB15 + 1) + BH14," ")," ")</f>
        <v xml:space="preserve"> </v>
      </c>
      <c r="BI15" s="58" t="str">
        <f>IFERROR(IF(ISNUMBER(BB15),INDEX('1 ubicaciones'!$J$2:$J$22,BB15 + 1)," ")," ")</f>
        <v xml:space="preserve"> </v>
      </c>
      <c r="BJ15" s="58" t="str">
        <f>IFERROR(IF(ISNUMBER(BB15),INDEX('1 ubicaciones'!$K$2:$K$22,BB15 + 1)," ")," ")</f>
        <v xml:space="preserve"> </v>
      </c>
      <c r="BK15" s="58" t="str">
        <f>IFERROR(IF(ISNUMBER(BB15),IF(BA15 = BA5, 0, BI15 + BK14)," ")," ")</f>
        <v xml:space="preserve"> </v>
      </c>
      <c r="BL15" s="58" t="str">
        <f>IFERROR(IF(ISNUMBER(BB15),IF(BA16 = BA5, 0, IF(BA16 = "", 0, BL16 + BJ16))," ")," ")</f>
        <v xml:space="preserve"> </v>
      </c>
      <c r="BM15" s="49" t="str">
        <f t="shared" si="3"/>
        <v xml:space="preserve"> </v>
      </c>
      <c r="BQ15" s="23">
        <v>10</v>
      </c>
      <c r="BR15" s="66"/>
      <c r="BS15" s="49" t="str">
        <f>IFERROR(MATCH(BR15,'1 ubicaciones'!$B$2:$B$22, 0) - 1," ")</f>
        <v xml:space="preserve"> </v>
      </c>
      <c r="BT15" s="58" t="str">
        <f>IFERROR(IF(ISNUMBER(BS15),INDEX('2.Distancias'!$C$2:$C$1445,BS14*38+BS15 + 2) +BT14," ")," ")</f>
        <v xml:space="preserve"> </v>
      </c>
      <c r="BU15" s="64" t="str">
        <f>IFERROR(IF(ISNUMBER(BS15),'3.Vehículos'!$F$6 * INDEX('2.Distancias'!$D$2:$D$1445,BS14*38+BS15 + 2) +BU14," ")," ")</f>
        <v xml:space="preserve"> </v>
      </c>
      <c r="BV15" s="92" t="str">
        <f>IFERROR(IF(ISNUMBER(BS15),'3.Vehículos'!$F$6 * INDEX('2.Distancias'!$D$2:$D$1445,BS14*38+BS15 + 2) +BW14," ")," ")</f>
        <v xml:space="preserve"> </v>
      </c>
      <c r="BW15" s="92" t="str">
        <f>IFERROR(IF(AND(BS5&lt;&gt;BS15,ISNUMBER(BV15)),INDEX('1 ubicaciones'!$I$2:$I$22,BS15 + 1) + MAX(BV15,INDEX('1 ubicaciones'!$F$2:$F$22,BS15 + 1))," ")," ")</f>
        <v xml:space="preserve"> </v>
      </c>
      <c r="BX15" s="64" t="str">
        <f>IFERROR(IF(AND(BR15 = BR5, BR16 = ""), BV15 - BW5, BW15 - BW5)," ")</f>
        <v xml:space="preserve"> </v>
      </c>
      <c r="BY15" s="49" t="str">
        <f>IFERROR(IF(ISNUMBER(BS15),INDEX('1 ubicaciones'!$L$2:$L$22,BS15 + 1) + BY14," ")," ")</f>
        <v xml:space="preserve"> </v>
      </c>
      <c r="BZ15" s="58" t="str">
        <f>IFERROR(IF(ISNUMBER(BS15),INDEX('1 ubicaciones'!$J$2:$J$22,BS15 + 1)," ")," ")</f>
        <v xml:space="preserve"> </v>
      </c>
      <c r="CA15" s="58" t="str">
        <f>IFERROR(IF(ISNUMBER(BS15),INDEX('1 ubicaciones'!$K$2:$K$22,BS15 + 1)," ")," ")</f>
        <v xml:space="preserve"> </v>
      </c>
      <c r="CB15" s="58" t="str">
        <f>IFERROR(IF(ISNUMBER(BS15),IF(BR15 = BR5, 0, BZ15 + CB14)," ")," ")</f>
        <v xml:space="preserve"> </v>
      </c>
      <c r="CC15" s="58" t="str">
        <f>IFERROR(IF(ISNUMBER(BS15),IF(BR16 = BR5, 0, IF(BR16 = "", 0, CC16 + CA16))," ")," ")</f>
        <v xml:space="preserve"> </v>
      </c>
      <c r="CD15" s="49" t="str">
        <f t="shared" si="4"/>
        <v xml:space="preserve"> </v>
      </c>
      <c r="CH15" s="23">
        <v>10</v>
      </c>
      <c r="CI15" s="66"/>
      <c r="CJ15" s="49" t="str">
        <f>IFERROR(MATCH(CI15,'1 ubicaciones'!$B$2:$B$22, 0) - 1," ")</f>
        <v xml:space="preserve"> </v>
      </c>
      <c r="CK15" s="58" t="str">
        <f>IFERROR(IF(ISNUMBER(CJ15),INDEX('2.Distancias'!$C$2:$C$1445,CJ14*38+CJ15 + 2) +CK14," ")," ")</f>
        <v xml:space="preserve"> </v>
      </c>
      <c r="CL15" s="64" t="str">
        <f>IFERROR(IF(ISNUMBER(CJ15),'3.Vehículos'!$F$10 * INDEX('2.Distancias'!$D$2:$D$1445,CJ14*38+CJ15 + 2) +CL14," ")," ")</f>
        <v xml:space="preserve"> </v>
      </c>
      <c r="CM15" s="92" t="str">
        <f>IFERROR(IF(ISNUMBER(CJ15),'3.Vehículos'!$F$10 * INDEX('2.Distancias'!$D$2:$D$1445,CJ14*38+CJ15 + 2) +CN14," ")," ")</f>
        <v xml:space="preserve"> </v>
      </c>
      <c r="CN15" s="92" t="str">
        <f>IFERROR(IF(AND(CJ5&lt;&gt;CJ15,ISNUMBER(CM15)),INDEX('1 ubicaciones'!$I$2:$I$22,CJ15 + 1) + MAX(CM15,INDEX('1 ubicaciones'!$F$2:$F$22,CJ15 + 1))," ")," ")</f>
        <v xml:space="preserve"> </v>
      </c>
      <c r="CO15" s="64" t="str">
        <f>IFERROR(IF(AND(CI15 = CI5, CI16 = ""), CM15 - CN5, CN15 - CN5)," ")</f>
        <v xml:space="preserve"> </v>
      </c>
      <c r="CP15" s="49" t="str">
        <f>IFERROR(IF(ISNUMBER(CJ15),INDEX('1 ubicaciones'!$L$2:$L$22,CJ15 + 1) + CP14," ")," ")</f>
        <v xml:space="preserve"> </v>
      </c>
      <c r="CQ15" s="58" t="str">
        <f>IFERROR(IF(ISNUMBER(CJ15),INDEX('1 ubicaciones'!$J$2:$J$22,CJ15 + 1)," ")," ")</f>
        <v xml:space="preserve"> </v>
      </c>
      <c r="CR15" s="58" t="str">
        <f>IFERROR(IF(ISNUMBER(CJ15),INDEX('1 ubicaciones'!$K$2:$K$22,CJ15 + 1)," ")," ")</f>
        <v xml:space="preserve"> </v>
      </c>
      <c r="CS15" s="58" t="str">
        <f>IFERROR(IF(ISNUMBER(CJ15),IF(CI15 = CI5, 0, CQ15 + CS14)," ")," ")</f>
        <v xml:space="preserve"> </v>
      </c>
      <c r="CT15" s="58" t="str">
        <f>IFERROR(IF(ISNUMBER(CJ15),IF(CI16 = CI5, 0, IF(CI16 = "", 0, CT16 + CR16))," ")," ")</f>
        <v xml:space="preserve"> </v>
      </c>
      <c r="CU15" s="49" t="str">
        <f t="shared" si="5"/>
        <v xml:space="preserve"> </v>
      </c>
      <c r="CY15" s="23">
        <v>10</v>
      </c>
      <c r="CZ15" s="66"/>
      <c r="DA15" s="49" t="str">
        <f>IFERROR(MATCH(CZ15,'1 ubicaciones'!$B$2:$B$22, 0) - 1," ")</f>
        <v xml:space="preserve"> </v>
      </c>
      <c r="DB15" s="58" t="str">
        <f>IFERROR(IF(ISNUMBER(DA15),INDEX('2.Distancias'!$C$2:$C$1445,DA14*38+DA15 + 2) +DB14," ")," ")</f>
        <v xml:space="preserve"> </v>
      </c>
      <c r="DC15" s="64" t="str">
        <f>IFERROR(IF(ISNUMBER(DA15),'3.Vehículos'!$F$11 * INDEX('2.Distancias'!$D$2:$D$1445,DA14*38+DA15 + 2) +DC14," ")," ")</f>
        <v xml:space="preserve"> </v>
      </c>
      <c r="DD15" s="92" t="str">
        <f>IFERROR(IF(ISNUMBER(DA15),'3.Vehículos'!$F$11 * INDEX('2.Distancias'!$D$2:$D$1445,DA14*38+DA15 + 2) +DE14," ")," ")</f>
        <v xml:space="preserve"> </v>
      </c>
      <c r="DE15" s="92" t="str">
        <f>IFERROR(IF(AND(DA5&lt;&gt;DA15,ISNUMBER(DD15)),INDEX('1 ubicaciones'!$I$2:$I$22,DA15 + 1) + MAX(DD15,INDEX('1 ubicaciones'!$F$2:$F$22,DA15 + 1))," ")," ")</f>
        <v xml:space="preserve"> </v>
      </c>
      <c r="DF15" s="64" t="str">
        <f>IFERROR(IF(AND(CZ15 = CZ5, CZ16 = ""), DD15 - DE5, DE15 - DE5)," ")</f>
        <v xml:space="preserve"> </v>
      </c>
      <c r="DG15" s="49" t="str">
        <f>IFERROR(IF(ISNUMBER(DA15),INDEX('1 ubicaciones'!$L$2:$L$22,DA15 + 1) + DG14," ")," ")</f>
        <v xml:space="preserve"> </v>
      </c>
      <c r="DH15" s="58" t="str">
        <f>IFERROR(IF(ISNUMBER(DA15),INDEX('1 ubicaciones'!$J$2:$J$22,DA15 + 1)," ")," ")</f>
        <v xml:space="preserve"> </v>
      </c>
      <c r="DI15" s="58" t="str">
        <f>IFERROR(IF(ISNUMBER(DA15),INDEX('1 ubicaciones'!$K$2:$K$22,DA15 + 1)," ")," ")</f>
        <v xml:space="preserve"> </v>
      </c>
      <c r="DJ15" s="58" t="str">
        <f>IFERROR(IF(ISNUMBER(DA15),IF(CZ15 = CZ5, 0, DH15 + DJ14)," ")," ")</f>
        <v xml:space="preserve"> </v>
      </c>
      <c r="DK15" s="58" t="str">
        <f>IFERROR(IF(ISNUMBER(DA15),IF(CZ16 = CZ5, 0, IF(CZ16 = "", 0, DK16 + DI16))," ")," ")</f>
        <v xml:space="preserve"> </v>
      </c>
      <c r="DL15" s="49" t="str">
        <f t="shared" si="6"/>
        <v xml:space="preserve"> </v>
      </c>
      <c r="DP15" s="23">
        <v>10</v>
      </c>
      <c r="DQ15" s="66"/>
      <c r="DR15" s="49" t="str">
        <f>IFERROR(MATCH(DQ15,'1 ubicaciones'!$B$2:$B$22, 0) - 1," ")</f>
        <v xml:space="preserve"> </v>
      </c>
      <c r="DS15" s="58" t="str">
        <f>IFERROR(IF(ISNUMBER(DR15),INDEX('2.Distancias'!$C$2:$C$1445,DR14*38+DR15 + 2) +DS14," ")," ")</f>
        <v xml:space="preserve"> </v>
      </c>
      <c r="DT15" s="64" t="str">
        <f>IFERROR(IF(ISNUMBER(DR15),'3.Vehículos'!$F$18 * INDEX('2.Distancias'!$D$2:$D$1445,DR14*38+DR15 + 2) +DT14," ")," ")</f>
        <v xml:space="preserve"> </v>
      </c>
      <c r="DU15" s="92" t="str">
        <f>IFERROR(IF(ISNUMBER(DR15),'3.Vehículos'!$F$18 * INDEX('2.Distancias'!$D$2:$D$1445,DR14*38+DR15 + 2) +DV14," ")," ")</f>
        <v xml:space="preserve"> </v>
      </c>
      <c r="DV15" s="92" t="str">
        <f>IFERROR(IF(AND(DR5&lt;&gt;DR15,ISNUMBER(DU15)),INDEX('1 ubicaciones'!$I$2:$I$22,DR15 + 1) + MAX(DU15,INDEX('1 ubicaciones'!$F$2:$F$22,DR15 + 1))," ")," ")</f>
        <v xml:space="preserve"> </v>
      </c>
      <c r="DW15" s="64" t="str">
        <f>IFERROR(IF(AND(DQ15 = DQ5, DQ16 = ""), DU15 - DV5, DV15 - DV5)," ")</f>
        <v xml:space="preserve"> </v>
      </c>
      <c r="DX15" s="49" t="str">
        <f>IFERROR(IF(ISNUMBER(DR15),INDEX('1 ubicaciones'!$L$2:$L$22,DR15 + 1) + DX14," ")," ")</f>
        <v xml:space="preserve"> </v>
      </c>
      <c r="DY15" s="58" t="str">
        <f>IFERROR(IF(ISNUMBER(DR15),INDEX('1 ubicaciones'!$J$2:$J$22,DR15 + 1)," ")," ")</f>
        <v xml:space="preserve"> </v>
      </c>
      <c r="DZ15" s="58" t="str">
        <f>IFERROR(IF(ISNUMBER(DR15),INDEX('1 ubicaciones'!$K$2:$K$22,DR15 + 1)," ")," ")</f>
        <v xml:space="preserve"> </v>
      </c>
      <c r="EA15" s="58" t="str">
        <f>IFERROR(IF(ISNUMBER(DR15),IF(DQ15 = DQ5, 0, DY15 + EA14)," ")," ")</f>
        <v xml:space="preserve"> </v>
      </c>
      <c r="EB15" s="58" t="str">
        <f>IFERROR(IF(ISNUMBER(DR15),IF(DQ16 = DQ5, 0, IF(DQ16 = "", 0, EB16 + DZ16))," ")," ")</f>
        <v xml:space="preserve"> </v>
      </c>
      <c r="EC15" s="49" t="str">
        <f t="shared" si="7"/>
        <v xml:space="preserve"> </v>
      </c>
    </row>
    <row r="16" spans="1:133" x14ac:dyDescent="0.25">
      <c r="A16" s="23">
        <v>11</v>
      </c>
      <c r="B16" s="63"/>
      <c r="C16" s="49" t="str">
        <f>IFERROR(MATCH(B16,'1 ubicaciones'!$B$2:$B$22, 0) - 1," ")</f>
        <v xml:space="preserve"> </v>
      </c>
      <c r="D16" s="58" t="str">
        <f>IFERROR(IF(ISNUMBER(C16),INDEX('2.Distancias'!$C$2:$C$1445,C15*38+C16 + 2) +D15," ")," ")</f>
        <v xml:space="preserve"> </v>
      </c>
      <c r="E16" s="64" t="str">
        <f>IFERROR(IF(ISNUMBER(C16),'3.Vehículos'!$F$2 * INDEX('2.Distancias'!$D$2:$D$1445,C15*38+C16 + 2) +E15," ")," ")</f>
        <v xml:space="preserve"> </v>
      </c>
      <c r="F16" s="92" t="str">
        <f>IFERROR(IF(ISNUMBER(C16),'3.Vehículos'!$F$2 * INDEX('2.Distancias'!$D$2:$D$1445,C15*38+C16 + 2) +G15," ")," ")</f>
        <v xml:space="preserve"> </v>
      </c>
      <c r="G16" s="92" t="str">
        <f>IFERROR(IF(AND(C5&lt;&gt;C16,ISNUMBER(F16)),INDEX('1 ubicaciones'!$I$2:$I$22,C16 + 1) + MAX(F16,INDEX('1 ubicaciones'!$F$2:$F$22,C16 + 1))," ")," ")</f>
        <v xml:space="preserve"> </v>
      </c>
      <c r="H16" s="64" t="str">
        <f>IFERROR(IF(AND(B16 = B5, B17 = ""), F16 - G5, G16 - G5)," ")</f>
        <v xml:space="preserve"> </v>
      </c>
      <c r="I16" s="49" t="str">
        <f>IFERROR(IF(ISNUMBER(C16),INDEX('1 ubicaciones'!$L$2:$L$22,C16 + 1) + I15," ")," ")</f>
        <v xml:space="preserve"> </v>
      </c>
      <c r="J16" s="58" t="str">
        <f>IFERROR(IF(ISNUMBER(C16),INDEX('1 ubicaciones'!$J$2:$J$22,C16 + 1)," ")," ")</f>
        <v xml:space="preserve"> </v>
      </c>
      <c r="K16" s="58" t="str">
        <f>IFERROR(IF(ISNUMBER(C16),INDEX('1 ubicaciones'!$K$2:$K$22,C16 + 1)," ")," ")</f>
        <v xml:space="preserve"> </v>
      </c>
      <c r="L16" s="58" t="str">
        <f>IFERROR(IF(ISNUMBER(C16),IF(B16 = B5, 0, J16 + L15)," ")," ")</f>
        <v xml:space="preserve"> </v>
      </c>
      <c r="M16" s="58" t="str">
        <f>IFERROR(IF(ISNUMBER(C16),IF(B17 = B5, 0, IF(B17 = "", 0, M17 + K17))," ")," ")</f>
        <v xml:space="preserve"> </v>
      </c>
      <c r="N16" s="49" t="str">
        <f t="shared" si="0"/>
        <v xml:space="preserve"> </v>
      </c>
      <c r="R16" s="23">
        <v>11</v>
      </c>
      <c r="S16" s="63"/>
      <c r="T16" s="49" t="str">
        <f>IFERROR(MATCH(S16,'1 ubicaciones'!$B$2:$B$22, 0) - 1," ")</f>
        <v xml:space="preserve"> </v>
      </c>
      <c r="U16" s="58" t="str">
        <f>IFERROR(IF(ISNUMBER(T16),INDEX('2.Distancias'!$C$2:$C$1445,T15*38+T16 + 2) +U15," ")," ")</f>
        <v xml:space="preserve"> </v>
      </c>
      <c r="V16" s="64" t="str">
        <f>IFERROR(IF(ISNUMBER(T16),'3.Vehículos'!$F$3 * INDEX('2.Distancias'!$D$2:$D$1445,T15*38+T16 + 2) +V15," ")," ")</f>
        <v xml:space="preserve"> </v>
      </c>
      <c r="W16" s="92" t="str">
        <f>IFERROR(IF(ISNUMBER(T16),'3.Vehículos'!$F$3 * INDEX('2.Distancias'!$D$2:$D$1445,T15*38+T16 + 2) +X15," ")," ")</f>
        <v xml:space="preserve"> </v>
      </c>
      <c r="X16" s="92" t="str">
        <f>IFERROR(IF(AND(T5&lt;&gt;T16,ISNUMBER(W16)),INDEX('1 ubicaciones'!$I$2:$I$22,T16 + 1) + MAX(W16,INDEX('1 ubicaciones'!$F$2:$F$22,T16 + 1))," ")," ")</f>
        <v xml:space="preserve"> </v>
      </c>
      <c r="Y16" s="64" t="str">
        <f>IFERROR(IF(AND(S16 = S5, S17 = ""), W16 - X5, X16 - X5)," ")</f>
        <v xml:space="preserve"> </v>
      </c>
      <c r="Z16" s="49" t="str">
        <f>IFERROR(IF(ISNUMBER(T16),INDEX('1 ubicaciones'!$L$2:$L$22,T16 + 1) + Z15," ")," ")</f>
        <v xml:space="preserve"> </v>
      </c>
      <c r="AA16" s="58" t="str">
        <f>IFERROR(IF(ISNUMBER(T16),INDEX('1 ubicaciones'!$J$2:$J$22,T16 + 1)," ")," ")</f>
        <v xml:space="preserve"> </v>
      </c>
      <c r="AB16" s="58" t="str">
        <f>IFERROR(IF(ISNUMBER(T16),INDEX('1 ubicaciones'!$K$2:$K$22,T16 + 1)," ")," ")</f>
        <v xml:space="preserve"> </v>
      </c>
      <c r="AC16" s="58" t="str">
        <f>IFERROR(IF(ISNUMBER(T16),IF(S16 = S5, 0, AA16 + AC15)," ")," ")</f>
        <v xml:space="preserve"> </v>
      </c>
      <c r="AD16" s="58" t="str">
        <f>IFERROR(IF(ISNUMBER(T16),IF(S17 = S5, 0, IF(S17 = "", 0, AD17 + AB17))," ")," ")</f>
        <v xml:space="preserve"> </v>
      </c>
      <c r="AE16" s="49" t="str">
        <f t="shared" si="1"/>
        <v xml:space="preserve"> </v>
      </c>
      <c r="AI16" s="23">
        <v>11</v>
      </c>
      <c r="AJ16" s="63"/>
      <c r="AK16" s="49" t="str">
        <f>IFERROR(MATCH(AJ16,'1 ubicaciones'!$B$2:$B$22, 0) - 1," ")</f>
        <v xml:space="preserve"> </v>
      </c>
      <c r="AL16" s="58" t="str">
        <f>IFERROR(IF(ISNUMBER(AK16),INDEX('2.Distancias'!$C$2:$C$1445,AK15*38+AK16 + 2) +AL15," ")," ")</f>
        <v xml:space="preserve"> </v>
      </c>
      <c r="AM16" s="64" t="str">
        <f>IFERROR(IF(ISNUMBER(AK16),'3.Vehículos'!$F$4 * INDEX('2.Distancias'!$D$2:$D$1445,AK15*38+AK16 + 2) +AM15," ")," ")</f>
        <v xml:space="preserve"> </v>
      </c>
      <c r="AN16" s="92" t="str">
        <f>IFERROR(IF(ISNUMBER(AK16),'3.Vehículos'!$F$4 * INDEX('2.Distancias'!$D$2:$D$1445,AK15*38+AK16 + 2) +AO15," ")," ")</f>
        <v xml:space="preserve"> </v>
      </c>
      <c r="AO16" s="92" t="str">
        <f>IFERROR(IF(AND(AK5&lt;&gt;AK16,ISNUMBER(AN16)),INDEX('1 ubicaciones'!$I$2:$I$22,AK16 + 1) + MAX(AN16,INDEX('1 ubicaciones'!$F$2:$F$22,AK16 + 1))," ")," ")</f>
        <v xml:space="preserve"> </v>
      </c>
      <c r="AP16" s="64" t="str">
        <f>IFERROR(IF(AND(AJ16 = AJ5, AJ17 = ""), AN16 - AO5, AO16 - AO5)," ")</f>
        <v xml:space="preserve"> </v>
      </c>
      <c r="AQ16" s="49" t="str">
        <f>IFERROR(IF(ISNUMBER(AK16),INDEX('1 ubicaciones'!$L$2:$L$22,AK16 + 1) + AQ15," ")," ")</f>
        <v xml:space="preserve"> </v>
      </c>
      <c r="AR16" s="58" t="str">
        <f>IFERROR(IF(ISNUMBER(AK16),INDEX('1 ubicaciones'!$J$2:$J$22,AK16 + 1)," ")," ")</f>
        <v xml:space="preserve"> </v>
      </c>
      <c r="AS16" s="58" t="str">
        <f>IFERROR(IF(ISNUMBER(AK16),INDEX('1 ubicaciones'!$K$2:$K$22,AK16 + 1)," ")," ")</f>
        <v xml:space="preserve"> </v>
      </c>
      <c r="AT16" s="58" t="str">
        <f>IFERROR(IF(ISNUMBER(AK16),IF(AJ16 = AJ5, 0, AR16 + AT15)," ")," ")</f>
        <v xml:space="preserve"> </v>
      </c>
      <c r="AU16" s="58" t="str">
        <f>IFERROR(IF(ISNUMBER(AK16),IF(AJ17 = AJ5, 0, IF(AJ17 = "", 0, AU17 + AS17))," ")," ")</f>
        <v xml:space="preserve"> </v>
      </c>
      <c r="AV16" s="49" t="str">
        <f t="shared" si="2"/>
        <v xml:space="preserve"> </v>
      </c>
      <c r="AZ16" s="23">
        <v>11</v>
      </c>
      <c r="BA16" s="63"/>
      <c r="BB16" s="49" t="str">
        <f>IFERROR(MATCH(BA16,'1 ubicaciones'!$B$2:$B$22, 0) - 1," ")</f>
        <v xml:space="preserve"> </v>
      </c>
      <c r="BC16" s="58" t="str">
        <f>IFERROR(IF(ISNUMBER(BB16),INDEX('2.Distancias'!$C$2:$C$1445,BB15*38+BB16 + 2) +BC15," ")," ")</f>
        <v xml:space="preserve"> </v>
      </c>
      <c r="BD16" s="64" t="str">
        <f>IFERROR(IF(ISNUMBER(BB16),'3.Vehículos'!$F$5 * INDEX('2.Distancias'!$D$2:$D$1445,BB15*38+BB16 + 2) +BD15," ")," ")</f>
        <v xml:space="preserve"> </v>
      </c>
      <c r="BE16" s="92" t="str">
        <f>IFERROR(IF(ISNUMBER(BB16),'3.Vehículos'!$F$5 * INDEX('2.Distancias'!$D$2:$D$1445,BB15*38+BB16 + 2) +BF15," ")," ")</f>
        <v xml:space="preserve"> </v>
      </c>
      <c r="BF16" s="92" t="str">
        <f>IFERROR(IF(AND(BB5&lt;&gt;BB16,ISNUMBER(BE16)),INDEX('1 ubicaciones'!$I$2:$I$22,BB16 + 1) + MAX(BE16,INDEX('1 ubicaciones'!$F$2:$F$22,BB16 + 1))," ")," ")</f>
        <v xml:space="preserve"> </v>
      </c>
      <c r="BG16" s="64" t="str">
        <f>IFERROR(IF(AND(BA16 = BA5, BA17 = ""), BE16 - BF5, BF16 - BF5)," ")</f>
        <v xml:space="preserve"> </v>
      </c>
      <c r="BH16" s="49" t="str">
        <f>IFERROR(IF(ISNUMBER(BB16),INDEX('1 ubicaciones'!$L$2:$L$22,BB16 + 1) + BH15," ")," ")</f>
        <v xml:space="preserve"> </v>
      </c>
      <c r="BI16" s="58" t="str">
        <f>IFERROR(IF(ISNUMBER(BB16),INDEX('1 ubicaciones'!$J$2:$J$22,BB16 + 1)," ")," ")</f>
        <v xml:space="preserve"> </v>
      </c>
      <c r="BJ16" s="58" t="str">
        <f>IFERROR(IF(ISNUMBER(BB16),INDEX('1 ubicaciones'!$K$2:$K$22,BB16 + 1)," ")," ")</f>
        <v xml:space="preserve"> </v>
      </c>
      <c r="BK16" s="58" t="str">
        <f>IFERROR(IF(ISNUMBER(BB16),IF(BA16 = BA5, 0, BI16 + BK15)," ")," ")</f>
        <v xml:space="preserve"> </v>
      </c>
      <c r="BL16" s="58" t="str">
        <f>IFERROR(IF(ISNUMBER(BB16),IF(BA17 = BA5, 0, IF(BA17 = "", 0, BL17 + BJ17))," ")," ")</f>
        <v xml:space="preserve"> </v>
      </c>
      <c r="BM16" s="49" t="str">
        <f t="shared" si="3"/>
        <v xml:space="preserve"> </v>
      </c>
      <c r="BQ16" s="23">
        <v>11</v>
      </c>
      <c r="BR16" s="63"/>
      <c r="BS16" s="49" t="str">
        <f>IFERROR(MATCH(BR16,'1 ubicaciones'!$B$2:$B$22, 0) - 1," ")</f>
        <v xml:space="preserve"> </v>
      </c>
      <c r="BT16" s="58" t="str">
        <f>IFERROR(IF(ISNUMBER(BS16),INDEX('2.Distancias'!$C$2:$C$1445,BS15*38+BS16 + 2) +BT15," ")," ")</f>
        <v xml:space="preserve"> </v>
      </c>
      <c r="BU16" s="64" t="str">
        <f>IFERROR(IF(ISNUMBER(BS16),'3.Vehículos'!$F$6 * INDEX('2.Distancias'!$D$2:$D$1445,BS15*38+BS16 + 2) +BU15," ")," ")</f>
        <v xml:space="preserve"> </v>
      </c>
      <c r="BV16" s="92" t="str">
        <f>IFERROR(IF(ISNUMBER(BS16),'3.Vehículos'!$F$6 * INDEX('2.Distancias'!$D$2:$D$1445,BS15*38+BS16 + 2) +BW15," ")," ")</f>
        <v xml:space="preserve"> </v>
      </c>
      <c r="BW16" s="92" t="str">
        <f>IFERROR(IF(AND(BS5&lt;&gt;BS16,ISNUMBER(BV16)),INDEX('1 ubicaciones'!$I$2:$I$22,BS16 + 1) + MAX(BV16,INDEX('1 ubicaciones'!$F$2:$F$22,BS16 + 1))," ")," ")</f>
        <v xml:space="preserve"> </v>
      </c>
      <c r="BX16" s="64" t="str">
        <f>IFERROR(IF(AND(BR16 = BR5, BR17 = ""), BV16 - BW5, BW16 - BW5)," ")</f>
        <v xml:space="preserve"> </v>
      </c>
      <c r="BY16" s="49" t="str">
        <f>IFERROR(IF(ISNUMBER(BS16),INDEX('1 ubicaciones'!$L$2:$L$22,BS16 + 1) + BY15," ")," ")</f>
        <v xml:space="preserve"> </v>
      </c>
      <c r="BZ16" s="58" t="str">
        <f>IFERROR(IF(ISNUMBER(BS16),INDEX('1 ubicaciones'!$J$2:$J$22,BS16 + 1)," ")," ")</f>
        <v xml:space="preserve"> </v>
      </c>
      <c r="CA16" s="58" t="str">
        <f>IFERROR(IF(ISNUMBER(BS16),INDEX('1 ubicaciones'!$K$2:$K$22,BS16 + 1)," ")," ")</f>
        <v xml:space="preserve"> </v>
      </c>
      <c r="CB16" s="58" t="str">
        <f>IFERROR(IF(ISNUMBER(BS16),IF(BR16 = BR5, 0, BZ16 + CB15)," ")," ")</f>
        <v xml:space="preserve"> </v>
      </c>
      <c r="CC16" s="58" t="str">
        <f>IFERROR(IF(ISNUMBER(BS16),IF(BR17 = BR5, 0, IF(BR17 = "", 0, CC17 + CA17))," ")," ")</f>
        <v xml:space="preserve"> </v>
      </c>
      <c r="CD16" s="49" t="str">
        <f t="shared" si="4"/>
        <v xml:space="preserve"> </v>
      </c>
      <c r="CH16" s="23">
        <v>11</v>
      </c>
      <c r="CI16" s="63"/>
      <c r="CJ16" s="49" t="str">
        <f>IFERROR(MATCH(CI16,'1 ubicaciones'!$B$2:$B$22, 0) - 1," ")</f>
        <v xml:space="preserve"> </v>
      </c>
      <c r="CK16" s="58" t="str">
        <f>IFERROR(IF(ISNUMBER(CJ16),INDEX('2.Distancias'!$C$2:$C$1445,CJ15*38+CJ16 + 2) +CK15," ")," ")</f>
        <v xml:space="preserve"> </v>
      </c>
      <c r="CL16" s="64" t="str">
        <f>IFERROR(IF(ISNUMBER(CJ16),'3.Vehículos'!$F$10 * INDEX('2.Distancias'!$D$2:$D$1445,CJ15*38+CJ16 + 2) +CL15," ")," ")</f>
        <v xml:space="preserve"> </v>
      </c>
      <c r="CM16" s="92" t="str">
        <f>IFERROR(IF(ISNUMBER(CJ16),'3.Vehículos'!$F$10 * INDEX('2.Distancias'!$D$2:$D$1445,CJ15*38+CJ16 + 2) +CN15," ")," ")</f>
        <v xml:space="preserve"> </v>
      </c>
      <c r="CN16" s="92" t="str">
        <f>IFERROR(IF(AND(CJ5&lt;&gt;CJ16,ISNUMBER(CM16)),INDEX('1 ubicaciones'!$I$2:$I$22,CJ16 + 1) + MAX(CM16,INDEX('1 ubicaciones'!$F$2:$F$22,CJ16 + 1))," ")," ")</f>
        <v xml:space="preserve"> </v>
      </c>
      <c r="CO16" s="64" t="str">
        <f>IFERROR(IF(AND(CI16 = CI5, CI17 = ""), CM16 - CN5, CN16 - CN5)," ")</f>
        <v xml:space="preserve"> </v>
      </c>
      <c r="CP16" s="49" t="str">
        <f>IFERROR(IF(ISNUMBER(CJ16),INDEX('1 ubicaciones'!$L$2:$L$22,CJ16 + 1) + CP15," ")," ")</f>
        <v xml:space="preserve"> </v>
      </c>
      <c r="CQ16" s="58" t="str">
        <f>IFERROR(IF(ISNUMBER(CJ16),INDEX('1 ubicaciones'!$J$2:$J$22,CJ16 + 1)," ")," ")</f>
        <v xml:space="preserve"> </v>
      </c>
      <c r="CR16" s="58" t="str">
        <f>IFERROR(IF(ISNUMBER(CJ16),INDEX('1 ubicaciones'!$K$2:$K$22,CJ16 + 1)," ")," ")</f>
        <v xml:space="preserve"> </v>
      </c>
      <c r="CS16" s="58" t="str">
        <f>IFERROR(IF(ISNUMBER(CJ16),IF(CI16 = CI5, 0, CQ16 + CS15)," ")," ")</f>
        <v xml:space="preserve"> </v>
      </c>
      <c r="CT16" s="58" t="str">
        <f>IFERROR(IF(ISNUMBER(CJ16),IF(CI17 = CI5, 0, IF(CI17 = "", 0, CT17 + CR17))," ")," ")</f>
        <v xml:space="preserve"> </v>
      </c>
      <c r="CU16" s="49" t="str">
        <f t="shared" si="5"/>
        <v xml:space="preserve"> </v>
      </c>
      <c r="CY16" s="23">
        <v>11</v>
      </c>
      <c r="CZ16" s="63"/>
      <c r="DA16" s="49" t="str">
        <f>IFERROR(MATCH(CZ16,'1 ubicaciones'!$B$2:$B$22, 0) - 1," ")</f>
        <v xml:space="preserve"> </v>
      </c>
      <c r="DB16" s="58" t="str">
        <f>IFERROR(IF(ISNUMBER(DA16),INDEX('2.Distancias'!$C$2:$C$1445,DA15*38+DA16 + 2) +DB15," ")," ")</f>
        <v xml:space="preserve"> </v>
      </c>
      <c r="DC16" s="64" t="str">
        <f>IFERROR(IF(ISNUMBER(DA16),'3.Vehículos'!$F$11 * INDEX('2.Distancias'!$D$2:$D$1445,DA15*38+DA16 + 2) +DC15," ")," ")</f>
        <v xml:space="preserve"> </v>
      </c>
      <c r="DD16" s="92" t="str">
        <f>IFERROR(IF(ISNUMBER(DA16),'3.Vehículos'!$F$11 * INDEX('2.Distancias'!$D$2:$D$1445,DA15*38+DA16 + 2) +DE15," ")," ")</f>
        <v xml:space="preserve"> </v>
      </c>
      <c r="DE16" s="92" t="str">
        <f>IFERROR(IF(AND(DA5&lt;&gt;DA16,ISNUMBER(DD16)),INDEX('1 ubicaciones'!$I$2:$I$22,DA16 + 1) + MAX(DD16,INDEX('1 ubicaciones'!$F$2:$F$22,DA16 + 1))," ")," ")</f>
        <v xml:space="preserve"> </v>
      </c>
      <c r="DF16" s="64" t="str">
        <f>IFERROR(IF(AND(CZ16 = CZ5, CZ17 = ""), DD16 - DE5, DE16 - DE5)," ")</f>
        <v xml:space="preserve"> </v>
      </c>
      <c r="DG16" s="49" t="str">
        <f>IFERROR(IF(ISNUMBER(DA16),INDEX('1 ubicaciones'!$L$2:$L$22,DA16 + 1) + DG15," ")," ")</f>
        <v xml:space="preserve"> </v>
      </c>
      <c r="DH16" s="58" t="str">
        <f>IFERROR(IF(ISNUMBER(DA16),INDEX('1 ubicaciones'!$J$2:$J$22,DA16 + 1)," ")," ")</f>
        <v xml:space="preserve"> </v>
      </c>
      <c r="DI16" s="58" t="str">
        <f>IFERROR(IF(ISNUMBER(DA16),INDEX('1 ubicaciones'!$K$2:$K$22,DA16 + 1)," ")," ")</f>
        <v xml:space="preserve"> </v>
      </c>
      <c r="DJ16" s="58" t="str">
        <f>IFERROR(IF(ISNUMBER(DA16),IF(CZ16 = CZ5, 0, DH16 + DJ15)," ")," ")</f>
        <v xml:space="preserve"> </v>
      </c>
      <c r="DK16" s="58" t="str">
        <f>IFERROR(IF(ISNUMBER(DA16),IF(CZ17 = CZ5, 0, IF(CZ17 = "", 0, DK17 + DI17))," ")," ")</f>
        <v xml:space="preserve"> </v>
      </c>
      <c r="DL16" s="49" t="str">
        <f t="shared" si="6"/>
        <v xml:space="preserve"> </v>
      </c>
      <c r="DP16" s="23">
        <v>11</v>
      </c>
      <c r="DQ16" s="63"/>
      <c r="DR16" s="49" t="str">
        <f>IFERROR(MATCH(DQ16,'1 ubicaciones'!$B$2:$B$22, 0) - 1," ")</f>
        <v xml:space="preserve"> </v>
      </c>
      <c r="DS16" s="58" t="str">
        <f>IFERROR(IF(ISNUMBER(DR16),INDEX('2.Distancias'!$C$2:$C$1445,DR15*38+DR16 + 2) +DS15," ")," ")</f>
        <v xml:space="preserve"> </v>
      </c>
      <c r="DT16" s="64" t="str">
        <f>IFERROR(IF(ISNUMBER(DR16),'3.Vehículos'!$F$18 * INDEX('2.Distancias'!$D$2:$D$1445,DR15*38+DR16 + 2) +DT15," ")," ")</f>
        <v xml:space="preserve"> </v>
      </c>
      <c r="DU16" s="92" t="str">
        <f>IFERROR(IF(ISNUMBER(DR16),'3.Vehículos'!$F$18 * INDEX('2.Distancias'!$D$2:$D$1445,DR15*38+DR16 + 2) +DV15," ")," ")</f>
        <v xml:space="preserve"> </v>
      </c>
      <c r="DV16" s="92" t="str">
        <f>IFERROR(IF(AND(DR5&lt;&gt;DR16,ISNUMBER(DU16)),INDEX('1 ubicaciones'!$I$2:$I$22,DR16 + 1) + MAX(DU16,INDEX('1 ubicaciones'!$F$2:$F$22,DR16 + 1))," ")," ")</f>
        <v xml:space="preserve"> </v>
      </c>
      <c r="DW16" s="64" t="str">
        <f>IFERROR(IF(AND(DQ16 = DQ5, DQ17 = ""), DU16 - DV5, DV16 - DV5)," ")</f>
        <v xml:space="preserve"> </v>
      </c>
      <c r="DX16" s="49" t="str">
        <f>IFERROR(IF(ISNUMBER(DR16),INDEX('1 ubicaciones'!$L$2:$L$22,DR16 + 1) + DX15," ")," ")</f>
        <v xml:space="preserve"> </v>
      </c>
      <c r="DY16" s="58" t="str">
        <f>IFERROR(IF(ISNUMBER(DR16),INDEX('1 ubicaciones'!$J$2:$J$22,DR16 + 1)," ")," ")</f>
        <v xml:space="preserve"> </v>
      </c>
      <c r="DZ16" s="58" t="str">
        <f>IFERROR(IF(ISNUMBER(DR16),INDEX('1 ubicaciones'!$K$2:$K$22,DR16 + 1)," ")," ")</f>
        <v xml:space="preserve"> </v>
      </c>
      <c r="EA16" s="58" t="str">
        <f>IFERROR(IF(ISNUMBER(DR16),IF(DQ16 = DQ5, 0, DY16 + EA15)," ")," ")</f>
        <v xml:space="preserve"> </v>
      </c>
      <c r="EB16" s="58" t="str">
        <f>IFERROR(IF(ISNUMBER(DR16),IF(DQ17 = DQ5, 0, IF(DQ17 = "", 0, EB17 + DZ17))," ")," ")</f>
        <v xml:space="preserve"> </v>
      </c>
      <c r="EC16" s="49" t="str">
        <f t="shared" si="7"/>
        <v xml:space="preserve"> </v>
      </c>
    </row>
    <row r="17" spans="1:133" x14ac:dyDescent="0.25">
      <c r="A17" s="23">
        <v>12</v>
      </c>
      <c r="B17" s="66"/>
      <c r="C17" s="49" t="str">
        <f>IFERROR(MATCH(B17,'1 ubicaciones'!$B$2:$B$22, 0) - 1," ")</f>
        <v xml:space="preserve"> </v>
      </c>
      <c r="D17" s="58" t="str">
        <f>IFERROR(IF(ISNUMBER(C17),INDEX('2.Distancias'!$C$2:$C$1445,C16*38+C17 + 2) +D16," ")," ")</f>
        <v xml:space="preserve"> </v>
      </c>
      <c r="E17" s="64" t="str">
        <f>IFERROR(IF(ISNUMBER(C17),'3.Vehículos'!$F$2 * INDEX('2.Distancias'!$D$2:$D$1445,C16*38+C17 + 2) +E16," ")," ")</f>
        <v xml:space="preserve"> </v>
      </c>
      <c r="F17" s="92" t="str">
        <f>IFERROR(IF(ISNUMBER(C17),'3.Vehículos'!$F$2 * INDEX('2.Distancias'!$D$2:$D$1445,C16*38+C17 + 2) +G16," ")," ")</f>
        <v xml:space="preserve"> </v>
      </c>
      <c r="G17" s="92" t="str">
        <f>IFERROR(IF(AND(C5&lt;&gt;C17,ISNUMBER(F17)),INDEX('1 ubicaciones'!$I$2:$I$22,C17 + 1) + MAX(F17,INDEX('1 ubicaciones'!$F$2:$F$22,C17 + 1))," ")," ")</f>
        <v xml:space="preserve"> </v>
      </c>
      <c r="H17" s="64" t="str">
        <f>IFERROR(IF(AND(B17 = B5, B18 = ""), F17 - G5, G17 - G5)," ")</f>
        <v xml:space="preserve"> </v>
      </c>
      <c r="I17" s="49" t="str">
        <f>IFERROR(IF(ISNUMBER(C17),INDEX('1 ubicaciones'!$L$2:$L$22,C17 + 1) + I16," ")," ")</f>
        <v xml:space="preserve"> </v>
      </c>
      <c r="J17" s="58" t="str">
        <f>IFERROR(IF(ISNUMBER(C17),INDEX('1 ubicaciones'!$J$2:$J$22,C17 + 1)," ")," ")</f>
        <v xml:space="preserve"> </v>
      </c>
      <c r="K17" s="58" t="str">
        <f>IFERROR(IF(ISNUMBER(C17),INDEX('1 ubicaciones'!$K$2:$K$22,C17 + 1)," ")," ")</f>
        <v xml:space="preserve"> </v>
      </c>
      <c r="L17" s="58" t="str">
        <f>IFERROR(IF(ISNUMBER(C17),IF(B17 = B5, 0, J17 + L16)," ")," ")</f>
        <v xml:space="preserve"> </v>
      </c>
      <c r="M17" s="58" t="str">
        <f>IFERROR(IF(ISNUMBER(C17),IF(B18 = B5, 0, IF(B18 = "", 0, M18 + K18))," ")," ")</f>
        <v xml:space="preserve"> </v>
      </c>
      <c r="N17" s="49" t="str">
        <f t="shared" si="0"/>
        <v xml:space="preserve"> </v>
      </c>
      <c r="R17" s="23">
        <v>12</v>
      </c>
      <c r="S17" s="66"/>
      <c r="T17" s="49" t="str">
        <f>IFERROR(MATCH(S17,'1 ubicaciones'!$B$2:$B$22, 0) - 1," ")</f>
        <v xml:space="preserve"> </v>
      </c>
      <c r="U17" s="58" t="str">
        <f>IFERROR(IF(ISNUMBER(T17),INDEX('2.Distancias'!$C$2:$C$1445,T16*38+T17 + 2) +U16," ")," ")</f>
        <v xml:space="preserve"> </v>
      </c>
      <c r="V17" s="64" t="str">
        <f>IFERROR(IF(ISNUMBER(T17),'3.Vehículos'!$F$3 * INDEX('2.Distancias'!$D$2:$D$1445,T16*38+T17 + 2) +V16," ")," ")</f>
        <v xml:space="preserve"> </v>
      </c>
      <c r="W17" s="92" t="str">
        <f>IFERROR(IF(ISNUMBER(T17),'3.Vehículos'!$F$3 * INDEX('2.Distancias'!$D$2:$D$1445,T16*38+T17 + 2) +X16," ")," ")</f>
        <v xml:space="preserve"> </v>
      </c>
      <c r="X17" s="92" t="str">
        <f>IFERROR(IF(AND(T5&lt;&gt;T17,ISNUMBER(W17)),INDEX('1 ubicaciones'!$I$2:$I$22,T17 + 1) + MAX(W17,INDEX('1 ubicaciones'!$F$2:$F$22,T17 + 1))," ")," ")</f>
        <v xml:space="preserve"> </v>
      </c>
      <c r="Y17" s="64" t="str">
        <f>IFERROR(IF(AND(S17 = S5, S18 = ""), W17 - X5, X17 - X5)," ")</f>
        <v xml:space="preserve"> </v>
      </c>
      <c r="Z17" s="49" t="str">
        <f>IFERROR(IF(ISNUMBER(T17),INDEX('1 ubicaciones'!$L$2:$L$22,T17 + 1) + Z16," ")," ")</f>
        <v xml:space="preserve"> </v>
      </c>
      <c r="AA17" s="58" t="str">
        <f>IFERROR(IF(ISNUMBER(T17),INDEX('1 ubicaciones'!$J$2:$J$22,T17 + 1)," ")," ")</f>
        <v xml:space="preserve"> </v>
      </c>
      <c r="AB17" s="58" t="str">
        <f>IFERROR(IF(ISNUMBER(T17),INDEX('1 ubicaciones'!$K$2:$K$22,T17 + 1)," ")," ")</f>
        <v xml:space="preserve"> </v>
      </c>
      <c r="AC17" s="58" t="str">
        <f>IFERROR(IF(ISNUMBER(T17),IF(S17 = S5, 0, AA17 + AC16)," ")," ")</f>
        <v xml:space="preserve"> </v>
      </c>
      <c r="AD17" s="58" t="str">
        <f>IFERROR(IF(ISNUMBER(T17),IF(S18 = S5, 0, IF(S18 = "", 0, AD18 + AB18))," ")," ")</f>
        <v xml:space="preserve"> </v>
      </c>
      <c r="AE17" s="49" t="str">
        <f t="shared" si="1"/>
        <v xml:space="preserve"> </v>
      </c>
      <c r="AI17" s="23">
        <v>12</v>
      </c>
      <c r="AJ17" s="66"/>
      <c r="AK17" s="49" t="str">
        <f>IFERROR(MATCH(AJ17,'1 ubicaciones'!$B$2:$B$22, 0) - 1," ")</f>
        <v xml:space="preserve"> </v>
      </c>
      <c r="AL17" s="58" t="str">
        <f>IFERROR(IF(ISNUMBER(AK17),INDEX('2.Distancias'!$C$2:$C$1445,AK16*38+AK17 + 2) +AL16," ")," ")</f>
        <v xml:space="preserve"> </v>
      </c>
      <c r="AM17" s="64" t="str">
        <f>IFERROR(IF(ISNUMBER(AK17),'3.Vehículos'!$F$4 * INDEX('2.Distancias'!$D$2:$D$1445,AK16*38+AK17 + 2) +AM16," ")," ")</f>
        <v xml:space="preserve"> </v>
      </c>
      <c r="AN17" s="92" t="str">
        <f>IFERROR(IF(ISNUMBER(AK17),'3.Vehículos'!$F$4 * INDEX('2.Distancias'!$D$2:$D$1445,AK16*38+AK17 + 2) +AO16," ")," ")</f>
        <v xml:space="preserve"> </v>
      </c>
      <c r="AO17" s="92" t="str">
        <f>IFERROR(IF(AND(AK5&lt;&gt;AK17,ISNUMBER(AN17)),INDEX('1 ubicaciones'!$I$2:$I$22,AK17 + 1) + MAX(AN17,INDEX('1 ubicaciones'!$F$2:$F$22,AK17 + 1))," ")," ")</f>
        <v xml:space="preserve"> </v>
      </c>
      <c r="AP17" s="64" t="str">
        <f>IFERROR(IF(AND(AJ17 = AJ5, AJ18 = ""), AN17 - AO5, AO17 - AO5)," ")</f>
        <v xml:space="preserve"> </v>
      </c>
      <c r="AQ17" s="49" t="str">
        <f>IFERROR(IF(ISNUMBER(AK17),INDEX('1 ubicaciones'!$L$2:$L$22,AK17 + 1) + AQ16," ")," ")</f>
        <v xml:space="preserve"> </v>
      </c>
      <c r="AR17" s="58" t="str">
        <f>IFERROR(IF(ISNUMBER(AK17),INDEX('1 ubicaciones'!$J$2:$J$22,AK17 + 1)," ")," ")</f>
        <v xml:space="preserve"> </v>
      </c>
      <c r="AS17" s="58" t="str">
        <f>IFERROR(IF(ISNUMBER(AK17),INDEX('1 ubicaciones'!$K$2:$K$22,AK17 + 1)," ")," ")</f>
        <v xml:space="preserve"> </v>
      </c>
      <c r="AT17" s="58" t="str">
        <f>IFERROR(IF(ISNUMBER(AK17),IF(AJ17 = AJ5, 0, AR17 + AT16)," ")," ")</f>
        <v xml:space="preserve"> </v>
      </c>
      <c r="AU17" s="58" t="str">
        <f>IFERROR(IF(ISNUMBER(AK17),IF(AJ18 = AJ5, 0, IF(AJ18 = "", 0, AU18 + AS18))," ")," ")</f>
        <v xml:space="preserve"> </v>
      </c>
      <c r="AV17" s="49" t="str">
        <f t="shared" si="2"/>
        <v xml:space="preserve"> </v>
      </c>
      <c r="AZ17" s="23">
        <v>12</v>
      </c>
      <c r="BA17" s="66"/>
      <c r="BB17" s="49" t="str">
        <f>IFERROR(MATCH(BA17,'1 ubicaciones'!$B$2:$B$22, 0) - 1," ")</f>
        <v xml:space="preserve"> </v>
      </c>
      <c r="BC17" s="58" t="str">
        <f>IFERROR(IF(ISNUMBER(BB17),INDEX('2.Distancias'!$C$2:$C$1445,BB16*38+BB17 + 2) +BC16," ")," ")</f>
        <v xml:space="preserve"> </v>
      </c>
      <c r="BD17" s="64" t="str">
        <f>IFERROR(IF(ISNUMBER(BB17),'3.Vehículos'!$F$5 * INDEX('2.Distancias'!$D$2:$D$1445,BB16*38+BB17 + 2) +BD16," ")," ")</f>
        <v xml:space="preserve"> </v>
      </c>
      <c r="BE17" s="92" t="str">
        <f>IFERROR(IF(ISNUMBER(BB17),'3.Vehículos'!$F$5 * INDEX('2.Distancias'!$D$2:$D$1445,BB16*38+BB17 + 2) +BF16," ")," ")</f>
        <v xml:space="preserve"> </v>
      </c>
      <c r="BF17" s="92" t="str">
        <f>IFERROR(IF(AND(BB5&lt;&gt;BB17,ISNUMBER(BE17)),INDEX('1 ubicaciones'!$I$2:$I$22,BB17 + 1) + MAX(BE17,INDEX('1 ubicaciones'!$F$2:$F$22,BB17 + 1))," ")," ")</f>
        <v xml:space="preserve"> </v>
      </c>
      <c r="BG17" s="64" t="str">
        <f>IFERROR(IF(AND(BA17 = BA5, BA18 = ""), BE17 - BF5, BF17 - BF5)," ")</f>
        <v xml:space="preserve"> </v>
      </c>
      <c r="BH17" s="49" t="str">
        <f>IFERROR(IF(ISNUMBER(BB17),INDEX('1 ubicaciones'!$L$2:$L$22,BB17 + 1) + BH16," ")," ")</f>
        <v xml:space="preserve"> </v>
      </c>
      <c r="BI17" s="58" t="str">
        <f>IFERROR(IF(ISNUMBER(BB17),INDEX('1 ubicaciones'!$J$2:$J$22,BB17 + 1)," ")," ")</f>
        <v xml:space="preserve"> </v>
      </c>
      <c r="BJ17" s="58" t="str">
        <f>IFERROR(IF(ISNUMBER(BB17),INDEX('1 ubicaciones'!$K$2:$K$22,BB17 + 1)," ")," ")</f>
        <v xml:space="preserve"> </v>
      </c>
      <c r="BK17" s="58" t="str">
        <f>IFERROR(IF(ISNUMBER(BB17),IF(BA17 = BA5, 0, BI17 + BK16)," ")," ")</f>
        <v xml:space="preserve"> </v>
      </c>
      <c r="BL17" s="58" t="str">
        <f>IFERROR(IF(ISNUMBER(BB17),IF(BA18 = BA5, 0, IF(BA18 = "", 0, BL18 + BJ18))," ")," ")</f>
        <v xml:space="preserve"> </v>
      </c>
      <c r="BM17" s="49" t="str">
        <f t="shared" si="3"/>
        <v xml:space="preserve"> </v>
      </c>
      <c r="BQ17" s="23">
        <v>12</v>
      </c>
      <c r="BR17" s="66"/>
      <c r="BS17" s="49" t="str">
        <f>IFERROR(MATCH(BR17,'1 ubicaciones'!$B$2:$B$22, 0) - 1," ")</f>
        <v xml:space="preserve"> </v>
      </c>
      <c r="BT17" s="58" t="str">
        <f>IFERROR(IF(ISNUMBER(BS17),INDEX('2.Distancias'!$C$2:$C$1445,BS16*38+BS17 + 2) +BT16," ")," ")</f>
        <v xml:space="preserve"> </v>
      </c>
      <c r="BU17" s="64" t="str">
        <f>IFERROR(IF(ISNUMBER(BS17),'3.Vehículos'!$F$6 * INDEX('2.Distancias'!$D$2:$D$1445,BS16*38+BS17 + 2) +BU16," ")," ")</f>
        <v xml:space="preserve"> </v>
      </c>
      <c r="BV17" s="92" t="str">
        <f>IFERROR(IF(ISNUMBER(BS17),'3.Vehículos'!$F$6 * INDEX('2.Distancias'!$D$2:$D$1445,BS16*38+BS17 + 2) +BW16," ")," ")</f>
        <v xml:space="preserve"> </v>
      </c>
      <c r="BW17" s="92" t="str">
        <f>IFERROR(IF(AND(BS5&lt;&gt;BS17,ISNUMBER(BV17)),INDEX('1 ubicaciones'!$I$2:$I$22,BS17 + 1) + MAX(BV17,INDEX('1 ubicaciones'!$F$2:$F$22,BS17 + 1))," ")," ")</f>
        <v xml:space="preserve"> </v>
      </c>
      <c r="BX17" s="64" t="str">
        <f>IFERROR(IF(AND(BR17 = BR5, BR18 = ""), BV17 - BW5, BW17 - BW5)," ")</f>
        <v xml:space="preserve"> </v>
      </c>
      <c r="BY17" s="49" t="str">
        <f>IFERROR(IF(ISNUMBER(BS17),INDEX('1 ubicaciones'!$L$2:$L$22,BS17 + 1) + BY16," ")," ")</f>
        <v xml:space="preserve"> </v>
      </c>
      <c r="BZ17" s="58" t="str">
        <f>IFERROR(IF(ISNUMBER(BS17),INDEX('1 ubicaciones'!$J$2:$J$22,BS17 + 1)," ")," ")</f>
        <v xml:space="preserve"> </v>
      </c>
      <c r="CA17" s="58" t="str">
        <f>IFERROR(IF(ISNUMBER(BS17),INDEX('1 ubicaciones'!$K$2:$K$22,BS17 + 1)," ")," ")</f>
        <v xml:space="preserve"> </v>
      </c>
      <c r="CB17" s="58" t="str">
        <f>IFERROR(IF(ISNUMBER(BS17),IF(BR17 = BR5, 0, BZ17 + CB16)," ")," ")</f>
        <v xml:space="preserve"> </v>
      </c>
      <c r="CC17" s="58" t="str">
        <f>IFERROR(IF(ISNUMBER(BS17),IF(BR18 = BR5, 0, IF(BR18 = "", 0, CC18 + CA18))," ")," ")</f>
        <v xml:space="preserve"> </v>
      </c>
      <c r="CD17" s="49" t="str">
        <f t="shared" si="4"/>
        <v xml:space="preserve"> </v>
      </c>
      <c r="CH17" s="23">
        <v>12</v>
      </c>
      <c r="CI17" s="66"/>
      <c r="CJ17" s="49" t="str">
        <f>IFERROR(MATCH(CI17,'1 ubicaciones'!$B$2:$B$22, 0) - 1," ")</f>
        <v xml:space="preserve"> </v>
      </c>
      <c r="CK17" s="58" t="str">
        <f>IFERROR(IF(ISNUMBER(CJ17),INDEX('2.Distancias'!$C$2:$C$1445,CJ16*38+CJ17 + 2) +CK16," ")," ")</f>
        <v xml:space="preserve"> </v>
      </c>
      <c r="CL17" s="64" t="str">
        <f>IFERROR(IF(ISNUMBER(CJ17),'3.Vehículos'!$F$10 * INDEX('2.Distancias'!$D$2:$D$1445,CJ16*38+CJ17 + 2) +CL16," ")," ")</f>
        <v xml:space="preserve"> </v>
      </c>
      <c r="CM17" s="92" t="str">
        <f>IFERROR(IF(ISNUMBER(CJ17),'3.Vehículos'!$F$10 * INDEX('2.Distancias'!$D$2:$D$1445,CJ16*38+CJ17 + 2) +CN16," ")," ")</f>
        <v xml:space="preserve"> </v>
      </c>
      <c r="CN17" s="92" t="str">
        <f>IFERROR(IF(AND(CJ5&lt;&gt;CJ17,ISNUMBER(CM17)),INDEX('1 ubicaciones'!$I$2:$I$22,CJ17 + 1) + MAX(CM17,INDEX('1 ubicaciones'!$F$2:$F$22,CJ17 + 1))," ")," ")</f>
        <v xml:space="preserve"> </v>
      </c>
      <c r="CO17" s="64" t="str">
        <f>IFERROR(IF(AND(CI17 = CI5, CI18 = ""), CM17 - CN5, CN17 - CN5)," ")</f>
        <v xml:space="preserve"> </v>
      </c>
      <c r="CP17" s="49" t="str">
        <f>IFERROR(IF(ISNUMBER(CJ17),INDEX('1 ubicaciones'!$L$2:$L$22,CJ17 + 1) + CP16," ")," ")</f>
        <v xml:space="preserve"> </v>
      </c>
      <c r="CQ17" s="58" t="str">
        <f>IFERROR(IF(ISNUMBER(CJ17),INDEX('1 ubicaciones'!$J$2:$J$22,CJ17 + 1)," ")," ")</f>
        <v xml:space="preserve"> </v>
      </c>
      <c r="CR17" s="58" t="str">
        <f>IFERROR(IF(ISNUMBER(CJ17),INDEX('1 ubicaciones'!$K$2:$K$22,CJ17 + 1)," ")," ")</f>
        <v xml:space="preserve"> </v>
      </c>
      <c r="CS17" s="58" t="str">
        <f>IFERROR(IF(ISNUMBER(CJ17),IF(CI17 = CI5, 0, CQ17 + CS16)," ")," ")</f>
        <v xml:space="preserve"> </v>
      </c>
      <c r="CT17" s="58" t="str">
        <f>IFERROR(IF(ISNUMBER(CJ17),IF(CI18 = CI5, 0, IF(CI18 = "", 0, CT18 + CR18))," ")," ")</f>
        <v xml:space="preserve"> </v>
      </c>
      <c r="CU17" s="49" t="str">
        <f t="shared" si="5"/>
        <v xml:space="preserve"> </v>
      </c>
      <c r="CY17" s="23">
        <v>12</v>
      </c>
      <c r="CZ17" s="66"/>
      <c r="DA17" s="49" t="str">
        <f>IFERROR(MATCH(CZ17,'1 ubicaciones'!$B$2:$B$22, 0) - 1," ")</f>
        <v xml:space="preserve"> </v>
      </c>
      <c r="DB17" s="58" t="str">
        <f>IFERROR(IF(ISNUMBER(DA17),INDEX('2.Distancias'!$C$2:$C$1445,DA16*38+DA17 + 2) +DB16," ")," ")</f>
        <v xml:space="preserve"> </v>
      </c>
      <c r="DC17" s="64" t="str">
        <f>IFERROR(IF(ISNUMBER(DA17),'3.Vehículos'!$F$11 * INDEX('2.Distancias'!$D$2:$D$1445,DA16*38+DA17 + 2) +DC16," ")," ")</f>
        <v xml:space="preserve"> </v>
      </c>
      <c r="DD17" s="92" t="str">
        <f>IFERROR(IF(ISNUMBER(DA17),'3.Vehículos'!$F$11 * INDEX('2.Distancias'!$D$2:$D$1445,DA16*38+DA17 + 2) +DE16," ")," ")</f>
        <v xml:space="preserve"> </v>
      </c>
      <c r="DE17" s="92" t="str">
        <f>IFERROR(IF(AND(DA5&lt;&gt;DA17,ISNUMBER(DD17)),INDEX('1 ubicaciones'!$I$2:$I$22,DA17 + 1) + MAX(DD17,INDEX('1 ubicaciones'!$F$2:$F$22,DA17 + 1))," ")," ")</f>
        <v xml:space="preserve"> </v>
      </c>
      <c r="DF17" s="64" t="str">
        <f>IFERROR(IF(AND(CZ17 = CZ5, CZ18 = ""), DD17 - DE5, DE17 - DE5)," ")</f>
        <v xml:space="preserve"> </v>
      </c>
      <c r="DG17" s="49" t="str">
        <f>IFERROR(IF(ISNUMBER(DA17),INDEX('1 ubicaciones'!$L$2:$L$22,DA17 + 1) + DG16," ")," ")</f>
        <v xml:space="preserve"> </v>
      </c>
      <c r="DH17" s="58" t="str">
        <f>IFERROR(IF(ISNUMBER(DA17),INDEX('1 ubicaciones'!$J$2:$J$22,DA17 + 1)," ")," ")</f>
        <v xml:space="preserve"> </v>
      </c>
      <c r="DI17" s="58" t="str">
        <f>IFERROR(IF(ISNUMBER(DA17),INDEX('1 ubicaciones'!$K$2:$K$22,DA17 + 1)," ")," ")</f>
        <v xml:space="preserve"> </v>
      </c>
      <c r="DJ17" s="58" t="str">
        <f>IFERROR(IF(ISNUMBER(DA17),IF(CZ17 = CZ5, 0, DH17 + DJ16)," ")," ")</f>
        <v xml:space="preserve"> </v>
      </c>
      <c r="DK17" s="58" t="str">
        <f>IFERROR(IF(ISNUMBER(DA17),IF(CZ18 = CZ5, 0, IF(CZ18 = "", 0, DK18 + DI18))," ")," ")</f>
        <v xml:space="preserve"> </v>
      </c>
      <c r="DL17" s="49" t="str">
        <f t="shared" si="6"/>
        <v xml:space="preserve"> </v>
      </c>
      <c r="DP17" s="23">
        <v>12</v>
      </c>
      <c r="DQ17" s="66"/>
      <c r="DR17" s="49" t="str">
        <f>IFERROR(MATCH(DQ17,'1 ubicaciones'!$B$2:$B$22, 0) - 1," ")</f>
        <v xml:space="preserve"> </v>
      </c>
      <c r="DS17" s="58" t="str">
        <f>IFERROR(IF(ISNUMBER(DR17),INDEX('2.Distancias'!$C$2:$C$1445,DR16*38+DR17 + 2) +DS16," ")," ")</f>
        <v xml:space="preserve"> </v>
      </c>
      <c r="DT17" s="64" t="str">
        <f>IFERROR(IF(ISNUMBER(DR17),'3.Vehículos'!$F$18 * INDEX('2.Distancias'!$D$2:$D$1445,DR16*38+DR17 + 2) +DT16," ")," ")</f>
        <v xml:space="preserve"> </v>
      </c>
      <c r="DU17" s="92" t="str">
        <f>IFERROR(IF(ISNUMBER(DR17),'3.Vehículos'!$F$18 * INDEX('2.Distancias'!$D$2:$D$1445,DR16*38+DR17 + 2) +DV16," ")," ")</f>
        <v xml:space="preserve"> </v>
      </c>
      <c r="DV17" s="92" t="str">
        <f>IFERROR(IF(AND(DR5&lt;&gt;DR17,ISNUMBER(DU17)),INDEX('1 ubicaciones'!$I$2:$I$22,DR17 + 1) + MAX(DU17,INDEX('1 ubicaciones'!$F$2:$F$22,DR17 + 1))," ")," ")</f>
        <v xml:space="preserve"> </v>
      </c>
      <c r="DW17" s="64" t="str">
        <f>IFERROR(IF(AND(DQ17 = DQ5, DQ18 = ""), DU17 - DV5, DV17 - DV5)," ")</f>
        <v xml:space="preserve"> </v>
      </c>
      <c r="DX17" s="49" t="str">
        <f>IFERROR(IF(ISNUMBER(DR17),INDEX('1 ubicaciones'!$L$2:$L$22,DR17 + 1) + DX16," ")," ")</f>
        <v xml:space="preserve"> </v>
      </c>
      <c r="DY17" s="58" t="str">
        <f>IFERROR(IF(ISNUMBER(DR17),INDEX('1 ubicaciones'!$J$2:$J$22,DR17 + 1)," ")," ")</f>
        <v xml:space="preserve"> </v>
      </c>
      <c r="DZ17" s="58" t="str">
        <f>IFERROR(IF(ISNUMBER(DR17),INDEX('1 ubicaciones'!$K$2:$K$22,DR17 + 1)," ")," ")</f>
        <v xml:space="preserve"> </v>
      </c>
      <c r="EA17" s="58" t="str">
        <f>IFERROR(IF(ISNUMBER(DR17),IF(DQ17 = DQ5, 0, DY17 + EA16)," ")," ")</f>
        <v xml:space="preserve"> </v>
      </c>
      <c r="EB17" s="58" t="str">
        <f>IFERROR(IF(ISNUMBER(DR17),IF(DQ18 = DQ5, 0, IF(DQ18 = "", 0, EB18 + DZ18))," ")," ")</f>
        <v xml:space="preserve"> </v>
      </c>
      <c r="EC17" s="49" t="str">
        <f t="shared" si="7"/>
        <v xml:space="preserve"> </v>
      </c>
    </row>
    <row r="18" spans="1:133" x14ac:dyDescent="0.25">
      <c r="A18" s="23">
        <v>13</v>
      </c>
      <c r="B18" s="63"/>
      <c r="C18" s="49" t="str">
        <f>IFERROR(MATCH(B18,'1 ubicaciones'!$B$2:$B$22, 0) - 1," ")</f>
        <v xml:space="preserve"> </v>
      </c>
      <c r="D18" s="58" t="str">
        <f>IFERROR(IF(ISNUMBER(C18),INDEX('2.Distancias'!$C$2:$C$1445,C17*38+C18 + 2) +D17," ")," ")</f>
        <v xml:space="preserve"> </v>
      </c>
      <c r="E18" s="64" t="str">
        <f>IFERROR(IF(ISNUMBER(C18),'3.Vehículos'!$F$2 * INDEX('2.Distancias'!$D$2:$D$1445,C17*38+C18 + 2) +E17," ")," ")</f>
        <v xml:space="preserve"> </v>
      </c>
      <c r="F18" s="92" t="str">
        <f>IFERROR(IF(ISNUMBER(C18),'3.Vehículos'!$F$2 * INDEX('2.Distancias'!$D$2:$D$1445,C17*38+C18 + 2) +G17," ")," ")</f>
        <v xml:space="preserve"> </v>
      </c>
      <c r="G18" s="92" t="str">
        <f>IFERROR(IF(AND(C5&lt;&gt;C18,ISNUMBER(F18)),INDEX('1 ubicaciones'!$I$2:$I$22,C18 + 1) + MAX(F18,INDEX('1 ubicaciones'!$F$2:$F$22,C18 + 1))," ")," ")</f>
        <v xml:space="preserve"> </v>
      </c>
      <c r="H18" s="64" t="str">
        <f>IFERROR(IF(AND(B18 = B5, B19 = ""), F18 - G5, G18 - G5)," ")</f>
        <v xml:space="preserve"> </v>
      </c>
      <c r="I18" s="49" t="str">
        <f>IFERROR(IF(ISNUMBER(C18),INDEX('1 ubicaciones'!$L$2:$L$22,C18 + 1) + I17," ")," ")</f>
        <v xml:space="preserve"> </v>
      </c>
      <c r="J18" s="58" t="str">
        <f>IFERROR(IF(ISNUMBER(C18),INDEX('1 ubicaciones'!$J$2:$J$22,C18 + 1)," ")," ")</f>
        <v xml:space="preserve"> </v>
      </c>
      <c r="K18" s="58" t="str">
        <f>IFERROR(IF(ISNUMBER(C18),INDEX('1 ubicaciones'!$K$2:$K$22,C18 + 1)," ")," ")</f>
        <v xml:space="preserve"> </v>
      </c>
      <c r="L18" s="58" t="str">
        <f>IFERROR(IF(ISNUMBER(C18),IF(B18 = B5, 0, J18 + L17)," ")," ")</f>
        <v xml:space="preserve"> </v>
      </c>
      <c r="M18" s="58" t="str">
        <f>IFERROR(IF(ISNUMBER(C18),IF(B19 = B5, 0, IF(B19 = "", 0, M19 + K19))," ")," ")</f>
        <v xml:space="preserve"> </v>
      </c>
      <c r="N18" s="49" t="str">
        <f t="shared" si="0"/>
        <v xml:space="preserve"> </v>
      </c>
      <c r="R18" s="23">
        <v>13</v>
      </c>
      <c r="S18" s="63"/>
      <c r="T18" s="49" t="str">
        <f>IFERROR(MATCH(S18,'1 ubicaciones'!$B$2:$B$22, 0) - 1," ")</f>
        <v xml:space="preserve"> </v>
      </c>
      <c r="U18" s="58" t="str">
        <f>IFERROR(IF(ISNUMBER(T18),INDEX('2.Distancias'!$C$2:$C$1445,T17*38+T18 + 2) +U17," ")," ")</f>
        <v xml:space="preserve"> </v>
      </c>
      <c r="V18" s="64" t="str">
        <f>IFERROR(IF(ISNUMBER(T18),'3.Vehículos'!$F$3 * INDEX('2.Distancias'!$D$2:$D$1445,T17*38+T18 + 2) +V17," ")," ")</f>
        <v xml:space="preserve"> </v>
      </c>
      <c r="W18" s="92" t="str">
        <f>IFERROR(IF(ISNUMBER(T18),'3.Vehículos'!$F$3 * INDEX('2.Distancias'!$D$2:$D$1445,T17*38+T18 + 2) +X17," ")," ")</f>
        <v xml:space="preserve"> </v>
      </c>
      <c r="X18" s="92" t="str">
        <f>IFERROR(IF(AND(T5&lt;&gt;T18,ISNUMBER(W18)),INDEX('1 ubicaciones'!$I$2:$I$22,T18 + 1) + MAX(W18,INDEX('1 ubicaciones'!$F$2:$F$22,T18 + 1))," ")," ")</f>
        <v xml:space="preserve"> </v>
      </c>
      <c r="Y18" s="64" t="str">
        <f>IFERROR(IF(AND(S18 = S5, S19 = ""), W18 - X5, X18 - X5)," ")</f>
        <v xml:space="preserve"> </v>
      </c>
      <c r="Z18" s="49" t="str">
        <f>IFERROR(IF(ISNUMBER(T18),INDEX('1 ubicaciones'!$L$2:$L$22,T18 + 1) + Z17," ")," ")</f>
        <v xml:space="preserve"> </v>
      </c>
      <c r="AA18" s="58" t="str">
        <f>IFERROR(IF(ISNUMBER(T18),INDEX('1 ubicaciones'!$J$2:$J$22,T18 + 1)," ")," ")</f>
        <v xml:space="preserve"> </v>
      </c>
      <c r="AB18" s="58" t="str">
        <f>IFERROR(IF(ISNUMBER(T18),INDEX('1 ubicaciones'!$K$2:$K$22,T18 + 1)," ")," ")</f>
        <v xml:space="preserve"> </v>
      </c>
      <c r="AC18" s="58" t="str">
        <f>IFERROR(IF(ISNUMBER(T18),IF(S18 = S5, 0, AA18 + AC17)," ")," ")</f>
        <v xml:space="preserve"> </v>
      </c>
      <c r="AD18" s="58" t="str">
        <f>IFERROR(IF(ISNUMBER(T18),IF(S19 = S5, 0, IF(S19 = "", 0, AD19 + AB19))," ")," ")</f>
        <v xml:space="preserve"> </v>
      </c>
      <c r="AE18" s="49" t="str">
        <f t="shared" si="1"/>
        <v xml:space="preserve"> </v>
      </c>
      <c r="AI18" s="23">
        <v>13</v>
      </c>
      <c r="AJ18" s="63"/>
      <c r="AK18" s="49" t="str">
        <f>IFERROR(MATCH(AJ18,'1 ubicaciones'!$B$2:$B$22, 0) - 1," ")</f>
        <v xml:space="preserve"> </v>
      </c>
      <c r="AL18" s="58" t="str">
        <f>IFERROR(IF(ISNUMBER(AK18),INDEX('2.Distancias'!$C$2:$C$1445,AK17*38+AK18 + 2) +AL17," ")," ")</f>
        <v xml:space="preserve"> </v>
      </c>
      <c r="AM18" s="64" t="str">
        <f>IFERROR(IF(ISNUMBER(AK18),'3.Vehículos'!$F$4 * INDEX('2.Distancias'!$D$2:$D$1445,AK17*38+AK18 + 2) +AM17," ")," ")</f>
        <v xml:space="preserve"> </v>
      </c>
      <c r="AN18" s="92" t="str">
        <f>IFERROR(IF(ISNUMBER(AK18),'3.Vehículos'!$F$4 * INDEX('2.Distancias'!$D$2:$D$1445,AK17*38+AK18 + 2) +AO17," ")," ")</f>
        <v xml:space="preserve"> </v>
      </c>
      <c r="AO18" s="92" t="str">
        <f>IFERROR(IF(AND(AK5&lt;&gt;AK18,ISNUMBER(AN18)),INDEX('1 ubicaciones'!$I$2:$I$22,AK18 + 1) + MAX(AN18,INDEX('1 ubicaciones'!$F$2:$F$22,AK18 + 1))," ")," ")</f>
        <v xml:space="preserve"> </v>
      </c>
      <c r="AP18" s="64" t="str">
        <f>IFERROR(IF(AND(AJ18 = AJ5, AJ19 = ""), AN18 - AO5, AO18 - AO5)," ")</f>
        <v xml:space="preserve"> </v>
      </c>
      <c r="AQ18" s="49" t="str">
        <f>IFERROR(IF(ISNUMBER(AK18),INDEX('1 ubicaciones'!$L$2:$L$22,AK18 + 1) + AQ17," ")," ")</f>
        <v xml:space="preserve"> </v>
      </c>
      <c r="AR18" s="58" t="str">
        <f>IFERROR(IF(ISNUMBER(AK18),INDEX('1 ubicaciones'!$J$2:$J$22,AK18 + 1)," ")," ")</f>
        <v xml:space="preserve"> </v>
      </c>
      <c r="AS18" s="58" t="str">
        <f>IFERROR(IF(ISNUMBER(AK18),INDEX('1 ubicaciones'!$K$2:$K$22,AK18 + 1)," ")," ")</f>
        <v xml:space="preserve"> </v>
      </c>
      <c r="AT18" s="58" t="str">
        <f>IFERROR(IF(ISNUMBER(AK18),IF(AJ18 = AJ5, 0, AR18 + AT17)," ")," ")</f>
        <v xml:space="preserve"> </v>
      </c>
      <c r="AU18" s="58" t="str">
        <f>IFERROR(IF(ISNUMBER(AK18),IF(AJ19 = AJ5, 0, IF(AJ19 = "", 0, AU19 + AS19))," ")," ")</f>
        <v xml:space="preserve"> </v>
      </c>
      <c r="AV18" s="49" t="str">
        <f t="shared" si="2"/>
        <v xml:space="preserve"> </v>
      </c>
      <c r="AZ18" s="23">
        <v>13</v>
      </c>
      <c r="BA18" s="63"/>
      <c r="BB18" s="49" t="str">
        <f>IFERROR(MATCH(BA18,'1 ubicaciones'!$B$2:$B$22, 0) - 1," ")</f>
        <v xml:space="preserve"> </v>
      </c>
      <c r="BC18" s="58" t="str">
        <f>IFERROR(IF(ISNUMBER(BB18),INDEX('2.Distancias'!$C$2:$C$1445,BB17*38+BB18 + 2) +BC17," ")," ")</f>
        <v xml:space="preserve"> </v>
      </c>
      <c r="BD18" s="64" t="str">
        <f>IFERROR(IF(ISNUMBER(BB18),'3.Vehículos'!$F$5 * INDEX('2.Distancias'!$D$2:$D$1445,BB17*38+BB18 + 2) +BD17," ")," ")</f>
        <v xml:space="preserve"> </v>
      </c>
      <c r="BE18" s="92" t="str">
        <f>IFERROR(IF(ISNUMBER(BB18),'3.Vehículos'!$F$5 * INDEX('2.Distancias'!$D$2:$D$1445,BB17*38+BB18 + 2) +BF17," ")," ")</f>
        <v xml:space="preserve"> </v>
      </c>
      <c r="BF18" s="92" t="str">
        <f>IFERROR(IF(AND(BB5&lt;&gt;BB18,ISNUMBER(BE18)),INDEX('1 ubicaciones'!$I$2:$I$22,BB18 + 1) + MAX(BE18,INDEX('1 ubicaciones'!$F$2:$F$22,BB18 + 1))," ")," ")</f>
        <v xml:space="preserve"> </v>
      </c>
      <c r="BG18" s="64" t="str">
        <f>IFERROR(IF(AND(BA18 = BA5, BA19 = ""), BE18 - BF5, BF18 - BF5)," ")</f>
        <v xml:space="preserve"> </v>
      </c>
      <c r="BH18" s="49" t="str">
        <f>IFERROR(IF(ISNUMBER(BB18),INDEX('1 ubicaciones'!$L$2:$L$22,BB18 + 1) + BH17," ")," ")</f>
        <v xml:space="preserve"> </v>
      </c>
      <c r="BI18" s="58" t="str">
        <f>IFERROR(IF(ISNUMBER(BB18),INDEX('1 ubicaciones'!$J$2:$J$22,BB18 + 1)," ")," ")</f>
        <v xml:space="preserve"> </v>
      </c>
      <c r="BJ18" s="58" t="str">
        <f>IFERROR(IF(ISNUMBER(BB18),INDEX('1 ubicaciones'!$K$2:$K$22,BB18 + 1)," ")," ")</f>
        <v xml:space="preserve"> </v>
      </c>
      <c r="BK18" s="58" t="str">
        <f>IFERROR(IF(ISNUMBER(BB18),IF(BA18 = BA5, 0, BI18 + BK17)," ")," ")</f>
        <v xml:space="preserve"> </v>
      </c>
      <c r="BL18" s="58" t="str">
        <f>IFERROR(IF(ISNUMBER(BB18),IF(BA19 = BA5, 0, IF(BA19 = "", 0, BL19 + BJ19))," ")," ")</f>
        <v xml:space="preserve"> </v>
      </c>
      <c r="BM18" s="49" t="str">
        <f t="shared" si="3"/>
        <v xml:space="preserve"> </v>
      </c>
      <c r="BQ18" s="23">
        <v>13</v>
      </c>
      <c r="BR18" s="63"/>
      <c r="BS18" s="49" t="str">
        <f>IFERROR(MATCH(BR18,'1 ubicaciones'!$B$2:$B$22, 0) - 1," ")</f>
        <v xml:space="preserve"> </v>
      </c>
      <c r="BT18" s="58" t="str">
        <f>IFERROR(IF(ISNUMBER(BS18),INDEX('2.Distancias'!$C$2:$C$1445,BS17*38+BS18 + 2) +BT17," ")," ")</f>
        <v xml:space="preserve"> </v>
      </c>
      <c r="BU18" s="64" t="str">
        <f>IFERROR(IF(ISNUMBER(BS18),'3.Vehículos'!$F$6 * INDEX('2.Distancias'!$D$2:$D$1445,BS17*38+BS18 + 2) +BU17," ")," ")</f>
        <v xml:space="preserve"> </v>
      </c>
      <c r="BV18" s="92" t="str">
        <f>IFERROR(IF(ISNUMBER(BS18),'3.Vehículos'!$F$6 * INDEX('2.Distancias'!$D$2:$D$1445,BS17*38+BS18 + 2) +BW17," ")," ")</f>
        <v xml:space="preserve"> </v>
      </c>
      <c r="BW18" s="92" t="str">
        <f>IFERROR(IF(AND(BS5&lt;&gt;BS18,ISNUMBER(BV18)),INDEX('1 ubicaciones'!$I$2:$I$22,BS18 + 1) + MAX(BV18,INDEX('1 ubicaciones'!$F$2:$F$22,BS18 + 1))," ")," ")</f>
        <v xml:space="preserve"> </v>
      </c>
      <c r="BX18" s="64" t="str">
        <f>IFERROR(IF(AND(BR18 = BR5, BR19 = ""), BV18 - BW5, BW18 - BW5)," ")</f>
        <v xml:space="preserve"> </v>
      </c>
      <c r="BY18" s="49" t="str">
        <f>IFERROR(IF(ISNUMBER(BS18),INDEX('1 ubicaciones'!$L$2:$L$22,BS18 + 1) + BY17," ")," ")</f>
        <v xml:space="preserve"> </v>
      </c>
      <c r="BZ18" s="58" t="str">
        <f>IFERROR(IF(ISNUMBER(BS18),INDEX('1 ubicaciones'!$J$2:$J$22,BS18 + 1)," ")," ")</f>
        <v xml:space="preserve"> </v>
      </c>
      <c r="CA18" s="58" t="str">
        <f>IFERROR(IF(ISNUMBER(BS18),INDEX('1 ubicaciones'!$K$2:$K$22,BS18 + 1)," ")," ")</f>
        <v xml:space="preserve"> </v>
      </c>
      <c r="CB18" s="58" t="str">
        <f>IFERROR(IF(ISNUMBER(BS18),IF(BR18 = BR5, 0, BZ18 + CB17)," ")," ")</f>
        <v xml:space="preserve"> </v>
      </c>
      <c r="CC18" s="58" t="str">
        <f>IFERROR(IF(ISNUMBER(BS18),IF(BR19 = BR5, 0, IF(BR19 = "", 0, CC19 + CA19))," ")," ")</f>
        <v xml:space="preserve"> </v>
      </c>
      <c r="CD18" s="49" t="str">
        <f t="shared" si="4"/>
        <v xml:space="preserve"> </v>
      </c>
      <c r="CH18" s="23">
        <v>13</v>
      </c>
      <c r="CI18" s="63"/>
      <c r="CJ18" s="49" t="str">
        <f>IFERROR(MATCH(CI18,'1 ubicaciones'!$B$2:$B$22, 0) - 1," ")</f>
        <v xml:space="preserve"> </v>
      </c>
      <c r="CK18" s="58" t="str">
        <f>IFERROR(IF(ISNUMBER(CJ18),INDEX('2.Distancias'!$C$2:$C$1445,CJ17*38+CJ18 + 2) +CK17," ")," ")</f>
        <v xml:space="preserve"> </v>
      </c>
      <c r="CL18" s="64" t="str">
        <f>IFERROR(IF(ISNUMBER(CJ18),'3.Vehículos'!$F$10 * INDEX('2.Distancias'!$D$2:$D$1445,CJ17*38+CJ18 + 2) +CL17," ")," ")</f>
        <v xml:space="preserve"> </v>
      </c>
      <c r="CM18" s="92" t="str">
        <f>IFERROR(IF(ISNUMBER(CJ18),'3.Vehículos'!$F$10 * INDEX('2.Distancias'!$D$2:$D$1445,CJ17*38+CJ18 + 2) +CN17," ")," ")</f>
        <v xml:space="preserve"> </v>
      </c>
      <c r="CN18" s="92" t="str">
        <f>IFERROR(IF(AND(CJ5&lt;&gt;CJ18,ISNUMBER(CM18)),INDEX('1 ubicaciones'!$I$2:$I$22,CJ18 + 1) + MAX(CM18,INDEX('1 ubicaciones'!$F$2:$F$22,CJ18 + 1))," ")," ")</f>
        <v xml:space="preserve"> </v>
      </c>
      <c r="CO18" s="64" t="str">
        <f>IFERROR(IF(AND(CI18 = CI5, CI19 = ""), CM18 - CN5, CN18 - CN5)," ")</f>
        <v xml:space="preserve"> </v>
      </c>
      <c r="CP18" s="49" t="str">
        <f>IFERROR(IF(ISNUMBER(CJ18),INDEX('1 ubicaciones'!$L$2:$L$22,CJ18 + 1) + CP17," ")," ")</f>
        <v xml:space="preserve"> </v>
      </c>
      <c r="CQ18" s="58" t="str">
        <f>IFERROR(IF(ISNUMBER(CJ18),INDEX('1 ubicaciones'!$J$2:$J$22,CJ18 + 1)," ")," ")</f>
        <v xml:space="preserve"> </v>
      </c>
      <c r="CR18" s="58" t="str">
        <f>IFERROR(IF(ISNUMBER(CJ18),INDEX('1 ubicaciones'!$K$2:$K$22,CJ18 + 1)," ")," ")</f>
        <v xml:space="preserve"> </v>
      </c>
      <c r="CS18" s="58" t="str">
        <f>IFERROR(IF(ISNUMBER(CJ18),IF(CI18 = CI5, 0, CQ18 + CS17)," ")," ")</f>
        <v xml:space="preserve"> </v>
      </c>
      <c r="CT18" s="58" t="str">
        <f>IFERROR(IF(ISNUMBER(CJ18),IF(CI19 = CI5, 0, IF(CI19 = "", 0, CT19 + CR19))," ")," ")</f>
        <v xml:space="preserve"> </v>
      </c>
      <c r="CU18" s="49" t="str">
        <f t="shared" si="5"/>
        <v xml:space="preserve"> </v>
      </c>
      <c r="CY18" s="23">
        <v>13</v>
      </c>
      <c r="CZ18" s="63"/>
      <c r="DA18" s="49" t="str">
        <f>IFERROR(MATCH(CZ18,'1 ubicaciones'!$B$2:$B$22, 0) - 1," ")</f>
        <v xml:space="preserve"> </v>
      </c>
      <c r="DB18" s="58" t="str">
        <f>IFERROR(IF(ISNUMBER(DA18),INDEX('2.Distancias'!$C$2:$C$1445,DA17*38+DA18 + 2) +DB17," ")," ")</f>
        <v xml:space="preserve"> </v>
      </c>
      <c r="DC18" s="64" t="str">
        <f>IFERROR(IF(ISNUMBER(DA18),'3.Vehículos'!$F$11 * INDEX('2.Distancias'!$D$2:$D$1445,DA17*38+DA18 + 2) +DC17," ")," ")</f>
        <v xml:space="preserve"> </v>
      </c>
      <c r="DD18" s="92" t="str">
        <f>IFERROR(IF(ISNUMBER(DA18),'3.Vehículos'!$F$11 * INDEX('2.Distancias'!$D$2:$D$1445,DA17*38+DA18 + 2) +DE17," ")," ")</f>
        <v xml:space="preserve"> </v>
      </c>
      <c r="DE18" s="92" t="str">
        <f>IFERROR(IF(AND(DA5&lt;&gt;DA18,ISNUMBER(DD18)),INDEX('1 ubicaciones'!$I$2:$I$22,DA18 + 1) + MAX(DD18,INDEX('1 ubicaciones'!$F$2:$F$22,DA18 + 1))," ")," ")</f>
        <v xml:space="preserve"> </v>
      </c>
      <c r="DF18" s="64" t="str">
        <f>IFERROR(IF(AND(CZ18 = CZ5, CZ19 = ""), DD18 - DE5, DE18 - DE5)," ")</f>
        <v xml:space="preserve"> </v>
      </c>
      <c r="DG18" s="49" t="str">
        <f>IFERROR(IF(ISNUMBER(DA18),INDEX('1 ubicaciones'!$L$2:$L$22,DA18 + 1) + DG17," ")," ")</f>
        <v xml:space="preserve"> </v>
      </c>
      <c r="DH18" s="58" t="str">
        <f>IFERROR(IF(ISNUMBER(DA18),INDEX('1 ubicaciones'!$J$2:$J$22,DA18 + 1)," ")," ")</f>
        <v xml:space="preserve"> </v>
      </c>
      <c r="DI18" s="58" t="str">
        <f>IFERROR(IF(ISNUMBER(DA18),INDEX('1 ubicaciones'!$K$2:$K$22,DA18 + 1)," ")," ")</f>
        <v xml:space="preserve"> </v>
      </c>
      <c r="DJ18" s="58" t="str">
        <f>IFERROR(IF(ISNUMBER(DA18),IF(CZ18 = CZ5, 0, DH18 + DJ17)," ")," ")</f>
        <v xml:space="preserve"> </v>
      </c>
      <c r="DK18" s="58" t="str">
        <f>IFERROR(IF(ISNUMBER(DA18),IF(CZ19 = CZ5, 0, IF(CZ19 = "", 0, DK19 + DI19))," ")," ")</f>
        <v xml:space="preserve"> </v>
      </c>
      <c r="DL18" s="49" t="str">
        <f t="shared" si="6"/>
        <v xml:space="preserve"> </v>
      </c>
      <c r="DP18" s="23">
        <v>13</v>
      </c>
      <c r="DQ18" s="63"/>
      <c r="DR18" s="49" t="str">
        <f>IFERROR(MATCH(DQ18,'1 ubicaciones'!$B$2:$B$22, 0) - 1," ")</f>
        <v xml:space="preserve"> </v>
      </c>
      <c r="DS18" s="58" t="str">
        <f>IFERROR(IF(ISNUMBER(DR18),INDEX('2.Distancias'!$C$2:$C$1445,DR17*38+DR18 + 2) +DS17," ")," ")</f>
        <v xml:space="preserve"> </v>
      </c>
      <c r="DT18" s="64" t="str">
        <f>IFERROR(IF(ISNUMBER(DR18),'3.Vehículos'!$F$18 * INDEX('2.Distancias'!$D$2:$D$1445,DR17*38+DR18 + 2) +DT17," ")," ")</f>
        <v xml:space="preserve"> </v>
      </c>
      <c r="DU18" s="92" t="str">
        <f>IFERROR(IF(ISNUMBER(DR18),'3.Vehículos'!$F$18 * INDEX('2.Distancias'!$D$2:$D$1445,DR17*38+DR18 + 2) +DV17," ")," ")</f>
        <v xml:space="preserve"> </v>
      </c>
      <c r="DV18" s="92" t="str">
        <f>IFERROR(IF(AND(DR5&lt;&gt;DR18,ISNUMBER(DU18)),INDEX('1 ubicaciones'!$I$2:$I$22,DR18 + 1) + MAX(DU18,INDEX('1 ubicaciones'!$F$2:$F$22,DR18 + 1))," ")," ")</f>
        <v xml:space="preserve"> </v>
      </c>
      <c r="DW18" s="64" t="str">
        <f>IFERROR(IF(AND(DQ18 = DQ5, DQ19 = ""), DU18 - DV5, DV18 - DV5)," ")</f>
        <v xml:space="preserve"> </v>
      </c>
      <c r="DX18" s="49" t="str">
        <f>IFERROR(IF(ISNUMBER(DR18),INDEX('1 ubicaciones'!$L$2:$L$22,DR18 + 1) + DX17," ")," ")</f>
        <v xml:space="preserve"> </v>
      </c>
      <c r="DY18" s="58" t="str">
        <f>IFERROR(IF(ISNUMBER(DR18),INDEX('1 ubicaciones'!$J$2:$J$22,DR18 + 1)," ")," ")</f>
        <v xml:space="preserve"> </v>
      </c>
      <c r="DZ18" s="58" t="str">
        <f>IFERROR(IF(ISNUMBER(DR18),INDEX('1 ubicaciones'!$K$2:$K$22,DR18 + 1)," ")," ")</f>
        <v xml:space="preserve"> </v>
      </c>
      <c r="EA18" s="58" t="str">
        <f>IFERROR(IF(ISNUMBER(DR18),IF(DQ18 = DQ5, 0, DY18 + EA17)," ")," ")</f>
        <v xml:space="preserve"> </v>
      </c>
      <c r="EB18" s="58" t="str">
        <f>IFERROR(IF(ISNUMBER(DR18),IF(DQ19 = DQ5, 0, IF(DQ19 = "", 0, EB19 + DZ19))," ")," ")</f>
        <v xml:space="preserve"> </v>
      </c>
      <c r="EC18" s="49" t="str">
        <f t="shared" si="7"/>
        <v xml:space="preserve"> </v>
      </c>
    </row>
    <row r="19" spans="1:133" x14ac:dyDescent="0.25">
      <c r="A19" s="23">
        <v>14</v>
      </c>
      <c r="B19" s="66"/>
      <c r="C19" s="49" t="str">
        <f>IFERROR(MATCH(B19,'1 ubicaciones'!$B$2:$B$22, 0) - 1," ")</f>
        <v xml:space="preserve"> </v>
      </c>
      <c r="D19" s="58" t="str">
        <f>IFERROR(IF(ISNUMBER(C19),INDEX('2.Distancias'!$C$2:$C$1445,C18*38+C19 + 2) +D18," ")," ")</f>
        <v xml:space="preserve"> </v>
      </c>
      <c r="E19" s="64" t="str">
        <f>IFERROR(IF(ISNUMBER(C19),'3.Vehículos'!$F$2 * INDEX('2.Distancias'!$D$2:$D$1445,C18*38+C19 + 2) +E18," ")," ")</f>
        <v xml:space="preserve"> </v>
      </c>
      <c r="F19" s="92" t="str">
        <f>IFERROR(IF(ISNUMBER(C19),'3.Vehículos'!$F$2 * INDEX('2.Distancias'!$D$2:$D$1445,C18*38+C19 + 2) +G18," ")," ")</f>
        <v xml:space="preserve"> </v>
      </c>
      <c r="G19" s="92" t="str">
        <f>IFERROR(IF(AND(C5&lt;&gt;C19,ISNUMBER(F19)),INDEX('1 ubicaciones'!$I$2:$I$22,C19 + 1) + MAX(F19,INDEX('1 ubicaciones'!$F$2:$F$22,C19 + 1))," ")," ")</f>
        <v xml:space="preserve"> </v>
      </c>
      <c r="H19" s="64" t="str">
        <f>IFERROR(IF(AND(B19 = B5, B20 = ""), F19 - G5, G19 - G5)," ")</f>
        <v xml:space="preserve"> </v>
      </c>
      <c r="I19" s="49" t="str">
        <f>IFERROR(IF(ISNUMBER(C19),INDEX('1 ubicaciones'!$L$2:$L$22,C19 + 1) + I18," ")," ")</f>
        <v xml:space="preserve"> </v>
      </c>
      <c r="J19" s="58" t="str">
        <f>IFERROR(IF(ISNUMBER(C19),INDEX('1 ubicaciones'!$J$2:$J$22,C19 + 1)," ")," ")</f>
        <v xml:space="preserve"> </v>
      </c>
      <c r="K19" s="58" t="str">
        <f>IFERROR(IF(ISNUMBER(C19),INDEX('1 ubicaciones'!$K$2:$K$22,C19 + 1)," ")," ")</f>
        <v xml:space="preserve"> </v>
      </c>
      <c r="L19" s="58" t="str">
        <f>IFERROR(IF(ISNUMBER(C19),IF(B19 = B5, 0, J19 + L18)," ")," ")</f>
        <v xml:space="preserve"> </v>
      </c>
      <c r="M19" s="58" t="str">
        <f>IFERROR(IF(ISNUMBER(C19),IF(B20 = B5, 0, IF(B20 = "", 0, M20 + K20))," ")," ")</f>
        <v xml:space="preserve"> </v>
      </c>
      <c r="N19" s="49" t="str">
        <f t="shared" si="0"/>
        <v xml:space="preserve"> </v>
      </c>
      <c r="R19" s="23">
        <v>14</v>
      </c>
      <c r="S19" s="66"/>
      <c r="T19" s="49" t="str">
        <f>IFERROR(MATCH(S19,'1 ubicaciones'!$B$2:$B$22, 0) - 1," ")</f>
        <v xml:space="preserve"> </v>
      </c>
      <c r="U19" s="58" t="str">
        <f>IFERROR(IF(ISNUMBER(T19),INDEX('2.Distancias'!$C$2:$C$1445,T18*38+T19 + 2) +U18," ")," ")</f>
        <v xml:space="preserve"> </v>
      </c>
      <c r="V19" s="64" t="str">
        <f>IFERROR(IF(ISNUMBER(T19),'3.Vehículos'!$F$3 * INDEX('2.Distancias'!$D$2:$D$1445,T18*38+T19 + 2) +V18," ")," ")</f>
        <v xml:space="preserve"> </v>
      </c>
      <c r="W19" s="92" t="str">
        <f>IFERROR(IF(ISNUMBER(T19),'3.Vehículos'!$F$3 * INDEX('2.Distancias'!$D$2:$D$1445,T18*38+T19 + 2) +X18," ")," ")</f>
        <v xml:space="preserve"> </v>
      </c>
      <c r="X19" s="92" t="str">
        <f>IFERROR(IF(AND(T5&lt;&gt;T19,ISNUMBER(W19)),INDEX('1 ubicaciones'!$I$2:$I$22,T19 + 1) + MAX(W19,INDEX('1 ubicaciones'!$F$2:$F$22,T19 + 1))," ")," ")</f>
        <v xml:space="preserve"> </v>
      </c>
      <c r="Y19" s="64" t="str">
        <f>IFERROR(IF(AND(S19 = S5, S20 = ""), W19 - X5, X19 - X5)," ")</f>
        <v xml:space="preserve"> </v>
      </c>
      <c r="Z19" s="49" t="str">
        <f>IFERROR(IF(ISNUMBER(T19),INDEX('1 ubicaciones'!$L$2:$L$22,T19 + 1) + Z18," ")," ")</f>
        <v xml:space="preserve"> </v>
      </c>
      <c r="AA19" s="58" t="str">
        <f>IFERROR(IF(ISNUMBER(T19),INDEX('1 ubicaciones'!$J$2:$J$22,T19 + 1)," ")," ")</f>
        <v xml:space="preserve"> </v>
      </c>
      <c r="AB19" s="58" t="str">
        <f>IFERROR(IF(ISNUMBER(T19),INDEX('1 ubicaciones'!$K$2:$K$22,T19 + 1)," ")," ")</f>
        <v xml:space="preserve"> </v>
      </c>
      <c r="AC19" s="58" t="str">
        <f>IFERROR(IF(ISNUMBER(T19),IF(S19 = S5, 0, AA19 + AC18)," ")," ")</f>
        <v xml:space="preserve"> </v>
      </c>
      <c r="AD19" s="58" t="str">
        <f>IFERROR(IF(ISNUMBER(T19),IF(S20 = S5, 0, IF(S20 = "", 0, AD20 + AB20))," ")," ")</f>
        <v xml:space="preserve"> </v>
      </c>
      <c r="AE19" s="49" t="str">
        <f t="shared" si="1"/>
        <v xml:space="preserve"> </v>
      </c>
      <c r="AI19" s="23">
        <v>14</v>
      </c>
      <c r="AJ19" s="66"/>
      <c r="AK19" s="49" t="str">
        <f>IFERROR(MATCH(AJ19,'1 ubicaciones'!$B$2:$B$22, 0) - 1," ")</f>
        <v xml:space="preserve"> </v>
      </c>
      <c r="AL19" s="58" t="str">
        <f>IFERROR(IF(ISNUMBER(AK19),INDEX('2.Distancias'!$C$2:$C$1445,AK18*38+AK19 + 2) +AL18," ")," ")</f>
        <v xml:space="preserve"> </v>
      </c>
      <c r="AM19" s="64" t="str">
        <f>IFERROR(IF(ISNUMBER(AK19),'3.Vehículos'!$F$4 * INDEX('2.Distancias'!$D$2:$D$1445,AK18*38+AK19 + 2) +AM18," ")," ")</f>
        <v xml:space="preserve"> </v>
      </c>
      <c r="AN19" s="92" t="str">
        <f>IFERROR(IF(ISNUMBER(AK19),'3.Vehículos'!$F$4 * INDEX('2.Distancias'!$D$2:$D$1445,AK18*38+AK19 + 2) +AO18," ")," ")</f>
        <v xml:space="preserve"> </v>
      </c>
      <c r="AO19" s="92" t="str">
        <f>IFERROR(IF(AND(AK5&lt;&gt;AK19,ISNUMBER(AN19)),INDEX('1 ubicaciones'!$I$2:$I$22,AK19 + 1) + MAX(AN19,INDEX('1 ubicaciones'!$F$2:$F$22,AK19 + 1))," ")," ")</f>
        <v xml:space="preserve"> </v>
      </c>
      <c r="AP19" s="64" t="str">
        <f>IFERROR(IF(AND(AJ19 = AJ5, AJ20 = ""), AN19 - AO5, AO19 - AO5)," ")</f>
        <v xml:space="preserve"> </v>
      </c>
      <c r="AQ19" s="49" t="str">
        <f>IFERROR(IF(ISNUMBER(AK19),INDEX('1 ubicaciones'!$L$2:$L$22,AK19 + 1) + AQ18," ")," ")</f>
        <v xml:space="preserve"> </v>
      </c>
      <c r="AR19" s="58" t="str">
        <f>IFERROR(IF(ISNUMBER(AK19),INDEX('1 ubicaciones'!$J$2:$J$22,AK19 + 1)," ")," ")</f>
        <v xml:space="preserve"> </v>
      </c>
      <c r="AS19" s="58" t="str">
        <f>IFERROR(IF(ISNUMBER(AK19),INDEX('1 ubicaciones'!$K$2:$K$22,AK19 + 1)," ")," ")</f>
        <v xml:space="preserve"> </v>
      </c>
      <c r="AT19" s="58" t="str">
        <f>IFERROR(IF(ISNUMBER(AK19),IF(AJ19 = AJ5, 0, AR19 + AT18)," ")," ")</f>
        <v xml:space="preserve"> </v>
      </c>
      <c r="AU19" s="58" t="str">
        <f>IFERROR(IF(ISNUMBER(AK19),IF(AJ20 = AJ5, 0, IF(AJ20 = "", 0, AU20 + AS20))," ")," ")</f>
        <v xml:space="preserve"> </v>
      </c>
      <c r="AV19" s="49" t="str">
        <f t="shared" si="2"/>
        <v xml:space="preserve"> </v>
      </c>
      <c r="AZ19" s="23">
        <v>14</v>
      </c>
      <c r="BA19" s="66"/>
      <c r="BB19" s="49" t="str">
        <f>IFERROR(MATCH(BA19,'1 ubicaciones'!$B$2:$B$22, 0) - 1," ")</f>
        <v xml:space="preserve"> </v>
      </c>
      <c r="BC19" s="58" t="str">
        <f>IFERROR(IF(ISNUMBER(BB19),INDEX('2.Distancias'!$C$2:$C$1445,BB18*38+BB19 + 2) +BC18," ")," ")</f>
        <v xml:space="preserve"> </v>
      </c>
      <c r="BD19" s="64" t="str">
        <f>IFERROR(IF(ISNUMBER(BB19),'3.Vehículos'!$F$5 * INDEX('2.Distancias'!$D$2:$D$1445,BB18*38+BB19 + 2) +BD18," ")," ")</f>
        <v xml:space="preserve"> </v>
      </c>
      <c r="BE19" s="92" t="str">
        <f>IFERROR(IF(ISNUMBER(BB19),'3.Vehículos'!$F$5 * INDEX('2.Distancias'!$D$2:$D$1445,BB18*38+BB19 + 2) +BF18," ")," ")</f>
        <v xml:space="preserve"> </v>
      </c>
      <c r="BF19" s="92" t="str">
        <f>IFERROR(IF(AND(BB5&lt;&gt;BB19,ISNUMBER(BE19)),INDEX('1 ubicaciones'!$I$2:$I$22,BB19 + 1) + MAX(BE19,INDEX('1 ubicaciones'!$F$2:$F$22,BB19 + 1))," ")," ")</f>
        <v xml:space="preserve"> </v>
      </c>
      <c r="BG19" s="64" t="str">
        <f>IFERROR(IF(AND(BA19 = BA5, BA20 = ""), BE19 - BF5, BF19 - BF5)," ")</f>
        <v xml:space="preserve"> </v>
      </c>
      <c r="BH19" s="49" t="str">
        <f>IFERROR(IF(ISNUMBER(BB19),INDEX('1 ubicaciones'!$L$2:$L$22,BB19 + 1) + BH18," ")," ")</f>
        <v xml:space="preserve"> </v>
      </c>
      <c r="BI19" s="58" t="str">
        <f>IFERROR(IF(ISNUMBER(BB19),INDEX('1 ubicaciones'!$J$2:$J$22,BB19 + 1)," ")," ")</f>
        <v xml:space="preserve"> </v>
      </c>
      <c r="BJ19" s="58" t="str">
        <f>IFERROR(IF(ISNUMBER(BB19),INDEX('1 ubicaciones'!$K$2:$K$22,BB19 + 1)," ")," ")</f>
        <v xml:space="preserve"> </v>
      </c>
      <c r="BK19" s="58" t="str">
        <f>IFERROR(IF(ISNUMBER(BB19),IF(BA19 = BA5, 0, BI19 + BK18)," ")," ")</f>
        <v xml:space="preserve"> </v>
      </c>
      <c r="BL19" s="58" t="str">
        <f>IFERROR(IF(ISNUMBER(BB19),IF(BA20 = BA5, 0, IF(BA20 = "", 0, BL20 + BJ20))," ")," ")</f>
        <v xml:space="preserve"> </v>
      </c>
      <c r="BM19" s="49" t="str">
        <f t="shared" si="3"/>
        <v xml:space="preserve"> </v>
      </c>
      <c r="BQ19" s="23">
        <v>14</v>
      </c>
      <c r="BR19" s="66"/>
      <c r="BS19" s="49" t="str">
        <f>IFERROR(MATCH(BR19,'1 ubicaciones'!$B$2:$B$22, 0) - 1," ")</f>
        <v xml:space="preserve"> </v>
      </c>
      <c r="BT19" s="58" t="str">
        <f>IFERROR(IF(ISNUMBER(BS19),INDEX('2.Distancias'!$C$2:$C$1445,BS18*38+BS19 + 2) +BT18," ")," ")</f>
        <v xml:space="preserve"> </v>
      </c>
      <c r="BU19" s="64" t="str">
        <f>IFERROR(IF(ISNUMBER(BS19),'3.Vehículos'!$F$6 * INDEX('2.Distancias'!$D$2:$D$1445,BS18*38+BS19 + 2) +BU18," ")," ")</f>
        <v xml:space="preserve"> </v>
      </c>
      <c r="BV19" s="92" t="str">
        <f>IFERROR(IF(ISNUMBER(BS19),'3.Vehículos'!$F$6 * INDEX('2.Distancias'!$D$2:$D$1445,BS18*38+BS19 + 2) +BW18," ")," ")</f>
        <v xml:space="preserve"> </v>
      </c>
      <c r="BW19" s="92" t="str">
        <f>IFERROR(IF(AND(BS5&lt;&gt;BS19,ISNUMBER(BV19)),INDEX('1 ubicaciones'!$I$2:$I$22,BS19 + 1) + MAX(BV19,INDEX('1 ubicaciones'!$F$2:$F$22,BS19 + 1))," ")," ")</f>
        <v xml:space="preserve"> </v>
      </c>
      <c r="BX19" s="64" t="str">
        <f>IFERROR(IF(AND(BR19 = BR5, BR20 = ""), BV19 - BW5, BW19 - BW5)," ")</f>
        <v xml:space="preserve"> </v>
      </c>
      <c r="BY19" s="49" t="str">
        <f>IFERROR(IF(ISNUMBER(BS19),INDEX('1 ubicaciones'!$L$2:$L$22,BS19 + 1) + BY18," ")," ")</f>
        <v xml:space="preserve"> </v>
      </c>
      <c r="BZ19" s="58" t="str">
        <f>IFERROR(IF(ISNUMBER(BS19),INDEX('1 ubicaciones'!$J$2:$J$22,BS19 + 1)," ")," ")</f>
        <v xml:space="preserve"> </v>
      </c>
      <c r="CA19" s="58" t="str">
        <f>IFERROR(IF(ISNUMBER(BS19),INDEX('1 ubicaciones'!$K$2:$K$22,BS19 + 1)," ")," ")</f>
        <v xml:space="preserve"> </v>
      </c>
      <c r="CB19" s="58" t="str">
        <f>IFERROR(IF(ISNUMBER(BS19),IF(BR19 = BR5, 0, BZ19 + CB18)," ")," ")</f>
        <v xml:space="preserve"> </v>
      </c>
      <c r="CC19" s="58" t="str">
        <f>IFERROR(IF(ISNUMBER(BS19),IF(BR20 = BR5, 0, IF(BR20 = "", 0, CC20 + CA20))," ")," ")</f>
        <v xml:space="preserve"> </v>
      </c>
      <c r="CD19" s="49" t="str">
        <f t="shared" si="4"/>
        <v xml:space="preserve"> </v>
      </c>
      <c r="CH19" s="23">
        <v>14</v>
      </c>
      <c r="CI19" s="66"/>
      <c r="CJ19" s="49" t="str">
        <f>IFERROR(MATCH(CI19,'1 ubicaciones'!$B$2:$B$22, 0) - 1," ")</f>
        <v xml:space="preserve"> </v>
      </c>
      <c r="CK19" s="58" t="str">
        <f>IFERROR(IF(ISNUMBER(CJ19),INDEX('2.Distancias'!$C$2:$C$1445,CJ18*38+CJ19 + 2) +CK18," ")," ")</f>
        <v xml:space="preserve"> </v>
      </c>
      <c r="CL19" s="64" t="str">
        <f>IFERROR(IF(ISNUMBER(CJ19),'3.Vehículos'!$F$10 * INDEX('2.Distancias'!$D$2:$D$1445,CJ18*38+CJ19 + 2) +CL18," ")," ")</f>
        <v xml:space="preserve"> </v>
      </c>
      <c r="CM19" s="92" t="str">
        <f>IFERROR(IF(ISNUMBER(CJ19),'3.Vehículos'!$F$10 * INDEX('2.Distancias'!$D$2:$D$1445,CJ18*38+CJ19 + 2) +CN18," ")," ")</f>
        <v xml:space="preserve"> </v>
      </c>
      <c r="CN19" s="92" t="str">
        <f>IFERROR(IF(AND(CJ5&lt;&gt;CJ19,ISNUMBER(CM19)),INDEX('1 ubicaciones'!$I$2:$I$22,CJ19 + 1) + MAX(CM19,INDEX('1 ubicaciones'!$F$2:$F$22,CJ19 + 1))," ")," ")</f>
        <v xml:space="preserve"> </v>
      </c>
      <c r="CO19" s="64" t="str">
        <f>IFERROR(IF(AND(CI19 = CI5, CI20 = ""), CM19 - CN5, CN19 - CN5)," ")</f>
        <v xml:space="preserve"> </v>
      </c>
      <c r="CP19" s="49" t="str">
        <f>IFERROR(IF(ISNUMBER(CJ19),INDEX('1 ubicaciones'!$L$2:$L$22,CJ19 + 1) + CP18," ")," ")</f>
        <v xml:space="preserve"> </v>
      </c>
      <c r="CQ19" s="58" t="str">
        <f>IFERROR(IF(ISNUMBER(CJ19),INDEX('1 ubicaciones'!$J$2:$J$22,CJ19 + 1)," ")," ")</f>
        <v xml:space="preserve"> </v>
      </c>
      <c r="CR19" s="58" t="str">
        <f>IFERROR(IF(ISNUMBER(CJ19),INDEX('1 ubicaciones'!$K$2:$K$22,CJ19 + 1)," ")," ")</f>
        <v xml:space="preserve"> </v>
      </c>
      <c r="CS19" s="58" t="str">
        <f>IFERROR(IF(ISNUMBER(CJ19),IF(CI19 = CI5, 0, CQ19 + CS18)," ")," ")</f>
        <v xml:space="preserve"> </v>
      </c>
      <c r="CT19" s="58" t="str">
        <f>IFERROR(IF(ISNUMBER(CJ19),IF(CI20 = CI5, 0, IF(CI20 = "", 0, CT20 + CR20))," ")," ")</f>
        <v xml:space="preserve"> </v>
      </c>
      <c r="CU19" s="49" t="str">
        <f t="shared" si="5"/>
        <v xml:space="preserve"> </v>
      </c>
      <c r="CY19" s="23">
        <v>14</v>
      </c>
      <c r="CZ19" s="66"/>
      <c r="DA19" s="49" t="str">
        <f>IFERROR(MATCH(CZ19,'1 ubicaciones'!$B$2:$B$22, 0) - 1," ")</f>
        <v xml:space="preserve"> </v>
      </c>
      <c r="DB19" s="58" t="str">
        <f>IFERROR(IF(ISNUMBER(DA19),INDEX('2.Distancias'!$C$2:$C$1445,DA18*38+DA19 + 2) +DB18," ")," ")</f>
        <v xml:space="preserve"> </v>
      </c>
      <c r="DC19" s="64" t="str">
        <f>IFERROR(IF(ISNUMBER(DA19),'3.Vehículos'!$F$11 * INDEX('2.Distancias'!$D$2:$D$1445,DA18*38+DA19 + 2) +DC18," ")," ")</f>
        <v xml:space="preserve"> </v>
      </c>
      <c r="DD19" s="92" t="str">
        <f>IFERROR(IF(ISNUMBER(DA19),'3.Vehículos'!$F$11 * INDEX('2.Distancias'!$D$2:$D$1445,DA18*38+DA19 + 2) +DE18," ")," ")</f>
        <v xml:space="preserve"> </v>
      </c>
      <c r="DE19" s="92" t="str">
        <f>IFERROR(IF(AND(DA5&lt;&gt;DA19,ISNUMBER(DD19)),INDEX('1 ubicaciones'!$I$2:$I$22,DA19 + 1) + MAX(DD19,INDEX('1 ubicaciones'!$F$2:$F$22,DA19 + 1))," ")," ")</f>
        <v xml:space="preserve"> </v>
      </c>
      <c r="DF19" s="64" t="str">
        <f>IFERROR(IF(AND(CZ19 = CZ5, CZ20 = ""), DD19 - DE5, DE19 - DE5)," ")</f>
        <v xml:space="preserve"> </v>
      </c>
      <c r="DG19" s="49" t="str">
        <f>IFERROR(IF(ISNUMBER(DA19),INDEX('1 ubicaciones'!$L$2:$L$22,DA19 + 1) + DG18," ")," ")</f>
        <v xml:space="preserve"> </v>
      </c>
      <c r="DH19" s="58" t="str">
        <f>IFERROR(IF(ISNUMBER(DA19),INDEX('1 ubicaciones'!$J$2:$J$22,DA19 + 1)," ")," ")</f>
        <v xml:space="preserve"> </v>
      </c>
      <c r="DI19" s="58" t="str">
        <f>IFERROR(IF(ISNUMBER(DA19),INDEX('1 ubicaciones'!$K$2:$K$22,DA19 + 1)," ")," ")</f>
        <v xml:space="preserve"> </v>
      </c>
      <c r="DJ19" s="58" t="str">
        <f>IFERROR(IF(ISNUMBER(DA19),IF(CZ19 = CZ5, 0, DH19 + DJ18)," ")," ")</f>
        <v xml:space="preserve"> </v>
      </c>
      <c r="DK19" s="58" t="str">
        <f>IFERROR(IF(ISNUMBER(DA19),IF(CZ20 = CZ5, 0, IF(CZ20 = "", 0, DK20 + DI20))," ")," ")</f>
        <v xml:space="preserve"> </v>
      </c>
      <c r="DL19" s="49" t="str">
        <f t="shared" si="6"/>
        <v xml:space="preserve"> </v>
      </c>
      <c r="DP19" s="23">
        <v>14</v>
      </c>
      <c r="DQ19" s="66"/>
      <c r="DR19" s="49" t="str">
        <f>IFERROR(MATCH(DQ19,'1 ubicaciones'!$B$2:$B$22, 0) - 1," ")</f>
        <v xml:space="preserve"> </v>
      </c>
      <c r="DS19" s="58" t="str">
        <f>IFERROR(IF(ISNUMBER(DR19),INDEX('2.Distancias'!$C$2:$C$1445,DR18*38+DR19 + 2) +DS18," ")," ")</f>
        <v xml:space="preserve"> </v>
      </c>
      <c r="DT19" s="64" t="str">
        <f>IFERROR(IF(ISNUMBER(DR19),'3.Vehículos'!$F$18 * INDEX('2.Distancias'!$D$2:$D$1445,DR18*38+DR19 + 2) +DT18," ")," ")</f>
        <v xml:space="preserve"> </v>
      </c>
      <c r="DU19" s="92" t="str">
        <f>IFERROR(IF(ISNUMBER(DR19),'3.Vehículos'!$F$18 * INDEX('2.Distancias'!$D$2:$D$1445,DR18*38+DR19 + 2) +DV18," ")," ")</f>
        <v xml:space="preserve"> </v>
      </c>
      <c r="DV19" s="92" t="str">
        <f>IFERROR(IF(AND(DR5&lt;&gt;DR19,ISNUMBER(DU19)),INDEX('1 ubicaciones'!$I$2:$I$22,DR19 + 1) + MAX(DU19,INDEX('1 ubicaciones'!$F$2:$F$22,DR19 + 1))," ")," ")</f>
        <v xml:space="preserve"> </v>
      </c>
      <c r="DW19" s="64" t="str">
        <f>IFERROR(IF(AND(DQ19 = DQ5, DQ20 = ""), DU19 - DV5, DV19 - DV5)," ")</f>
        <v xml:space="preserve"> </v>
      </c>
      <c r="DX19" s="49" t="str">
        <f>IFERROR(IF(ISNUMBER(DR19),INDEX('1 ubicaciones'!$L$2:$L$22,DR19 + 1) + DX18," ")," ")</f>
        <v xml:space="preserve"> </v>
      </c>
      <c r="DY19" s="58" t="str">
        <f>IFERROR(IF(ISNUMBER(DR19),INDEX('1 ubicaciones'!$J$2:$J$22,DR19 + 1)," ")," ")</f>
        <v xml:space="preserve"> </v>
      </c>
      <c r="DZ19" s="58" t="str">
        <f>IFERROR(IF(ISNUMBER(DR19),INDEX('1 ubicaciones'!$K$2:$K$22,DR19 + 1)," ")," ")</f>
        <v xml:space="preserve"> </v>
      </c>
      <c r="EA19" s="58" t="str">
        <f>IFERROR(IF(ISNUMBER(DR19),IF(DQ19 = DQ5, 0, DY19 + EA18)," ")," ")</f>
        <v xml:space="preserve"> </v>
      </c>
      <c r="EB19" s="58" t="str">
        <f>IFERROR(IF(ISNUMBER(DR19),IF(DQ20 = DQ5, 0, IF(DQ20 = "", 0, EB20 + DZ20))," ")," ")</f>
        <v xml:space="preserve"> </v>
      </c>
      <c r="EC19" s="49" t="str">
        <f t="shared" si="7"/>
        <v xml:space="preserve"> </v>
      </c>
    </row>
    <row r="20" spans="1:133" x14ac:dyDescent="0.25">
      <c r="A20" s="23">
        <v>15</v>
      </c>
      <c r="B20" s="63"/>
      <c r="C20" s="49" t="str">
        <f>IFERROR(MATCH(B20,'1 ubicaciones'!$B$2:$B$22, 0) - 1," ")</f>
        <v xml:space="preserve"> </v>
      </c>
      <c r="D20" s="58" t="str">
        <f>IFERROR(IF(ISNUMBER(C20),INDEX('2.Distancias'!$C$2:$C$1445,C19*38+C20 + 2) +D19," ")," ")</f>
        <v xml:space="preserve"> </v>
      </c>
      <c r="E20" s="64" t="str">
        <f>IFERROR(IF(ISNUMBER(C20),'3.Vehículos'!$F$2 * INDEX('2.Distancias'!$D$2:$D$1445,C19*38+C20 + 2) +E19," ")," ")</f>
        <v xml:space="preserve"> </v>
      </c>
      <c r="F20" s="92" t="str">
        <f>IFERROR(IF(ISNUMBER(C20),'3.Vehículos'!$F$2 * INDEX('2.Distancias'!$D$2:$D$1445,C19*38+C20 + 2) +G19," ")," ")</f>
        <v xml:space="preserve"> </v>
      </c>
      <c r="G20" s="92" t="str">
        <f>IFERROR(IF(AND(C5&lt;&gt;C20,ISNUMBER(F20)),INDEX('1 ubicaciones'!$I$2:$I$22,C20 + 1) + MAX(F20,INDEX('1 ubicaciones'!$F$2:$F$22,C20 + 1))," ")," ")</f>
        <v xml:space="preserve"> </v>
      </c>
      <c r="H20" s="64" t="str">
        <f>IFERROR(IF(AND(B20 = B5, B21 = ""), F20 - G5, G20 - G5)," ")</f>
        <v xml:space="preserve"> </v>
      </c>
      <c r="I20" s="49" t="str">
        <f>IFERROR(IF(ISNUMBER(C20),INDEX('1 ubicaciones'!$L$2:$L$22,C20 + 1) + I19," ")," ")</f>
        <v xml:space="preserve"> </v>
      </c>
      <c r="J20" s="58" t="str">
        <f>IFERROR(IF(ISNUMBER(C20),INDEX('1 ubicaciones'!$J$2:$J$22,C20 + 1)," ")," ")</f>
        <v xml:space="preserve"> </v>
      </c>
      <c r="K20" s="58" t="str">
        <f>IFERROR(IF(ISNUMBER(C20),INDEX('1 ubicaciones'!$K$2:$K$22,C20 + 1)," ")," ")</f>
        <v xml:space="preserve"> </v>
      </c>
      <c r="L20" s="58" t="str">
        <f>IFERROR(IF(ISNUMBER(C20),IF(B20 = B5, 0, J20 + L19)," ")," ")</f>
        <v xml:space="preserve"> </v>
      </c>
      <c r="M20" s="58" t="str">
        <f>IFERROR(IF(ISNUMBER(C20),IF(B21 = B5, 0, IF(B21 = "", 0, M21 + K21))," ")," ")</f>
        <v xml:space="preserve"> </v>
      </c>
      <c r="N20" s="49" t="str">
        <f t="shared" si="0"/>
        <v xml:space="preserve"> </v>
      </c>
      <c r="R20" s="23">
        <v>15</v>
      </c>
      <c r="S20" s="63"/>
      <c r="T20" s="49" t="str">
        <f>IFERROR(MATCH(S20,'1 ubicaciones'!$B$2:$B$22, 0) - 1," ")</f>
        <v xml:space="preserve"> </v>
      </c>
      <c r="U20" s="58" t="str">
        <f>IFERROR(IF(ISNUMBER(T20),INDEX('2.Distancias'!$C$2:$C$1445,T19*38+T20 + 2) +U19," ")," ")</f>
        <v xml:space="preserve"> </v>
      </c>
      <c r="V20" s="64" t="str">
        <f>IFERROR(IF(ISNUMBER(T20),'3.Vehículos'!$F$3 * INDEX('2.Distancias'!$D$2:$D$1445,T19*38+T20 + 2) +V19," ")," ")</f>
        <v xml:space="preserve"> </v>
      </c>
      <c r="W20" s="92" t="str">
        <f>IFERROR(IF(ISNUMBER(T20),'3.Vehículos'!$F$3 * INDEX('2.Distancias'!$D$2:$D$1445,T19*38+T20 + 2) +X19," ")," ")</f>
        <v xml:space="preserve"> </v>
      </c>
      <c r="X20" s="92" t="str">
        <f>IFERROR(IF(AND(T5&lt;&gt;T20,ISNUMBER(W20)),INDEX('1 ubicaciones'!$I$2:$I$22,T20 + 1) + MAX(W20,INDEX('1 ubicaciones'!$F$2:$F$22,T20 + 1))," ")," ")</f>
        <v xml:space="preserve"> </v>
      </c>
      <c r="Y20" s="64" t="str">
        <f>IFERROR(IF(AND(S20 = S5, S21 = ""), W20 - X5, X20 - X5)," ")</f>
        <v xml:space="preserve"> </v>
      </c>
      <c r="Z20" s="49" t="str">
        <f>IFERROR(IF(ISNUMBER(T20),INDEX('1 ubicaciones'!$L$2:$L$22,T20 + 1) + Z19," ")," ")</f>
        <v xml:space="preserve"> </v>
      </c>
      <c r="AA20" s="58" t="str">
        <f>IFERROR(IF(ISNUMBER(T20),INDEX('1 ubicaciones'!$J$2:$J$22,T20 + 1)," ")," ")</f>
        <v xml:space="preserve"> </v>
      </c>
      <c r="AB20" s="58" t="str">
        <f>IFERROR(IF(ISNUMBER(T20),INDEX('1 ubicaciones'!$K$2:$K$22,T20 + 1)," ")," ")</f>
        <v xml:space="preserve"> </v>
      </c>
      <c r="AC20" s="58" t="str">
        <f>IFERROR(IF(ISNUMBER(T20),IF(S20 = S5, 0, AA20 + AC19)," ")," ")</f>
        <v xml:space="preserve"> </v>
      </c>
      <c r="AD20" s="58" t="str">
        <f>IFERROR(IF(ISNUMBER(T20),IF(S21 = S5, 0, IF(S21 = "", 0, AD21 + AB21))," ")," ")</f>
        <v xml:space="preserve"> </v>
      </c>
      <c r="AE20" s="49" t="str">
        <f t="shared" si="1"/>
        <v xml:space="preserve"> </v>
      </c>
      <c r="AI20" s="23">
        <v>15</v>
      </c>
      <c r="AJ20" s="63"/>
      <c r="AK20" s="49" t="str">
        <f>IFERROR(MATCH(AJ20,'1 ubicaciones'!$B$2:$B$22, 0) - 1," ")</f>
        <v xml:space="preserve"> </v>
      </c>
      <c r="AL20" s="58" t="str">
        <f>IFERROR(IF(ISNUMBER(AK20),INDEX('2.Distancias'!$C$2:$C$1445,AK19*38+AK20 + 2) +AL19," ")," ")</f>
        <v xml:space="preserve"> </v>
      </c>
      <c r="AM20" s="64" t="str">
        <f>IFERROR(IF(ISNUMBER(AK20),'3.Vehículos'!$F$4 * INDEX('2.Distancias'!$D$2:$D$1445,AK19*38+AK20 + 2) +AM19," ")," ")</f>
        <v xml:space="preserve"> </v>
      </c>
      <c r="AN20" s="92" t="str">
        <f>IFERROR(IF(ISNUMBER(AK20),'3.Vehículos'!$F$4 * INDEX('2.Distancias'!$D$2:$D$1445,AK19*38+AK20 + 2) +AO19," ")," ")</f>
        <v xml:space="preserve"> </v>
      </c>
      <c r="AO20" s="92" t="str">
        <f>IFERROR(IF(AND(AK5&lt;&gt;AK20,ISNUMBER(AN20)),INDEX('1 ubicaciones'!$I$2:$I$22,AK20 + 1) + MAX(AN20,INDEX('1 ubicaciones'!$F$2:$F$22,AK20 + 1))," ")," ")</f>
        <v xml:space="preserve"> </v>
      </c>
      <c r="AP20" s="64" t="str">
        <f>IFERROR(IF(AND(AJ20 = AJ5, AJ21 = ""), AN20 - AO5, AO20 - AO5)," ")</f>
        <v xml:space="preserve"> </v>
      </c>
      <c r="AQ20" s="49" t="str">
        <f>IFERROR(IF(ISNUMBER(AK20),INDEX('1 ubicaciones'!$L$2:$L$22,AK20 + 1) + AQ19," ")," ")</f>
        <v xml:space="preserve"> </v>
      </c>
      <c r="AR20" s="58" t="str">
        <f>IFERROR(IF(ISNUMBER(AK20),INDEX('1 ubicaciones'!$J$2:$J$22,AK20 + 1)," ")," ")</f>
        <v xml:space="preserve"> </v>
      </c>
      <c r="AS20" s="58" t="str">
        <f>IFERROR(IF(ISNUMBER(AK20),INDEX('1 ubicaciones'!$K$2:$K$22,AK20 + 1)," ")," ")</f>
        <v xml:space="preserve"> </v>
      </c>
      <c r="AT20" s="58" t="str">
        <f>IFERROR(IF(ISNUMBER(AK20),IF(AJ20 = AJ5, 0, AR20 + AT19)," ")," ")</f>
        <v xml:space="preserve"> </v>
      </c>
      <c r="AU20" s="58" t="str">
        <f>IFERROR(IF(ISNUMBER(AK20),IF(AJ21 = AJ5, 0, IF(AJ21 = "", 0, AU21 + AS21))," ")," ")</f>
        <v xml:space="preserve"> </v>
      </c>
      <c r="AV20" s="49" t="str">
        <f t="shared" si="2"/>
        <v xml:space="preserve"> </v>
      </c>
      <c r="AZ20" s="23">
        <v>15</v>
      </c>
      <c r="BA20" s="63"/>
      <c r="BB20" s="49" t="str">
        <f>IFERROR(MATCH(BA20,'1 ubicaciones'!$B$2:$B$22, 0) - 1," ")</f>
        <v xml:space="preserve"> </v>
      </c>
      <c r="BC20" s="58" t="str">
        <f>IFERROR(IF(ISNUMBER(BB20),INDEX('2.Distancias'!$C$2:$C$1445,BB19*38+BB20 + 2) +BC19," ")," ")</f>
        <v xml:space="preserve"> </v>
      </c>
      <c r="BD20" s="64" t="str">
        <f>IFERROR(IF(ISNUMBER(BB20),'3.Vehículos'!$F$5 * INDEX('2.Distancias'!$D$2:$D$1445,BB19*38+BB20 + 2) +BD19," ")," ")</f>
        <v xml:space="preserve"> </v>
      </c>
      <c r="BE20" s="92" t="str">
        <f>IFERROR(IF(ISNUMBER(BB20),'3.Vehículos'!$F$5 * INDEX('2.Distancias'!$D$2:$D$1445,BB19*38+BB20 + 2) +BF19," ")," ")</f>
        <v xml:space="preserve"> </v>
      </c>
      <c r="BF20" s="92" t="str">
        <f>IFERROR(IF(AND(BB5&lt;&gt;BB20,ISNUMBER(BE20)),INDEX('1 ubicaciones'!$I$2:$I$22,BB20 + 1) + MAX(BE20,INDEX('1 ubicaciones'!$F$2:$F$22,BB20 + 1))," ")," ")</f>
        <v xml:space="preserve"> </v>
      </c>
      <c r="BG20" s="64" t="str">
        <f>IFERROR(IF(AND(BA20 = BA5, BA21 = ""), BE20 - BF5, BF20 - BF5)," ")</f>
        <v xml:space="preserve"> </v>
      </c>
      <c r="BH20" s="49" t="str">
        <f>IFERROR(IF(ISNUMBER(BB20),INDEX('1 ubicaciones'!$L$2:$L$22,BB20 + 1) + BH19," ")," ")</f>
        <v xml:space="preserve"> </v>
      </c>
      <c r="BI20" s="58" t="str">
        <f>IFERROR(IF(ISNUMBER(BB20),INDEX('1 ubicaciones'!$J$2:$J$22,BB20 + 1)," ")," ")</f>
        <v xml:space="preserve"> </v>
      </c>
      <c r="BJ20" s="58" t="str">
        <f>IFERROR(IF(ISNUMBER(BB20),INDEX('1 ubicaciones'!$K$2:$K$22,BB20 + 1)," ")," ")</f>
        <v xml:space="preserve"> </v>
      </c>
      <c r="BK20" s="58" t="str">
        <f>IFERROR(IF(ISNUMBER(BB20),IF(BA20 = BA5, 0, BI20 + BK19)," ")," ")</f>
        <v xml:space="preserve"> </v>
      </c>
      <c r="BL20" s="58" t="str">
        <f>IFERROR(IF(ISNUMBER(BB20),IF(BA21 = BA5, 0, IF(BA21 = "", 0, BL21 + BJ21))," ")," ")</f>
        <v xml:space="preserve"> </v>
      </c>
      <c r="BM20" s="49" t="str">
        <f t="shared" si="3"/>
        <v xml:space="preserve"> </v>
      </c>
      <c r="BQ20" s="23">
        <v>15</v>
      </c>
      <c r="BR20" s="63"/>
      <c r="BS20" s="49" t="str">
        <f>IFERROR(MATCH(BR20,'1 ubicaciones'!$B$2:$B$22, 0) - 1," ")</f>
        <v xml:space="preserve"> </v>
      </c>
      <c r="BT20" s="58" t="str">
        <f>IFERROR(IF(ISNUMBER(BS20),INDEX('2.Distancias'!$C$2:$C$1445,BS19*38+BS20 + 2) +BT19," ")," ")</f>
        <v xml:space="preserve"> </v>
      </c>
      <c r="BU20" s="64" t="str">
        <f>IFERROR(IF(ISNUMBER(BS20),'3.Vehículos'!$F$6 * INDEX('2.Distancias'!$D$2:$D$1445,BS19*38+BS20 + 2) +BU19," ")," ")</f>
        <v xml:space="preserve"> </v>
      </c>
      <c r="BV20" s="92" t="str">
        <f>IFERROR(IF(ISNUMBER(BS20),'3.Vehículos'!$F$6 * INDEX('2.Distancias'!$D$2:$D$1445,BS19*38+BS20 + 2) +BW19," ")," ")</f>
        <v xml:space="preserve"> </v>
      </c>
      <c r="BW20" s="92" t="str">
        <f>IFERROR(IF(AND(BS5&lt;&gt;BS20,ISNUMBER(BV20)),INDEX('1 ubicaciones'!$I$2:$I$22,BS20 + 1) + MAX(BV20,INDEX('1 ubicaciones'!$F$2:$F$22,BS20 + 1))," ")," ")</f>
        <v xml:space="preserve"> </v>
      </c>
      <c r="BX20" s="64" t="str">
        <f>IFERROR(IF(AND(BR20 = BR5, BR21 = ""), BV20 - BW5, BW20 - BW5)," ")</f>
        <v xml:space="preserve"> </v>
      </c>
      <c r="BY20" s="49" t="str">
        <f>IFERROR(IF(ISNUMBER(BS20),INDEX('1 ubicaciones'!$L$2:$L$22,BS20 + 1) + BY19," ")," ")</f>
        <v xml:space="preserve"> </v>
      </c>
      <c r="BZ20" s="58" t="str">
        <f>IFERROR(IF(ISNUMBER(BS20),INDEX('1 ubicaciones'!$J$2:$J$22,BS20 + 1)," ")," ")</f>
        <v xml:space="preserve"> </v>
      </c>
      <c r="CA20" s="58" t="str">
        <f>IFERROR(IF(ISNUMBER(BS20),INDEX('1 ubicaciones'!$K$2:$K$22,BS20 + 1)," ")," ")</f>
        <v xml:space="preserve"> </v>
      </c>
      <c r="CB20" s="58" t="str">
        <f>IFERROR(IF(ISNUMBER(BS20),IF(BR20 = BR5, 0, BZ20 + CB19)," ")," ")</f>
        <v xml:space="preserve"> </v>
      </c>
      <c r="CC20" s="58" t="str">
        <f>IFERROR(IF(ISNUMBER(BS20),IF(BR21 = BR5, 0, IF(BR21 = "", 0, CC21 + CA21))," ")," ")</f>
        <v xml:space="preserve"> </v>
      </c>
      <c r="CD20" s="49" t="str">
        <f t="shared" si="4"/>
        <v xml:space="preserve"> </v>
      </c>
      <c r="CH20" s="23">
        <v>15</v>
      </c>
      <c r="CI20" s="63"/>
      <c r="CJ20" s="49" t="str">
        <f>IFERROR(MATCH(CI20,'1 ubicaciones'!$B$2:$B$22, 0) - 1," ")</f>
        <v xml:space="preserve"> </v>
      </c>
      <c r="CK20" s="58" t="str">
        <f>IFERROR(IF(ISNUMBER(CJ20),INDEX('2.Distancias'!$C$2:$C$1445,CJ19*38+CJ20 + 2) +CK19," ")," ")</f>
        <v xml:space="preserve"> </v>
      </c>
      <c r="CL20" s="64" t="str">
        <f>IFERROR(IF(ISNUMBER(CJ20),'3.Vehículos'!$F$10 * INDEX('2.Distancias'!$D$2:$D$1445,CJ19*38+CJ20 + 2) +CL19," ")," ")</f>
        <v xml:space="preserve"> </v>
      </c>
      <c r="CM20" s="92" t="str">
        <f>IFERROR(IF(ISNUMBER(CJ20),'3.Vehículos'!$F$10 * INDEX('2.Distancias'!$D$2:$D$1445,CJ19*38+CJ20 + 2) +CN19," ")," ")</f>
        <v xml:space="preserve"> </v>
      </c>
      <c r="CN20" s="92" t="str">
        <f>IFERROR(IF(AND(CJ5&lt;&gt;CJ20,ISNUMBER(CM20)),INDEX('1 ubicaciones'!$I$2:$I$22,CJ20 + 1) + MAX(CM20,INDEX('1 ubicaciones'!$F$2:$F$22,CJ20 + 1))," ")," ")</f>
        <v xml:space="preserve"> </v>
      </c>
      <c r="CO20" s="64" t="str">
        <f>IFERROR(IF(AND(CI20 = CI5, CI21 = ""), CM20 - CN5, CN20 - CN5)," ")</f>
        <v xml:space="preserve"> </v>
      </c>
      <c r="CP20" s="49" t="str">
        <f>IFERROR(IF(ISNUMBER(CJ20),INDEX('1 ubicaciones'!$L$2:$L$22,CJ20 + 1) + CP19," ")," ")</f>
        <v xml:space="preserve"> </v>
      </c>
      <c r="CQ20" s="58" t="str">
        <f>IFERROR(IF(ISNUMBER(CJ20),INDEX('1 ubicaciones'!$J$2:$J$22,CJ20 + 1)," ")," ")</f>
        <v xml:space="preserve"> </v>
      </c>
      <c r="CR20" s="58" t="str">
        <f>IFERROR(IF(ISNUMBER(CJ20),INDEX('1 ubicaciones'!$K$2:$K$22,CJ20 + 1)," ")," ")</f>
        <v xml:space="preserve"> </v>
      </c>
      <c r="CS20" s="58" t="str">
        <f>IFERROR(IF(ISNUMBER(CJ20),IF(CI20 = CI5, 0, CQ20 + CS19)," ")," ")</f>
        <v xml:space="preserve"> </v>
      </c>
      <c r="CT20" s="58" t="str">
        <f>IFERROR(IF(ISNUMBER(CJ20),IF(CI21 = CI5, 0, IF(CI21 = "", 0, CT21 + CR21))," ")," ")</f>
        <v xml:space="preserve"> </v>
      </c>
      <c r="CU20" s="49" t="str">
        <f t="shared" si="5"/>
        <v xml:space="preserve"> </v>
      </c>
      <c r="CY20" s="23">
        <v>15</v>
      </c>
      <c r="CZ20" s="63"/>
      <c r="DA20" s="49" t="str">
        <f>IFERROR(MATCH(CZ20,'1 ubicaciones'!$B$2:$B$22, 0) - 1," ")</f>
        <v xml:space="preserve"> </v>
      </c>
      <c r="DB20" s="58" t="str">
        <f>IFERROR(IF(ISNUMBER(DA20),INDEX('2.Distancias'!$C$2:$C$1445,DA19*38+DA20 + 2) +DB19," ")," ")</f>
        <v xml:space="preserve"> </v>
      </c>
      <c r="DC20" s="64" t="str">
        <f>IFERROR(IF(ISNUMBER(DA20),'3.Vehículos'!$F$11 * INDEX('2.Distancias'!$D$2:$D$1445,DA19*38+DA20 + 2) +DC19," ")," ")</f>
        <v xml:space="preserve"> </v>
      </c>
      <c r="DD20" s="92" t="str">
        <f>IFERROR(IF(ISNUMBER(DA20),'3.Vehículos'!$F$11 * INDEX('2.Distancias'!$D$2:$D$1445,DA19*38+DA20 + 2) +DE19," ")," ")</f>
        <v xml:space="preserve"> </v>
      </c>
      <c r="DE20" s="92" t="str">
        <f>IFERROR(IF(AND(DA5&lt;&gt;DA20,ISNUMBER(DD20)),INDEX('1 ubicaciones'!$I$2:$I$22,DA20 + 1) + MAX(DD20,INDEX('1 ubicaciones'!$F$2:$F$22,DA20 + 1))," ")," ")</f>
        <v xml:space="preserve"> </v>
      </c>
      <c r="DF20" s="64" t="str">
        <f>IFERROR(IF(AND(CZ20 = CZ5, CZ21 = ""), DD20 - DE5, DE20 - DE5)," ")</f>
        <v xml:space="preserve"> </v>
      </c>
      <c r="DG20" s="49" t="str">
        <f>IFERROR(IF(ISNUMBER(DA20),INDEX('1 ubicaciones'!$L$2:$L$22,DA20 + 1) + DG19," ")," ")</f>
        <v xml:space="preserve"> </v>
      </c>
      <c r="DH20" s="58" t="str">
        <f>IFERROR(IF(ISNUMBER(DA20),INDEX('1 ubicaciones'!$J$2:$J$22,DA20 + 1)," ")," ")</f>
        <v xml:space="preserve"> </v>
      </c>
      <c r="DI20" s="58" t="str">
        <f>IFERROR(IF(ISNUMBER(DA20),INDEX('1 ubicaciones'!$K$2:$K$22,DA20 + 1)," ")," ")</f>
        <v xml:space="preserve"> </v>
      </c>
      <c r="DJ20" s="58" t="str">
        <f>IFERROR(IF(ISNUMBER(DA20),IF(CZ20 = CZ5, 0, DH20 + DJ19)," ")," ")</f>
        <v xml:space="preserve"> </v>
      </c>
      <c r="DK20" s="58" t="str">
        <f>IFERROR(IF(ISNUMBER(DA20),IF(CZ21 = CZ5, 0, IF(CZ21 = "", 0, DK21 + DI21))," ")," ")</f>
        <v xml:space="preserve"> </v>
      </c>
      <c r="DL20" s="49" t="str">
        <f t="shared" si="6"/>
        <v xml:space="preserve"> </v>
      </c>
      <c r="DP20" s="23">
        <v>15</v>
      </c>
      <c r="DQ20" s="63"/>
      <c r="DR20" s="49" t="str">
        <f>IFERROR(MATCH(DQ20,'1 ubicaciones'!$B$2:$B$22, 0) - 1," ")</f>
        <v xml:space="preserve"> </v>
      </c>
      <c r="DS20" s="58" t="str">
        <f>IFERROR(IF(ISNUMBER(DR20),INDEX('2.Distancias'!$C$2:$C$1445,DR19*38+DR20 + 2) +DS19," ")," ")</f>
        <v xml:space="preserve"> </v>
      </c>
      <c r="DT20" s="64" t="str">
        <f>IFERROR(IF(ISNUMBER(DR20),'3.Vehículos'!$F$18 * INDEX('2.Distancias'!$D$2:$D$1445,DR19*38+DR20 + 2) +DT19," ")," ")</f>
        <v xml:space="preserve"> </v>
      </c>
      <c r="DU20" s="92" t="str">
        <f>IFERROR(IF(ISNUMBER(DR20),'3.Vehículos'!$F$18 * INDEX('2.Distancias'!$D$2:$D$1445,DR19*38+DR20 + 2) +DV19," ")," ")</f>
        <v xml:space="preserve"> </v>
      </c>
      <c r="DV20" s="92" t="str">
        <f>IFERROR(IF(AND(DR5&lt;&gt;DR20,ISNUMBER(DU20)),INDEX('1 ubicaciones'!$I$2:$I$22,DR20 + 1) + MAX(DU20,INDEX('1 ubicaciones'!$F$2:$F$22,DR20 + 1))," ")," ")</f>
        <v xml:space="preserve"> </v>
      </c>
      <c r="DW20" s="64" t="str">
        <f>IFERROR(IF(AND(DQ20 = DQ5, DQ21 = ""), DU20 - DV5, DV20 - DV5)," ")</f>
        <v xml:space="preserve"> </v>
      </c>
      <c r="DX20" s="49" t="str">
        <f>IFERROR(IF(ISNUMBER(DR20),INDEX('1 ubicaciones'!$L$2:$L$22,DR20 + 1) + DX19," ")," ")</f>
        <v xml:space="preserve"> </v>
      </c>
      <c r="DY20" s="58" t="str">
        <f>IFERROR(IF(ISNUMBER(DR20),INDEX('1 ubicaciones'!$J$2:$J$22,DR20 + 1)," ")," ")</f>
        <v xml:space="preserve"> </v>
      </c>
      <c r="DZ20" s="58" t="str">
        <f>IFERROR(IF(ISNUMBER(DR20),INDEX('1 ubicaciones'!$K$2:$K$22,DR20 + 1)," ")," ")</f>
        <v xml:space="preserve"> </v>
      </c>
      <c r="EA20" s="58" t="str">
        <f>IFERROR(IF(ISNUMBER(DR20),IF(DQ20 = DQ5, 0, DY20 + EA19)," ")," ")</f>
        <v xml:space="preserve"> </v>
      </c>
      <c r="EB20" s="58" t="str">
        <f>IFERROR(IF(ISNUMBER(DR20),IF(DQ21 = DQ5, 0, IF(DQ21 = "", 0, EB21 + DZ21))," ")," ")</f>
        <v xml:space="preserve"> </v>
      </c>
      <c r="EC20" s="49" t="str">
        <f t="shared" si="7"/>
        <v xml:space="preserve"> </v>
      </c>
    </row>
    <row r="21" spans="1:133" x14ac:dyDescent="0.25">
      <c r="A21" s="23">
        <v>16</v>
      </c>
      <c r="B21" s="66"/>
      <c r="C21" s="49" t="str">
        <f>IFERROR(MATCH(B21,'1 ubicaciones'!$B$2:$B$22, 0) - 1," ")</f>
        <v xml:space="preserve"> </v>
      </c>
      <c r="D21" s="58" t="str">
        <f>IFERROR(IF(ISNUMBER(C21),INDEX('2.Distancias'!$C$2:$C$1445,C20*38+C21 + 2) +D20," ")," ")</f>
        <v xml:space="preserve"> </v>
      </c>
      <c r="E21" s="64" t="str">
        <f>IFERROR(IF(ISNUMBER(C21),'3.Vehículos'!$F$2 * INDEX('2.Distancias'!$D$2:$D$1445,C20*38+C21 + 2) +E20," ")," ")</f>
        <v xml:space="preserve"> </v>
      </c>
      <c r="F21" s="92" t="str">
        <f>IFERROR(IF(ISNUMBER(C21),'3.Vehículos'!$F$2 * INDEX('2.Distancias'!$D$2:$D$1445,C20*38+C21 + 2) +G20," ")," ")</f>
        <v xml:space="preserve"> </v>
      </c>
      <c r="G21" s="92" t="str">
        <f>IFERROR(IF(AND(C5&lt;&gt;C21,ISNUMBER(F21)),INDEX('1 ubicaciones'!$I$2:$I$22,C21 + 1) + MAX(F21,INDEX('1 ubicaciones'!$F$2:$F$22,C21 + 1))," ")," ")</f>
        <v xml:space="preserve"> </v>
      </c>
      <c r="H21" s="64" t="str">
        <f>IFERROR(IF(AND(B21 = B5, B22 = ""), F21 - G5, G21 - G5)," ")</f>
        <v xml:space="preserve"> </v>
      </c>
      <c r="I21" s="49" t="str">
        <f>IFERROR(IF(ISNUMBER(C21),INDEX('1 ubicaciones'!$L$2:$L$22,C21 + 1) + I20," ")," ")</f>
        <v xml:space="preserve"> </v>
      </c>
      <c r="J21" s="58" t="str">
        <f>IFERROR(IF(ISNUMBER(C21),INDEX('1 ubicaciones'!$J$2:$J$22,C21 + 1)," ")," ")</f>
        <v xml:space="preserve"> </v>
      </c>
      <c r="K21" s="58" t="str">
        <f>IFERROR(IF(ISNUMBER(C21),INDEX('1 ubicaciones'!$K$2:$K$22,C21 + 1)," ")," ")</f>
        <v xml:space="preserve"> </v>
      </c>
      <c r="L21" s="58" t="str">
        <f>IFERROR(IF(ISNUMBER(C21),IF(B21 = B5, 0, J21 + L20)," ")," ")</f>
        <v xml:space="preserve"> </v>
      </c>
      <c r="M21" s="58" t="str">
        <f>IFERROR(IF(ISNUMBER(C21),IF(B22 = B5, 0, IF(B22 = "", 0, M22 + K22))," ")," ")</f>
        <v xml:space="preserve"> </v>
      </c>
      <c r="N21" s="49" t="str">
        <f t="shared" si="0"/>
        <v xml:space="preserve"> </v>
      </c>
      <c r="R21" s="23">
        <v>16</v>
      </c>
      <c r="S21" s="66"/>
      <c r="T21" s="49" t="str">
        <f>IFERROR(MATCH(S21,'1 ubicaciones'!$B$2:$B$22, 0) - 1," ")</f>
        <v xml:space="preserve"> </v>
      </c>
      <c r="U21" s="58" t="str">
        <f>IFERROR(IF(ISNUMBER(T21),INDEX('2.Distancias'!$C$2:$C$1445,T20*38+T21 + 2) +U20," ")," ")</f>
        <v xml:space="preserve"> </v>
      </c>
      <c r="V21" s="64" t="str">
        <f>IFERROR(IF(ISNUMBER(T21),'3.Vehículos'!$F$3 * INDEX('2.Distancias'!$D$2:$D$1445,T20*38+T21 + 2) +V20," ")," ")</f>
        <v xml:space="preserve"> </v>
      </c>
      <c r="W21" s="92" t="str">
        <f>IFERROR(IF(ISNUMBER(T21),'3.Vehículos'!$F$3 * INDEX('2.Distancias'!$D$2:$D$1445,T20*38+T21 + 2) +X20," ")," ")</f>
        <v xml:space="preserve"> </v>
      </c>
      <c r="X21" s="92" t="str">
        <f>IFERROR(IF(AND(T5&lt;&gt;T21,ISNUMBER(W21)),INDEX('1 ubicaciones'!$I$2:$I$22,T21 + 1) + MAX(W21,INDEX('1 ubicaciones'!$F$2:$F$22,T21 + 1))," ")," ")</f>
        <v xml:space="preserve"> </v>
      </c>
      <c r="Y21" s="64" t="str">
        <f>IFERROR(IF(AND(S21 = S5, S22 = ""), W21 - X5, X21 - X5)," ")</f>
        <v xml:space="preserve"> </v>
      </c>
      <c r="Z21" s="49" t="str">
        <f>IFERROR(IF(ISNUMBER(T21),INDEX('1 ubicaciones'!$L$2:$L$22,T21 + 1) + Z20," ")," ")</f>
        <v xml:space="preserve"> </v>
      </c>
      <c r="AA21" s="58" t="str">
        <f>IFERROR(IF(ISNUMBER(T21),INDEX('1 ubicaciones'!$J$2:$J$22,T21 + 1)," ")," ")</f>
        <v xml:space="preserve"> </v>
      </c>
      <c r="AB21" s="58" t="str">
        <f>IFERROR(IF(ISNUMBER(T21),INDEX('1 ubicaciones'!$K$2:$K$22,T21 + 1)," ")," ")</f>
        <v xml:space="preserve"> </v>
      </c>
      <c r="AC21" s="58" t="str">
        <f>IFERROR(IF(ISNUMBER(T21),IF(S21 = S5, 0, AA21 + AC20)," ")," ")</f>
        <v xml:space="preserve"> </v>
      </c>
      <c r="AD21" s="58" t="str">
        <f>IFERROR(IF(ISNUMBER(T21),IF(S22 = S5, 0, IF(S22 = "", 0, AD22 + AB22))," ")," ")</f>
        <v xml:space="preserve"> </v>
      </c>
      <c r="AE21" s="49" t="str">
        <f t="shared" si="1"/>
        <v xml:space="preserve"> </v>
      </c>
      <c r="AI21" s="23">
        <v>16</v>
      </c>
      <c r="AJ21" s="66"/>
      <c r="AK21" s="49" t="str">
        <f>IFERROR(MATCH(AJ21,'1 ubicaciones'!$B$2:$B$22, 0) - 1," ")</f>
        <v xml:space="preserve"> </v>
      </c>
      <c r="AL21" s="58" t="str">
        <f>IFERROR(IF(ISNUMBER(AK21),INDEX('2.Distancias'!$C$2:$C$1445,AK20*38+AK21 + 2) +AL20," ")," ")</f>
        <v xml:space="preserve"> </v>
      </c>
      <c r="AM21" s="64" t="str">
        <f>IFERROR(IF(ISNUMBER(AK21),'3.Vehículos'!$F$4 * INDEX('2.Distancias'!$D$2:$D$1445,AK20*38+AK21 + 2) +AM20," ")," ")</f>
        <v xml:space="preserve"> </v>
      </c>
      <c r="AN21" s="92" t="str">
        <f>IFERROR(IF(ISNUMBER(AK21),'3.Vehículos'!$F$4 * INDEX('2.Distancias'!$D$2:$D$1445,AK20*38+AK21 + 2) +AO20," ")," ")</f>
        <v xml:space="preserve"> </v>
      </c>
      <c r="AO21" s="92" t="str">
        <f>IFERROR(IF(AND(AK5&lt;&gt;AK21,ISNUMBER(AN21)),INDEX('1 ubicaciones'!$I$2:$I$22,AK21 + 1) + MAX(AN21,INDEX('1 ubicaciones'!$F$2:$F$22,AK21 + 1))," ")," ")</f>
        <v xml:space="preserve"> </v>
      </c>
      <c r="AP21" s="64" t="str">
        <f>IFERROR(IF(AND(AJ21 = AJ5, AJ22 = ""), AN21 - AO5, AO21 - AO5)," ")</f>
        <v xml:space="preserve"> </v>
      </c>
      <c r="AQ21" s="49" t="str">
        <f>IFERROR(IF(ISNUMBER(AK21),INDEX('1 ubicaciones'!$L$2:$L$22,AK21 + 1) + AQ20," ")," ")</f>
        <v xml:space="preserve"> </v>
      </c>
      <c r="AR21" s="58" t="str">
        <f>IFERROR(IF(ISNUMBER(AK21),INDEX('1 ubicaciones'!$J$2:$J$22,AK21 + 1)," ")," ")</f>
        <v xml:space="preserve"> </v>
      </c>
      <c r="AS21" s="58" t="str">
        <f>IFERROR(IF(ISNUMBER(AK21),INDEX('1 ubicaciones'!$K$2:$K$22,AK21 + 1)," ")," ")</f>
        <v xml:space="preserve"> </v>
      </c>
      <c r="AT21" s="58" t="str">
        <f>IFERROR(IF(ISNUMBER(AK21),IF(AJ21 = AJ5, 0, AR21 + AT20)," ")," ")</f>
        <v xml:space="preserve"> </v>
      </c>
      <c r="AU21" s="58" t="str">
        <f>IFERROR(IF(ISNUMBER(AK21),IF(AJ22 = AJ5, 0, IF(AJ22 = "", 0, AU22 + AS22))," ")," ")</f>
        <v xml:space="preserve"> </v>
      </c>
      <c r="AV21" s="49" t="str">
        <f t="shared" si="2"/>
        <v xml:space="preserve"> </v>
      </c>
      <c r="AZ21" s="23">
        <v>16</v>
      </c>
      <c r="BA21" s="66"/>
      <c r="BB21" s="49" t="str">
        <f>IFERROR(MATCH(BA21,'1 ubicaciones'!$B$2:$B$22, 0) - 1," ")</f>
        <v xml:space="preserve"> </v>
      </c>
      <c r="BC21" s="58" t="str">
        <f>IFERROR(IF(ISNUMBER(BB21),INDEX('2.Distancias'!$C$2:$C$1445,BB20*38+BB21 + 2) +BC20," ")," ")</f>
        <v xml:space="preserve"> </v>
      </c>
      <c r="BD21" s="64" t="str">
        <f>IFERROR(IF(ISNUMBER(BB21),'3.Vehículos'!$F$5 * INDEX('2.Distancias'!$D$2:$D$1445,BB20*38+BB21 + 2) +BD20," ")," ")</f>
        <v xml:space="preserve"> </v>
      </c>
      <c r="BE21" s="92" t="str">
        <f>IFERROR(IF(ISNUMBER(BB21),'3.Vehículos'!$F$5 * INDEX('2.Distancias'!$D$2:$D$1445,BB20*38+BB21 + 2) +BF20," ")," ")</f>
        <v xml:space="preserve"> </v>
      </c>
      <c r="BF21" s="92" t="str">
        <f>IFERROR(IF(AND(BB5&lt;&gt;BB21,ISNUMBER(BE21)),INDEX('1 ubicaciones'!$I$2:$I$22,BB21 + 1) + MAX(BE21,INDEX('1 ubicaciones'!$F$2:$F$22,BB21 + 1))," ")," ")</f>
        <v xml:space="preserve"> </v>
      </c>
      <c r="BG21" s="64" t="str">
        <f>IFERROR(IF(AND(BA21 = BA5, BA22 = ""), BE21 - BF5, BF21 - BF5)," ")</f>
        <v xml:space="preserve"> </v>
      </c>
      <c r="BH21" s="49" t="str">
        <f>IFERROR(IF(ISNUMBER(BB21),INDEX('1 ubicaciones'!$L$2:$L$22,BB21 + 1) + BH20," ")," ")</f>
        <v xml:space="preserve"> </v>
      </c>
      <c r="BI21" s="58" t="str">
        <f>IFERROR(IF(ISNUMBER(BB21),INDEX('1 ubicaciones'!$J$2:$J$22,BB21 + 1)," ")," ")</f>
        <v xml:space="preserve"> </v>
      </c>
      <c r="BJ21" s="58" t="str">
        <f>IFERROR(IF(ISNUMBER(BB21),INDEX('1 ubicaciones'!$K$2:$K$22,BB21 + 1)," ")," ")</f>
        <v xml:space="preserve"> </v>
      </c>
      <c r="BK21" s="58" t="str">
        <f>IFERROR(IF(ISNUMBER(BB21),IF(BA21 = BA5, 0, BI21 + BK20)," ")," ")</f>
        <v xml:space="preserve"> </v>
      </c>
      <c r="BL21" s="58" t="str">
        <f>IFERROR(IF(ISNUMBER(BB21),IF(BA22 = BA5, 0, IF(BA22 = "", 0, BL22 + BJ22))," ")," ")</f>
        <v xml:space="preserve"> </v>
      </c>
      <c r="BM21" s="49" t="str">
        <f t="shared" si="3"/>
        <v xml:space="preserve"> </v>
      </c>
      <c r="BQ21" s="23">
        <v>16</v>
      </c>
      <c r="BR21" s="66"/>
      <c r="BS21" s="49" t="str">
        <f>IFERROR(MATCH(BR21,'1 ubicaciones'!$B$2:$B$22, 0) - 1," ")</f>
        <v xml:space="preserve"> </v>
      </c>
      <c r="BT21" s="58" t="str">
        <f>IFERROR(IF(ISNUMBER(BS21),INDEX('2.Distancias'!$C$2:$C$1445,BS20*38+BS21 + 2) +BT20," ")," ")</f>
        <v xml:space="preserve"> </v>
      </c>
      <c r="BU21" s="64" t="str">
        <f>IFERROR(IF(ISNUMBER(BS21),'3.Vehículos'!$F$6 * INDEX('2.Distancias'!$D$2:$D$1445,BS20*38+BS21 + 2) +BU20," ")," ")</f>
        <v xml:space="preserve"> </v>
      </c>
      <c r="BV21" s="92" t="str">
        <f>IFERROR(IF(ISNUMBER(BS21),'3.Vehículos'!$F$6 * INDEX('2.Distancias'!$D$2:$D$1445,BS20*38+BS21 + 2) +BW20," ")," ")</f>
        <v xml:space="preserve"> </v>
      </c>
      <c r="BW21" s="92" t="str">
        <f>IFERROR(IF(AND(BS5&lt;&gt;BS21,ISNUMBER(BV21)),INDEX('1 ubicaciones'!$I$2:$I$22,BS21 + 1) + MAX(BV21,INDEX('1 ubicaciones'!$F$2:$F$22,BS21 + 1))," ")," ")</f>
        <v xml:space="preserve"> </v>
      </c>
      <c r="BX21" s="64" t="str">
        <f>IFERROR(IF(AND(BR21 = BR5, BR22 = ""), BV21 - BW5, BW21 - BW5)," ")</f>
        <v xml:space="preserve"> </v>
      </c>
      <c r="BY21" s="49" t="str">
        <f>IFERROR(IF(ISNUMBER(BS21),INDEX('1 ubicaciones'!$L$2:$L$22,BS21 + 1) + BY20," ")," ")</f>
        <v xml:space="preserve"> </v>
      </c>
      <c r="BZ21" s="58" t="str">
        <f>IFERROR(IF(ISNUMBER(BS21),INDEX('1 ubicaciones'!$J$2:$J$22,BS21 + 1)," ")," ")</f>
        <v xml:space="preserve"> </v>
      </c>
      <c r="CA21" s="58" t="str">
        <f>IFERROR(IF(ISNUMBER(BS21),INDEX('1 ubicaciones'!$K$2:$K$22,BS21 + 1)," ")," ")</f>
        <v xml:space="preserve"> </v>
      </c>
      <c r="CB21" s="58" t="str">
        <f>IFERROR(IF(ISNUMBER(BS21),IF(BR21 = BR5, 0, BZ21 + CB20)," ")," ")</f>
        <v xml:space="preserve"> </v>
      </c>
      <c r="CC21" s="58" t="str">
        <f>IFERROR(IF(ISNUMBER(BS21),IF(BR22 = BR5, 0, IF(BR22 = "", 0, CC22 + CA22))," ")," ")</f>
        <v xml:space="preserve"> </v>
      </c>
      <c r="CD21" s="49" t="str">
        <f t="shared" si="4"/>
        <v xml:space="preserve"> </v>
      </c>
      <c r="CH21" s="23">
        <v>16</v>
      </c>
      <c r="CI21" s="66"/>
      <c r="CJ21" s="49" t="str">
        <f>IFERROR(MATCH(CI21,'1 ubicaciones'!$B$2:$B$22, 0) - 1," ")</f>
        <v xml:space="preserve"> </v>
      </c>
      <c r="CK21" s="58" t="str">
        <f>IFERROR(IF(ISNUMBER(CJ21),INDEX('2.Distancias'!$C$2:$C$1445,CJ20*38+CJ21 + 2) +CK20," ")," ")</f>
        <v xml:space="preserve"> </v>
      </c>
      <c r="CL21" s="64" t="str">
        <f>IFERROR(IF(ISNUMBER(CJ21),'3.Vehículos'!$F$10 * INDEX('2.Distancias'!$D$2:$D$1445,CJ20*38+CJ21 + 2) +CL20," ")," ")</f>
        <v xml:space="preserve"> </v>
      </c>
      <c r="CM21" s="92" t="str">
        <f>IFERROR(IF(ISNUMBER(CJ21),'3.Vehículos'!$F$10 * INDEX('2.Distancias'!$D$2:$D$1445,CJ20*38+CJ21 + 2) +CN20," ")," ")</f>
        <v xml:space="preserve"> </v>
      </c>
      <c r="CN21" s="92" t="str">
        <f>IFERROR(IF(AND(CJ5&lt;&gt;CJ21,ISNUMBER(CM21)),INDEX('1 ubicaciones'!$I$2:$I$22,CJ21 + 1) + MAX(CM21,INDEX('1 ubicaciones'!$F$2:$F$22,CJ21 + 1))," ")," ")</f>
        <v xml:space="preserve"> </v>
      </c>
      <c r="CO21" s="64" t="str">
        <f>IFERROR(IF(AND(CI21 = CI5, CI22 = ""), CM21 - CN5, CN21 - CN5)," ")</f>
        <v xml:space="preserve"> </v>
      </c>
      <c r="CP21" s="49" t="str">
        <f>IFERROR(IF(ISNUMBER(CJ21),INDEX('1 ubicaciones'!$L$2:$L$22,CJ21 + 1) + CP20," ")," ")</f>
        <v xml:space="preserve"> </v>
      </c>
      <c r="CQ21" s="58" t="str">
        <f>IFERROR(IF(ISNUMBER(CJ21),INDEX('1 ubicaciones'!$J$2:$J$22,CJ21 + 1)," ")," ")</f>
        <v xml:space="preserve"> </v>
      </c>
      <c r="CR21" s="58" t="str">
        <f>IFERROR(IF(ISNUMBER(CJ21),INDEX('1 ubicaciones'!$K$2:$K$22,CJ21 + 1)," ")," ")</f>
        <v xml:space="preserve"> </v>
      </c>
      <c r="CS21" s="58" t="str">
        <f>IFERROR(IF(ISNUMBER(CJ21),IF(CI21 = CI5, 0, CQ21 + CS20)," ")," ")</f>
        <v xml:space="preserve"> </v>
      </c>
      <c r="CT21" s="58" t="str">
        <f>IFERROR(IF(ISNUMBER(CJ21),IF(CI22 = CI5, 0, IF(CI22 = "", 0, CT22 + CR22))," ")," ")</f>
        <v xml:space="preserve"> </v>
      </c>
      <c r="CU21" s="49" t="str">
        <f t="shared" si="5"/>
        <v xml:space="preserve"> </v>
      </c>
      <c r="CY21" s="23">
        <v>16</v>
      </c>
      <c r="CZ21" s="66"/>
      <c r="DA21" s="49" t="str">
        <f>IFERROR(MATCH(CZ21,'1 ubicaciones'!$B$2:$B$22, 0) - 1," ")</f>
        <v xml:space="preserve"> </v>
      </c>
      <c r="DB21" s="58" t="str">
        <f>IFERROR(IF(ISNUMBER(DA21),INDEX('2.Distancias'!$C$2:$C$1445,DA20*38+DA21 + 2) +DB20," ")," ")</f>
        <v xml:space="preserve"> </v>
      </c>
      <c r="DC21" s="64" t="str">
        <f>IFERROR(IF(ISNUMBER(DA21),'3.Vehículos'!$F$11 * INDEX('2.Distancias'!$D$2:$D$1445,DA20*38+DA21 + 2) +DC20," ")," ")</f>
        <v xml:space="preserve"> </v>
      </c>
      <c r="DD21" s="92" t="str">
        <f>IFERROR(IF(ISNUMBER(DA21),'3.Vehículos'!$F$11 * INDEX('2.Distancias'!$D$2:$D$1445,DA20*38+DA21 + 2) +DE20," ")," ")</f>
        <v xml:space="preserve"> </v>
      </c>
      <c r="DE21" s="92" t="str">
        <f>IFERROR(IF(AND(DA5&lt;&gt;DA21,ISNUMBER(DD21)),INDEX('1 ubicaciones'!$I$2:$I$22,DA21 + 1) + MAX(DD21,INDEX('1 ubicaciones'!$F$2:$F$22,DA21 + 1))," ")," ")</f>
        <v xml:space="preserve"> </v>
      </c>
      <c r="DF21" s="64" t="str">
        <f>IFERROR(IF(AND(CZ21 = CZ5, CZ22 = ""), DD21 - DE5, DE21 - DE5)," ")</f>
        <v xml:space="preserve"> </v>
      </c>
      <c r="DG21" s="49" t="str">
        <f>IFERROR(IF(ISNUMBER(DA21),INDEX('1 ubicaciones'!$L$2:$L$22,DA21 + 1) + DG20," ")," ")</f>
        <v xml:space="preserve"> </v>
      </c>
      <c r="DH21" s="58" t="str">
        <f>IFERROR(IF(ISNUMBER(DA21),INDEX('1 ubicaciones'!$J$2:$J$22,DA21 + 1)," ")," ")</f>
        <v xml:space="preserve"> </v>
      </c>
      <c r="DI21" s="58" t="str">
        <f>IFERROR(IF(ISNUMBER(DA21),INDEX('1 ubicaciones'!$K$2:$K$22,DA21 + 1)," ")," ")</f>
        <v xml:space="preserve"> </v>
      </c>
      <c r="DJ21" s="58" t="str">
        <f>IFERROR(IF(ISNUMBER(DA21),IF(CZ21 = CZ5, 0, DH21 + DJ20)," ")," ")</f>
        <v xml:space="preserve"> </v>
      </c>
      <c r="DK21" s="58" t="str">
        <f>IFERROR(IF(ISNUMBER(DA21),IF(CZ22 = CZ5, 0, IF(CZ22 = "", 0, DK22 + DI22))," ")," ")</f>
        <v xml:space="preserve"> </v>
      </c>
      <c r="DL21" s="49" t="str">
        <f t="shared" si="6"/>
        <v xml:space="preserve"> </v>
      </c>
      <c r="DP21" s="23">
        <v>16</v>
      </c>
      <c r="DQ21" s="66"/>
      <c r="DR21" s="49" t="str">
        <f>IFERROR(MATCH(DQ21,'1 ubicaciones'!$B$2:$B$22, 0) - 1," ")</f>
        <v xml:space="preserve"> </v>
      </c>
      <c r="DS21" s="58" t="str">
        <f>IFERROR(IF(ISNUMBER(DR21),INDEX('2.Distancias'!$C$2:$C$1445,DR20*38+DR21 + 2) +DS20," ")," ")</f>
        <v xml:space="preserve"> </v>
      </c>
      <c r="DT21" s="64" t="str">
        <f>IFERROR(IF(ISNUMBER(DR21),'3.Vehículos'!$F$18 * INDEX('2.Distancias'!$D$2:$D$1445,DR20*38+DR21 + 2) +DT20," ")," ")</f>
        <v xml:space="preserve"> </v>
      </c>
      <c r="DU21" s="92" t="str">
        <f>IFERROR(IF(ISNUMBER(DR21),'3.Vehículos'!$F$18 * INDEX('2.Distancias'!$D$2:$D$1445,DR20*38+DR21 + 2) +DV20," ")," ")</f>
        <v xml:space="preserve"> </v>
      </c>
      <c r="DV21" s="92" t="str">
        <f>IFERROR(IF(AND(DR5&lt;&gt;DR21,ISNUMBER(DU21)),INDEX('1 ubicaciones'!$I$2:$I$22,DR21 + 1) + MAX(DU21,INDEX('1 ubicaciones'!$F$2:$F$22,DR21 + 1))," ")," ")</f>
        <v xml:space="preserve"> </v>
      </c>
      <c r="DW21" s="64" t="str">
        <f>IFERROR(IF(AND(DQ21 = DQ5, DQ22 = ""), DU21 - DV5, DV21 - DV5)," ")</f>
        <v xml:space="preserve"> </v>
      </c>
      <c r="DX21" s="49" t="str">
        <f>IFERROR(IF(ISNUMBER(DR21),INDEX('1 ubicaciones'!$L$2:$L$22,DR21 + 1) + DX20," ")," ")</f>
        <v xml:space="preserve"> </v>
      </c>
      <c r="DY21" s="58" t="str">
        <f>IFERROR(IF(ISNUMBER(DR21),INDEX('1 ubicaciones'!$J$2:$J$22,DR21 + 1)," ")," ")</f>
        <v xml:space="preserve"> </v>
      </c>
      <c r="DZ21" s="58" t="str">
        <f>IFERROR(IF(ISNUMBER(DR21),INDEX('1 ubicaciones'!$K$2:$K$22,DR21 + 1)," ")," ")</f>
        <v xml:space="preserve"> </v>
      </c>
      <c r="EA21" s="58" t="str">
        <f>IFERROR(IF(ISNUMBER(DR21),IF(DQ21 = DQ5, 0, DY21 + EA20)," ")," ")</f>
        <v xml:space="preserve"> </v>
      </c>
      <c r="EB21" s="58" t="str">
        <f>IFERROR(IF(ISNUMBER(DR21),IF(DQ22 = DQ5, 0, IF(DQ22 = "", 0, EB22 + DZ22))," ")," ")</f>
        <v xml:space="preserve"> </v>
      </c>
      <c r="EC21" s="49" t="str">
        <f t="shared" si="7"/>
        <v xml:space="preserve"> </v>
      </c>
    </row>
    <row r="22" spans="1:133" x14ac:dyDescent="0.25">
      <c r="A22" s="23">
        <v>17</v>
      </c>
      <c r="B22" s="63"/>
      <c r="C22" s="49" t="str">
        <f>IFERROR(MATCH(B22,'1 ubicaciones'!$B$2:$B$22, 0) - 1," ")</f>
        <v xml:space="preserve"> </v>
      </c>
      <c r="D22" s="58" t="str">
        <f>IFERROR(IF(ISNUMBER(C22),INDEX('2.Distancias'!$C$2:$C$1445,C21*38+C22 + 2) +D21," ")," ")</f>
        <v xml:space="preserve"> </v>
      </c>
      <c r="E22" s="64" t="str">
        <f>IFERROR(IF(ISNUMBER(C22),'3.Vehículos'!$F$2 * INDEX('2.Distancias'!$D$2:$D$1445,C21*38+C22 + 2) +E21," ")," ")</f>
        <v xml:space="preserve"> </v>
      </c>
      <c r="F22" s="92" t="str">
        <f>IFERROR(IF(ISNUMBER(C22),'3.Vehículos'!$F$2 * INDEX('2.Distancias'!$D$2:$D$1445,C21*38+C22 + 2) +G21," ")," ")</f>
        <v xml:space="preserve"> </v>
      </c>
      <c r="G22" s="92" t="str">
        <f>IFERROR(IF(AND(C5&lt;&gt;C22,ISNUMBER(F22)),INDEX('1 ubicaciones'!$I$2:$I$22,C22 + 1) + MAX(F22,INDEX('1 ubicaciones'!$F$2:$F$22,C22 + 1))," ")," ")</f>
        <v xml:space="preserve"> </v>
      </c>
      <c r="H22" s="64" t="str">
        <f>IFERROR(IF(AND(B22 = B5, B23 = ""), F22 - G5, G22 - G5)," ")</f>
        <v xml:space="preserve"> </v>
      </c>
      <c r="I22" s="49" t="str">
        <f>IFERROR(IF(ISNUMBER(C22),INDEX('1 ubicaciones'!$L$2:$L$22,C22 + 1) + I21," ")," ")</f>
        <v xml:space="preserve"> </v>
      </c>
      <c r="J22" s="58" t="str">
        <f>IFERROR(IF(ISNUMBER(C22),INDEX('1 ubicaciones'!$J$2:$J$22,C22 + 1)," ")," ")</f>
        <v xml:space="preserve"> </v>
      </c>
      <c r="K22" s="58" t="str">
        <f>IFERROR(IF(ISNUMBER(C22),INDEX('1 ubicaciones'!$K$2:$K$22,C22 + 1)," ")," ")</f>
        <v xml:space="preserve"> </v>
      </c>
      <c r="L22" s="58" t="str">
        <f>IFERROR(IF(ISNUMBER(C22),IF(B22 = B5, 0, J22 + L21)," ")," ")</f>
        <v xml:space="preserve"> </v>
      </c>
      <c r="M22" s="58" t="str">
        <f>IFERROR(IF(ISNUMBER(C22),IF(B23 = B5, 0, IF(B23 = "", 0, M23 + K23))," ")," ")</f>
        <v xml:space="preserve"> </v>
      </c>
      <c r="N22" s="49" t="str">
        <f t="shared" si="0"/>
        <v xml:space="preserve"> </v>
      </c>
      <c r="R22" s="23">
        <v>17</v>
      </c>
      <c r="S22" s="63"/>
      <c r="T22" s="49" t="str">
        <f>IFERROR(MATCH(S22,'1 ubicaciones'!$B$2:$B$22, 0) - 1," ")</f>
        <v xml:space="preserve"> </v>
      </c>
      <c r="U22" s="58" t="str">
        <f>IFERROR(IF(ISNUMBER(T22),INDEX('2.Distancias'!$C$2:$C$1445,T21*38+T22 + 2) +U21," ")," ")</f>
        <v xml:space="preserve"> </v>
      </c>
      <c r="V22" s="64" t="str">
        <f>IFERROR(IF(ISNUMBER(T22),'3.Vehículos'!$F$3 * INDEX('2.Distancias'!$D$2:$D$1445,T21*38+T22 + 2) +V21," ")," ")</f>
        <v xml:space="preserve"> </v>
      </c>
      <c r="W22" s="92" t="str">
        <f>IFERROR(IF(ISNUMBER(T22),'3.Vehículos'!$F$3 * INDEX('2.Distancias'!$D$2:$D$1445,T21*38+T22 + 2) +X21," ")," ")</f>
        <v xml:space="preserve"> </v>
      </c>
      <c r="X22" s="92" t="str">
        <f>IFERROR(IF(AND(T5&lt;&gt;T22,ISNUMBER(W22)),INDEX('1 ubicaciones'!$I$2:$I$22,T22 + 1) + MAX(W22,INDEX('1 ubicaciones'!$F$2:$F$22,T22 + 1))," ")," ")</f>
        <v xml:space="preserve"> </v>
      </c>
      <c r="Y22" s="64" t="str">
        <f>IFERROR(IF(AND(S22 = S5, S23 = ""), W22 - X5, X22 - X5)," ")</f>
        <v xml:space="preserve"> </v>
      </c>
      <c r="Z22" s="49" t="str">
        <f>IFERROR(IF(ISNUMBER(T22),INDEX('1 ubicaciones'!$L$2:$L$22,T22 + 1) + Z21," ")," ")</f>
        <v xml:space="preserve"> </v>
      </c>
      <c r="AA22" s="58" t="str">
        <f>IFERROR(IF(ISNUMBER(T22),INDEX('1 ubicaciones'!$J$2:$J$22,T22 + 1)," ")," ")</f>
        <v xml:space="preserve"> </v>
      </c>
      <c r="AB22" s="58" t="str">
        <f>IFERROR(IF(ISNUMBER(T22),INDEX('1 ubicaciones'!$K$2:$K$22,T22 + 1)," ")," ")</f>
        <v xml:space="preserve"> </v>
      </c>
      <c r="AC22" s="58" t="str">
        <f>IFERROR(IF(ISNUMBER(T22),IF(S22 = S5, 0, AA22 + AC21)," ")," ")</f>
        <v xml:space="preserve"> </v>
      </c>
      <c r="AD22" s="58" t="str">
        <f>IFERROR(IF(ISNUMBER(T22),IF(S23 = S5, 0, IF(S23 = "", 0, AD23 + AB23))," ")," ")</f>
        <v xml:space="preserve"> </v>
      </c>
      <c r="AE22" s="49" t="str">
        <f t="shared" si="1"/>
        <v xml:space="preserve"> </v>
      </c>
      <c r="AI22" s="23">
        <v>17</v>
      </c>
      <c r="AJ22" s="63"/>
      <c r="AK22" s="49" t="str">
        <f>IFERROR(MATCH(AJ22,'1 ubicaciones'!$B$2:$B$22, 0) - 1," ")</f>
        <v xml:space="preserve"> </v>
      </c>
      <c r="AL22" s="58" t="str">
        <f>IFERROR(IF(ISNUMBER(AK22),INDEX('2.Distancias'!$C$2:$C$1445,AK21*38+AK22 + 2) +AL21," ")," ")</f>
        <v xml:space="preserve"> </v>
      </c>
      <c r="AM22" s="64" t="str">
        <f>IFERROR(IF(ISNUMBER(AK22),'3.Vehículos'!$F$4 * INDEX('2.Distancias'!$D$2:$D$1445,AK21*38+AK22 + 2) +AM21," ")," ")</f>
        <v xml:space="preserve"> </v>
      </c>
      <c r="AN22" s="92" t="str">
        <f>IFERROR(IF(ISNUMBER(AK22),'3.Vehículos'!$F$4 * INDEX('2.Distancias'!$D$2:$D$1445,AK21*38+AK22 + 2) +AO21," ")," ")</f>
        <v xml:space="preserve"> </v>
      </c>
      <c r="AO22" s="92" t="str">
        <f>IFERROR(IF(AND(AK5&lt;&gt;AK22,ISNUMBER(AN22)),INDEX('1 ubicaciones'!$I$2:$I$22,AK22 + 1) + MAX(AN22,INDEX('1 ubicaciones'!$F$2:$F$22,AK22 + 1))," ")," ")</f>
        <v xml:space="preserve"> </v>
      </c>
      <c r="AP22" s="64" t="str">
        <f>IFERROR(IF(AND(AJ22 = AJ5, AJ23 = ""), AN22 - AO5, AO22 - AO5)," ")</f>
        <v xml:space="preserve"> </v>
      </c>
      <c r="AQ22" s="49" t="str">
        <f>IFERROR(IF(ISNUMBER(AK22),INDEX('1 ubicaciones'!$L$2:$L$22,AK22 + 1) + AQ21," ")," ")</f>
        <v xml:space="preserve"> </v>
      </c>
      <c r="AR22" s="58" t="str">
        <f>IFERROR(IF(ISNUMBER(AK22),INDEX('1 ubicaciones'!$J$2:$J$22,AK22 + 1)," ")," ")</f>
        <v xml:space="preserve"> </v>
      </c>
      <c r="AS22" s="58" t="str">
        <f>IFERROR(IF(ISNUMBER(AK22),INDEX('1 ubicaciones'!$K$2:$K$22,AK22 + 1)," ")," ")</f>
        <v xml:space="preserve"> </v>
      </c>
      <c r="AT22" s="58" t="str">
        <f>IFERROR(IF(ISNUMBER(AK22),IF(AJ22 = AJ5, 0, AR22 + AT21)," ")," ")</f>
        <v xml:space="preserve"> </v>
      </c>
      <c r="AU22" s="58" t="str">
        <f>IFERROR(IF(ISNUMBER(AK22),IF(AJ23 = AJ5, 0, IF(AJ23 = "", 0, AU23 + AS23))," ")," ")</f>
        <v xml:space="preserve"> </v>
      </c>
      <c r="AV22" s="49" t="str">
        <f t="shared" si="2"/>
        <v xml:space="preserve"> </v>
      </c>
      <c r="AZ22" s="23">
        <v>17</v>
      </c>
      <c r="BA22" s="63"/>
      <c r="BB22" s="49" t="str">
        <f>IFERROR(MATCH(BA22,'1 ubicaciones'!$B$2:$B$22, 0) - 1," ")</f>
        <v xml:space="preserve"> </v>
      </c>
      <c r="BC22" s="58" t="str">
        <f>IFERROR(IF(ISNUMBER(BB22),INDEX('2.Distancias'!$C$2:$C$1445,BB21*38+BB22 + 2) +BC21," ")," ")</f>
        <v xml:space="preserve"> </v>
      </c>
      <c r="BD22" s="64" t="str">
        <f>IFERROR(IF(ISNUMBER(BB22),'3.Vehículos'!$F$5 * INDEX('2.Distancias'!$D$2:$D$1445,BB21*38+BB22 + 2) +BD21," ")," ")</f>
        <v xml:space="preserve"> </v>
      </c>
      <c r="BE22" s="92" t="str">
        <f>IFERROR(IF(ISNUMBER(BB22),'3.Vehículos'!$F$5 * INDEX('2.Distancias'!$D$2:$D$1445,BB21*38+BB22 + 2) +BF21," ")," ")</f>
        <v xml:space="preserve"> </v>
      </c>
      <c r="BF22" s="92" t="str">
        <f>IFERROR(IF(AND(BB5&lt;&gt;BB22,ISNUMBER(BE22)),INDEX('1 ubicaciones'!$I$2:$I$22,BB22 + 1) + MAX(BE22,INDEX('1 ubicaciones'!$F$2:$F$22,BB22 + 1))," ")," ")</f>
        <v xml:space="preserve"> </v>
      </c>
      <c r="BG22" s="64" t="str">
        <f>IFERROR(IF(AND(BA22 = BA5, BA23 = ""), BE22 - BF5, BF22 - BF5)," ")</f>
        <v xml:space="preserve"> </v>
      </c>
      <c r="BH22" s="49" t="str">
        <f>IFERROR(IF(ISNUMBER(BB22),INDEX('1 ubicaciones'!$L$2:$L$22,BB22 + 1) + BH21," ")," ")</f>
        <v xml:space="preserve"> </v>
      </c>
      <c r="BI22" s="58" t="str">
        <f>IFERROR(IF(ISNUMBER(BB22),INDEX('1 ubicaciones'!$J$2:$J$22,BB22 + 1)," ")," ")</f>
        <v xml:space="preserve"> </v>
      </c>
      <c r="BJ22" s="58" t="str">
        <f>IFERROR(IF(ISNUMBER(BB22),INDEX('1 ubicaciones'!$K$2:$K$22,BB22 + 1)," ")," ")</f>
        <v xml:space="preserve"> </v>
      </c>
      <c r="BK22" s="58" t="str">
        <f>IFERROR(IF(ISNUMBER(BB22),IF(BA22 = BA5, 0, BI22 + BK21)," ")," ")</f>
        <v xml:space="preserve"> </v>
      </c>
      <c r="BL22" s="58" t="str">
        <f>IFERROR(IF(ISNUMBER(BB22),IF(BA23 = BA5, 0, IF(BA23 = "", 0, BL23 + BJ23))," ")," ")</f>
        <v xml:space="preserve"> </v>
      </c>
      <c r="BM22" s="49" t="str">
        <f t="shared" si="3"/>
        <v xml:space="preserve"> </v>
      </c>
      <c r="BQ22" s="23">
        <v>17</v>
      </c>
      <c r="BR22" s="63"/>
      <c r="BS22" s="49" t="str">
        <f>IFERROR(MATCH(BR22,'1 ubicaciones'!$B$2:$B$22, 0) - 1," ")</f>
        <v xml:space="preserve"> </v>
      </c>
      <c r="BT22" s="58" t="str">
        <f>IFERROR(IF(ISNUMBER(BS22),INDEX('2.Distancias'!$C$2:$C$1445,BS21*38+BS22 + 2) +BT21," ")," ")</f>
        <v xml:space="preserve"> </v>
      </c>
      <c r="BU22" s="64" t="str">
        <f>IFERROR(IF(ISNUMBER(BS22),'3.Vehículos'!$F$6 * INDEX('2.Distancias'!$D$2:$D$1445,BS21*38+BS22 + 2) +BU21," ")," ")</f>
        <v xml:space="preserve"> </v>
      </c>
      <c r="BV22" s="92" t="str">
        <f>IFERROR(IF(ISNUMBER(BS22),'3.Vehículos'!$F$6 * INDEX('2.Distancias'!$D$2:$D$1445,BS21*38+BS22 + 2) +BW21," ")," ")</f>
        <v xml:space="preserve"> </v>
      </c>
      <c r="BW22" s="92" t="str">
        <f>IFERROR(IF(AND(BS5&lt;&gt;BS22,ISNUMBER(BV22)),INDEX('1 ubicaciones'!$I$2:$I$22,BS22 + 1) + MAX(BV22,INDEX('1 ubicaciones'!$F$2:$F$22,BS22 + 1))," ")," ")</f>
        <v xml:space="preserve"> </v>
      </c>
      <c r="BX22" s="64" t="str">
        <f>IFERROR(IF(AND(BR22 = BR5, BR23 = ""), BV22 - BW5, BW22 - BW5)," ")</f>
        <v xml:space="preserve"> </v>
      </c>
      <c r="BY22" s="49" t="str">
        <f>IFERROR(IF(ISNUMBER(BS22),INDEX('1 ubicaciones'!$L$2:$L$22,BS22 + 1) + BY21," ")," ")</f>
        <v xml:space="preserve"> </v>
      </c>
      <c r="BZ22" s="58" t="str">
        <f>IFERROR(IF(ISNUMBER(BS22),INDEX('1 ubicaciones'!$J$2:$J$22,BS22 + 1)," ")," ")</f>
        <v xml:space="preserve"> </v>
      </c>
      <c r="CA22" s="58" t="str">
        <f>IFERROR(IF(ISNUMBER(BS22),INDEX('1 ubicaciones'!$K$2:$K$22,BS22 + 1)," ")," ")</f>
        <v xml:space="preserve"> </v>
      </c>
      <c r="CB22" s="58" t="str">
        <f>IFERROR(IF(ISNUMBER(BS22),IF(BR22 = BR5, 0, BZ22 + CB21)," ")," ")</f>
        <v xml:space="preserve"> </v>
      </c>
      <c r="CC22" s="58" t="str">
        <f>IFERROR(IF(ISNUMBER(BS22),IF(BR23 = BR5, 0, IF(BR23 = "", 0, CC23 + CA23))," ")," ")</f>
        <v xml:space="preserve"> </v>
      </c>
      <c r="CD22" s="49" t="str">
        <f t="shared" si="4"/>
        <v xml:space="preserve"> </v>
      </c>
      <c r="CH22" s="23">
        <v>17</v>
      </c>
      <c r="CI22" s="63"/>
      <c r="CJ22" s="49" t="str">
        <f>IFERROR(MATCH(CI22,'1 ubicaciones'!$B$2:$B$22, 0) - 1," ")</f>
        <v xml:space="preserve"> </v>
      </c>
      <c r="CK22" s="58" t="str">
        <f>IFERROR(IF(ISNUMBER(CJ22),INDEX('2.Distancias'!$C$2:$C$1445,CJ21*38+CJ22 + 2) +CK21," ")," ")</f>
        <v xml:space="preserve"> </v>
      </c>
      <c r="CL22" s="64" t="str">
        <f>IFERROR(IF(ISNUMBER(CJ22),'3.Vehículos'!$F$10 * INDEX('2.Distancias'!$D$2:$D$1445,CJ21*38+CJ22 + 2) +CL21," ")," ")</f>
        <v xml:space="preserve"> </v>
      </c>
      <c r="CM22" s="92" t="str">
        <f>IFERROR(IF(ISNUMBER(CJ22),'3.Vehículos'!$F$10 * INDEX('2.Distancias'!$D$2:$D$1445,CJ21*38+CJ22 + 2) +CN21," ")," ")</f>
        <v xml:space="preserve"> </v>
      </c>
      <c r="CN22" s="92" t="str">
        <f>IFERROR(IF(AND(CJ5&lt;&gt;CJ22,ISNUMBER(CM22)),INDEX('1 ubicaciones'!$I$2:$I$22,CJ22 + 1) + MAX(CM22,INDEX('1 ubicaciones'!$F$2:$F$22,CJ22 + 1))," ")," ")</f>
        <v xml:space="preserve"> </v>
      </c>
      <c r="CO22" s="64" t="str">
        <f>IFERROR(IF(AND(CI22 = CI5, CI23 = ""), CM22 - CN5, CN22 - CN5)," ")</f>
        <v xml:space="preserve"> </v>
      </c>
      <c r="CP22" s="49" t="str">
        <f>IFERROR(IF(ISNUMBER(CJ22),INDEX('1 ubicaciones'!$L$2:$L$22,CJ22 + 1) + CP21," ")," ")</f>
        <v xml:space="preserve"> </v>
      </c>
      <c r="CQ22" s="58" t="str">
        <f>IFERROR(IF(ISNUMBER(CJ22),INDEX('1 ubicaciones'!$J$2:$J$22,CJ22 + 1)," ")," ")</f>
        <v xml:space="preserve"> </v>
      </c>
      <c r="CR22" s="58" t="str">
        <f>IFERROR(IF(ISNUMBER(CJ22),INDEX('1 ubicaciones'!$K$2:$K$22,CJ22 + 1)," ")," ")</f>
        <v xml:space="preserve"> </v>
      </c>
      <c r="CS22" s="58" t="str">
        <f>IFERROR(IF(ISNUMBER(CJ22),IF(CI22 = CI5, 0, CQ22 + CS21)," ")," ")</f>
        <v xml:space="preserve"> </v>
      </c>
      <c r="CT22" s="58" t="str">
        <f>IFERROR(IF(ISNUMBER(CJ22),IF(CI23 = CI5, 0, IF(CI23 = "", 0, CT23 + CR23))," ")," ")</f>
        <v xml:space="preserve"> </v>
      </c>
      <c r="CU22" s="49" t="str">
        <f t="shared" si="5"/>
        <v xml:space="preserve"> </v>
      </c>
      <c r="CY22" s="23">
        <v>17</v>
      </c>
      <c r="CZ22" s="63"/>
      <c r="DA22" s="49" t="str">
        <f>IFERROR(MATCH(CZ22,'1 ubicaciones'!$B$2:$B$22, 0) - 1," ")</f>
        <v xml:space="preserve"> </v>
      </c>
      <c r="DB22" s="58" t="str">
        <f>IFERROR(IF(ISNUMBER(DA22),INDEX('2.Distancias'!$C$2:$C$1445,DA21*38+DA22 + 2) +DB21," ")," ")</f>
        <v xml:space="preserve"> </v>
      </c>
      <c r="DC22" s="64" t="str">
        <f>IFERROR(IF(ISNUMBER(DA22),'3.Vehículos'!$F$11 * INDEX('2.Distancias'!$D$2:$D$1445,DA21*38+DA22 + 2) +DC21," ")," ")</f>
        <v xml:space="preserve"> </v>
      </c>
      <c r="DD22" s="92" t="str">
        <f>IFERROR(IF(ISNUMBER(DA22),'3.Vehículos'!$F$11 * INDEX('2.Distancias'!$D$2:$D$1445,DA21*38+DA22 + 2) +DE21," ")," ")</f>
        <v xml:space="preserve"> </v>
      </c>
      <c r="DE22" s="92" t="str">
        <f>IFERROR(IF(AND(DA5&lt;&gt;DA22,ISNUMBER(DD22)),INDEX('1 ubicaciones'!$I$2:$I$22,DA22 + 1) + MAX(DD22,INDEX('1 ubicaciones'!$F$2:$F$22,DA22 + 1))," ")," ")</f>
        <v xml:space="preserve"> </v>
      </c>
      <c r="DF22" s="64" t="str">
        <f>IFERROR(IF(AND(CZ22 = CZ5, CZ23 = ""), DD22 - DE5, DE22 - DE5)," ")</f>
        <v xml:space="preserve"> </v>
      </c>
      <c r="DG22" s="49" t="str">
        <f>IFERROR(IF(ISNUMBER(DA22),INDEX('1 ubicaciones'!$L$2:$L$22,DA22 + 1) + DG21," ")," ")</f>
        <v xml:space="preserve"> </v>
      </c>
      <c r="DH22" s="58" t="str">
        <f>IFERROR(IF(ISNUMBER(DA22),INDEX('1 ubicaciones'!$J$2:$J$22,DA22 + 1)," ")," ")</f>
        <v xml:space="preserve"> </v>
      </c>
      <c r="DI22" s="58" t="str">
        <f>IFERROR(IF(ISNUMBER(DA22),INDEX('1 ubicaciones'!$K$2:$K$22,DA22 + 1)," ")," ")</f>
        <v xml:space="preserve"> </v>
      </c>
      <c r="DJ22" s="58" t="str">
        <f>IFERROR(IF(ISNUMBER(DA22),IF(CZ22 = CZ5, 0, DH22 + DJ21)," ")," ")</f>
        <v xml:space="preserve"> </v>
      </c>
      <c r="DK22" s="58" t="str">
        <f>IFERROR(IF(ISNUMBER(DA22),IF(CZ23 = CZ5, 0, IF(CZ23 = "", 0, DK23 + DI23))," ")," ")</f>
        <v xml:space="preserve"> </v>
      </c>
      <c r="DL22" s="49" t="str">
        <f t="shared" si="6"/>
        <v xml:space="preserve"> </v>
      </c>
      <c r="DP22" s="23">
        <v>17</v>
      </c>
      <c r="DQ22" s="63"/>
      <c r="DR22" s="49" t="str">
        <f>IFERROR(MATCH(DQ22,'1 ubicaciones'!$B$2:$B$22, 0) - 1," ")</f>
        <v xml:space="preserve"> </v>
      </c>
      <c r="DS22" s="58" t="str">
        <f>IFERROR(IF(ISNUMBER(DR22),INDEX('2.Distancias'!$C$2:$C$1445,DR21*38+DR22 + 2) +DS21," ")," ")</f>
        <v xml:space="preserve"> </v>
      </c>
      <c r="DT22" s="64" t="str">
        <f>IFERROR(IF(ISNUMBER(DR22),'3.Vehículos'!$F$18 * INDEX('2.Distancias'!$D$2:$D$1445,DR21*38+DR22 + 2) +DT21," ")," ")</f>
        <v xml:space="preserve"> </v>
      </c>
      <c r="DU22" s="92" t="str">
        <f>IFERROR(IF(ISNUMBER(DR22),'3.Vehículos'!$F$18 * INDEX('2.Distancias'!$D$2:$D$1445,DR21*38+DR22 + 2) +DV21," ")," ")</f>
        <v xml:space="preserve"> </v>
      </c>
      <c r="DV22" s="92" t="str">
        <f>IFERROR(IF(AND(DR5&lt;&gt;DR22,ISNUMBER(DU22)),INDEX('1 ubicaciones'!$I$2:$I$22,DR22 + 1) + MAX(DU22,INDEX('1 ubicaciones'!$F$2:$F$22,DR22 + 1))," ")," ")</f>
        <v xml:space="preserve"> </v>
      </c>
      <c r="DW22" s="64" t="str">
        <f>IFERROR(IF(AND(DQ22 = DQ5, DQ23 = ""), DU22 - DV5, DV22 - DV5)," ")</f>
        <v xml:space="preserve"> </v>
      </c>
      <c r="DX22" s="49" t="str">
        <f>IFERROR(IF(ISNUMBER(DR22),INDEX('1 ubicaciones'!$L$2:$L$22,DR22 + 1) + DX21," ")," ")</f>
        <v xml:space="preserve"> </v>
      </c>
      <c r="DY22" s="58" t="str">
        <f>IFERROR(IF(ISNUMBER(DR22),INDEX('1 ubicaciones'!$J$2:$J$22,DR22 + 1)," ")," ")</f>
        <v xml:space="preserve"> </v>
      </c>
      <c r="DZ22" s="58" t="str">
        <f>IFERROR(IF(ISNUMBER(DR22),INDEX('1 ubicaciones'!$K$2:$K$22,DR22 + 1)," ")," ")</f>
        <v xml:space="preserve"> </v>
      </c>
      <c r="EA22" s="58" t="str">
        <f>IFERROR(IF(ISNUMBER(DR22),IF(DQ22 = DQ5, 0, DY22 + EA21)," ")," ")</f>
        <v xml:space="preserve"> </v>
      </c>
      <c r="EB22" s="58" t="str">
        <f>IFERROR(IF(ISNUMBER(DR22),IF(DQ23 = DQ5, 0, IF(DQ23 = "", 0, EB23 + DZ23))," ")," ")</f>
        <v xml:space="preserve"> </v>
      </c>
      <c r="EC22" s="49" t="str">
        <f t="shared" si="7"/>
        <v xml:space="preserve"> </v>
      </c>
    </row>
    <row r="23" spans="1:133" x14ac:dyDescent="0.25">
      <c r="A23" s="23">
        <v>18</v>
      </c>
      <c r="B23" s="66"/>
      <c r="C23" s="49" t="str">
        <f>IFERROR(MATCH(B23,'1 ubicaciones'!$B$2:$B$22, 0) - 1," ")</f>
        <v xml:space="preserve"> </v>
      </c>
      <c r="D23" s="58" t="str">
        <f>IFERROR(IF(ISNUMBER(C23),INDEX('2.Distancias'!$C$2:$C$1445,C22*38+C23 + 2) +D22," ")," ")</f>
        <v xml:space="preserve"> </v>
      </c>
      <c r="E23" s="64" t="str">
        <f>IFERROR(IF(ISNUMBER(C23),'3.Vehículos'!$F$2 * INDEX('2.Distancias'!$D$2:$D$1445,C22*38+C23 + 2) +E22," ")," ")</f>
        <v xml:space="preserve"> </v>
      </c>
      <c r="F23" s="92" t="str">
        <f>IFERROR(IF(ISNUMBER(C23),'3.Vehículos'!$F$2 * INDEX('2.Distancias'!$D$2:$D$1445,C22*38+C23 + 2) +G22," ")," ")</f>
        <v xml:space="preserve"> </v>
      </c>
      <c r="G23" s="92" t="str">
        <f>IFERROR(IF(AND(C5&lt;&gt;C23,ISNUMBER(F23)),INDEX('1 ubicaciones'!$I$2:$I$22,C23 + 1) + MAX(F23,INDEX('1 ubicaciones'!$F$2:$F$22,C23 + 1))," ")," ")</f>
        <v xml:space="preserve"> </v>
      </c>
      <c r="H23" s="64" t="str">
        <f>IFERROR(IF(AND(B23 = B5, B24 = ""), F23 - G5, G23 - G5)," ")</f>
        <v xml:space="preserve"> </v>
      </c>
      <c r="I23" s="49" t="str">
        <f>IFERROR(IF(ISNUMBER(C23),INDEX('1 ubicaciones'!$L$2:$L$22,C23 + 1) + I22," ")," ")</f>
        <v xml:space="preserve"> </v>
      </c>
      <c r="J23" s="58" t="str">
        <f>IFERROR(IF(ISNUMBER(C23),INDEX('1 ubicaciones'!$J$2:$J$22,C23 + 1)," ")," ")</f>
        <v xml:space="preserve"> </v>
      </c>
      <c r="K23" s="58" t="str">
        <f>IFERROR(IF(ISNUMBER(C23),INDEX('1 ubicaciones'!$K$2:$K$22,C23 + 1)," ")," ")</f>
        <v xml:space="preserve"> </v>
      </c>
      <c r="L23" s="58" t="str">
        <f>IFERROR(IF(ISNUMBER(C23),IF(B23 = B5, 0, J23 + L22)," ")," ")</f>
        <v xml:space="preserve"> </v>
      </c>
      <c r="M23" s="58" t="str">
        <f>IFERROR(IF(ISNUMBER(C23),IF(B24 = B5, 0, IF(B24 = "", 0, M24 + K24))," ")," ")</f>
        <v xml:space="preserve"> </v>
      </c>
      <c r="N23" s="49" t="str">
        <f t="shared" si="0"/>
        <v xml:space="preserve"> </v>
      </c>
      <c r="R23" s="23">
        <v>18</v>
      </c>
      <c r="S23" s="66"/>
      <c r="T23" s="49" t="str">
        <f>IFERROR(MATCH(S23,'1 ubicaciones'!$B$2:$B$22, 0) - 1," ")</f>
        <v xml:space="preserve"> </v>
      </c>
      <c r="U23" s="58" t="str">
        <f>IFERROR(IF(ISNUMBER(T23),INDEX('2.Distancias'!$C$2:$C$1445,T22*38+T23 + 2) +U22," ")," ")</f>
        <v xml:space="preserve"> </v>
      </c>
      <c r="V23" s="64" t="str">
        <f>IFERROR(IF(ISNUMBER(T23),'3.Vehículos'!$F$3 * INDEX('2.Distancias'!$D$2:$D$1445,T22*38+T23 + 2) +V22," ")," ")</f>
        <v xml:space="preserve"> </v>
      </c>
      <c r="W23" s="92" t="str">
        <f>IFERROR(IF(ISNUMBER(T23),'3.Vehículos'!$F$3 * INDEX('2.Distancias'!$D$2:$D$1445,T22*38+T23 + 2) +X22," ")," ")</f>
        <v xml:space="preserve"> </v>
      </c>
      <c r="X23" s="92" t="str">
        <f>IFERROR(IF(AND(T5&lt;&gt;T23,ISNUMBER(W23)),INDEX('1 ubicaciones'!$I$2:$I$22,T23 + 1) + MAX(W23,INDEX('1 ubicaciones'!$F$2:$F$22,T23 + 1))," ")," ")</f>
        <v xml:space="preserve"> </v>
      </c>
      <c r="Y23" s="64" t="str">
        <f>IFERROR(IF(AND(S23 = S5, S24 = ""), W23 - X5, X23 - X5)," ")</f>
        <v xml:space="preserve"> </v>
      </c>
      <c r="Z23" s="49" t="str">
        <f>IFERROR(IF(ISNUMBER(T23),INDEX('1 ubicaciones'!$L$2:$L$22,T23 + 1) + Z22," ")," ")</f>
        <v xml:space="preserve"> </v>
      </c>
      <c r="AA23" s="58" t="str">
        <f>IFERROR(IF(ISNUMBER(T23),INDEX('1 ubicaciones'!$J$2:$J$22,T23 + 1)," ")," ")</f>
        <v xml:space="preserve"> </v>
      </c>
      <c r="AB23" s="58" t="str">
        <f>IFERROR(IF(ISNUMBER(T23),INDEX('1 ubicaciones'!$K$2:$K$22,T23 + 1)," ")," ")</f>
        <v xml:space="preserve"> </v>
      </c>
      <c r="AC23" s="58" t="str">
        <f>IFERROR(IF(ISNUMBER(T23),IF(S23 = S5, 0, AA23 + AC22)," ")," ")</f>
        <v xml:space="preserve"> </v>
      </c>
      <c r="AD23" s="58" t="str">
        <f>IFERROR(IF(ISNUMBER(T23),IF(S24 = S5, 0, IF(S24 = "", 0, AD24 + AB24))," ")," ")</f>
        <v xml:space="preserve"> </v>
      </c>
      <c r="AE23" s="49" t="str">
        <f t="shared" si="1"/>
        <v xml:space="preserve"> </v>
      </c>
      <c r="AI23" s="23">
        <v>18</v>
      </c>
      <c r="AJ23" s="66"/>
      <c r="AK23" s="49" t="str">
        <f>IFERROR(MATCH(AJ23,'1 ubicaciones'!$B$2:$B$22, 0) - 1," ")</f>
        <v xml:space="preserve"> </v>
      </c>
      <c r="AL23" s="58" t="str">
        <f>IFERROR(IF(ISNUMBER(AK23),INDEX('2.Distancias'!$C$2:$C$1445,AK22*38+AK23 + 2) +AL22," ")," ")</f>
        <v xml:space="preserve"> </v>
      </c>
      <c r="AM23" s="64" t="str">
        <f>IFERROR(IF(ISNUMBER(AK23),'3.Vehículos'!$F$4 * INDEX('2.Distancias'!$D$2:$D$1445,AK22*38+AK23 + 2) +AM22," ")," ")</f>
        <v xml:space="preserve"> </v>
      </c>
      <c r="AN23" s="92" t="str">
        <f>IFERROR(IF(ISNUMBER(AK23),'3.Vehículos'!$F$4 * INDEX('2.Distancias'!$D$2:$D$1445,AK22*38+AK23 + 2) +AO22," ")," ")</f>
        <v xml:space="preserve"> </v>
      </c>
      <c r="AO23" s="92" t="str">
        <f>IFERROR(IF(AND(AK5&lt;&gt;AK23,ISNUMBER(AN23)),INDEX('1 ubicaciones'!$I$2:$I$22,AK23 + 1) + MAX(AN23,INDEX('1 ubicaciones'!$F$2:$F$22,AK23 + 1))," ")," ")</f>
        <v xml:space="preserve"> </v>
      </c>
      <c r="AP23" s="64" t="str">
        <f>IFERROR(IF(AND(AJ23 = AJ5, AJ24 = ""), AN23 - AO5, AO23 - AO5)," ")</f>
        <v xml:space="preserve"> </v>
      </c>
      <c r="AQ23" s="49" t="str">
        <f>IFERROR(IF(ISNUMBER(AK23),INDEX('1 ubicaciones'!$L$2:$L$22,AK23 + 1) + AQ22," ")," ")</f>
        <v xml:space="preserve"> </v>
      </c>
      <c r="AR23" s="58" t="str">
        <f>IFERROR(IF(ISNUMBER(AK23),INDEX('1 ubicaciones'!$J$2:$J$22,AK23 + 1)," ")," ")</f>
        <v xml:space="preserve"> </v>
      </c>
      <c r="AS23" s="58" t="str">
        <f>IFERROR(IF(ISNUMBER(AK23),INDEX('1 ubicaciones'!$K$2:$K$22,AK23 + 1)," ")," ")</f>
        <v xml:space="preserve"> </v>
      </c>
      <c r="AT23" s="58" t="str">
        <f>IFERROR(IF(ISNUMBER(AK23),IF(AJ23 = AJ5, 0, AR23 + AT22)," ")," ")</f>
        <v xml:space="preserve"> </v>
      </c>
      <c r="AU23" s="58" t="str">
        <f>IFERROR(IF(ISNUMBER(AK23),IF(AJ24 = AJ5, 0, IF(AJ24 = "", 0, AU24 + AS24))," ")," ")</f>
        <v xml:space="preserve"> </v>
      </c>
      <c r="AV23" s="49" t="str">
        <f t="shared" si="2"/>
        <v xml:space="preserve"> </v>
      </c>
      <c r="AZ23" s="23">
        <v>18</v>
      </c>
      <c r="BA23" s="66"/>
      <c r="BB23" s="49" t="str">
        <f>IFERROR(MATCH(BA23,'1 ubicaciones'!$B$2:$B$22, 0) - 1," ")</f>
        <v xml:space="preserve"> </v>
      </c>
      <c r="BC23" s="58" t="str">
        <f>IFERROR(IF(ISNUMBER(BB23),INDEX('2.Distancias'!$C$2:$C$1445,BB22*38+BB23 + 2) +BC22," ")," ")</f>
        <v xml:space="preserve"> </v>
      </c>
      <c r="BD23" s="64" t="str">
        <f>IFERROR(IF(ISNUMBER(BB23),'3.Vehículos'!$F$5 * INDEX('2.Distancias'!$D$2:$D$1445,BB22*38+BB23 + 2) +BD22," ")," ")</f>
        <v xml:space="preserve"> </v>
      </c>
      <c r="BE23" s="92" t="str">
        <f>IFERROR(IF(ISNUMBER(BB23),'3.Vehículos'!$F$5 * INDEX('2.Distancias'!$D$2:$D$1445,BB22*38+BB23 + 2) +BF22," ")," ")</f>
        <v xml:space="preserve"> </v>
      </c>
      <c r="BF23" s="92" t="str">
        <f>IFERROR(IF(AND(BB5&lt;&gt;BB23,ISNUMBER(BE23)),INDEX('1 ubicaciones'!$I$2:$I$22,BB23 + 1) + MAX(BE23,INDEX('1 ubicaciones'!$F$2:$F$22,BB23 + 1))," ")," ")</f>
        <v xml:space="preserve"> </v>
      </c>
      <c r="BG23" s="64" t="str">
        <f>IFERROR(IF(AND(BA23 = BA5, BA24 = ""), BE23 - BF5, BF23 - BF5)," ")</f>
        <v xml:space="preserve"> </v>
      </c>
      <c r="BH23" s="49" t="str">
        <f>IFERROR(IF(ISNUMBER(BB23),INDEX('1 ubicaciones'!$L$2:$L$22,BB23 + 1) + BH22," ")," ")</f>
        <v xml:space="preserve"> </v>
      </c>
      <c r="BI23" s="58" t="str">
        <f>IFERROR(IF(ISNUMBER(BB23),INDEX('1 ubicaciones'!$J$2:$J$22,BB23 + 1)," ")," ")</f>
        <v xml:space="preserve"> </v>
      </c>
      <c r="BJ23" s="58" t="str">
        <f>IFERROR(IF(ISNUMBER(BB23),INDEX('1 ubicaciones'!$K$2:$K$22,BB23 + 1)," ")," ")</f>
        <v xml:space="preserve"> </v>
      </c>
      <c r="BK23" s="58" t="str">
        <f>IFERROR(IF(ISNUMBER(BB23),IF(BA23 = BA5, 0, BI23 + BK22)," ")," ")</f>
        <v xml:space="preserve"> </v>
      </c>
      <c r="BL23" s="58" t="str">
        <f>IFERROR(IF(ISNUMBER(BB23),IF(BA24 = BA5, 0, IF(BA24 = "", 0, BL24 + BJ24))," ")," ")</f>
        <v xml:space="preserve"> </v>
      </c>
      <c r="BM23" s="49" t="str">
        <f t="shared" si="3"/>
        <v xml:space="preserve"> </v>
      </c>
      <c r="BQ23" s="23">
        <v>18</v>
      </c>
      <c r="BR23" s="66"/>
      <c r="BS23" s="49" t="str">
        <f>IFERROR(MATCH(BR23,'1 ubicaciones'!$B$2:$B$22, 0) - 1," ")</f>
        <v xml:space="preserve"> </v>
      </c>
      <c r="BT23" s="58" t="str">
        <f>IFERROR(IF(ISNUMBER(BS23),INDEX('2.Distancias'!$C$2:$C$1445,BS22*38+BS23 + 2) +BT22," ")," ")</f>
        <v xml:space="preserve"> </v>
      </c>
      <c r="BU23" s="64" t="str">
        <f>IFERROR(IF(ISNUMBER(BS23),'3.Vehículos'!$F$6 * INDEX('2.Distancias'!$D$2:$D$1445,BS22*38+BS23 + 2) +BU22," ")," ")</f>
        <v xml:space="preserve"> </v>
      </c>
      <c r="BV23" s="92" t="str">
        <f>IFERROR(IF(ISNUMBER(BS23),'3.Vehículos'!$F$6 * INDEX('2.Distancias'!$D$2:$D$1445,BS22*38+BS23 + 2) +BW22," ")," ")</f>
        <v xml:space="preserve"> </v>
      </c>
      <c r="BW23" s="92" t="str">
        <f>IFERROR(IF(AND(BS5&lt;&gt;BS23,ISNUMBER(BV23)),INDEX('1 ubicaciones'!$I$2:$I$22,BS23 + 1) + MAX(BV23,INDEX('1 ubicaciones'!$F$2:$F$22,BS23 + 1))," ")," ")</f>
        <v xml:space="preserve"> </v>
      </c>
      <c r="BX23" s="64" t="str">
        <f>IFERROR(IF(AND(BR23 = BR5, BR24 = ""), BV23 - BW5, BW23 - BW5)," ")</f>
        <v xml:space="preserve"> </v>
      </c>
      <c r="BY23" s="49" t="str">
        <f>IFERROR(IF(ISNUMBER(BS23),INDEX('1 ubicaciones'!$L$2:$L$22,BS23 + 1) + BY22," ")," ")</f>
        <v xml:space="preserve"> </v>
      </c>
      <c r="BZ23" s="58" t="str">
        <f>IFERROR(IF(ISNUMBER(BS23),INDEX('1 ubicaciones'!$J$2:$J$22,BS23 + 1)," ")," ")</f>
        <v xml:space="preserve"> </v>
      </c>
      <c r="CA23" s="58" t="str">
        <f>IFERROR(IF(ISNUMBER(BS23),INDEX('1 ubicaciones'!$K$2:$K$22,BS23 + 1)," ")," ")</f>
        <v xml:space="preserve"> </v>
      </c>
      <c r="CB23" s="58" t="str">
        <f>IFERROR(IF(ISNUMBER(BS23),IF(BR23 = BR5, 0, BZ23 + CB22)," ")," ")</f>
        <v xml:space="preserve"> </v>
      </c>
      <c r="CC23" s="58" t="str">
        <f>IFERROR(IF(ISNUMBER(BS23),IF(BR24 = BR5, 0, IF(BR24 = "", 0, CC24 + CA24))," ")," ")</f>
        <v xml:space="preserve"> </v>
      </c>
      <c r="CD23" s="49" t="str">
        <f t="shared" si="4"/>
        <v xml:space="preserve"> </v>
      </c>
      <c r="CH23" s="23">
        <v>18</v>
      </c>
      <c r="CI23" s="66"/>
      <c r="CJ23" s="49" t="str">
        <f>IFERROR(MATCH(CI23,'1 ubicaciones'!$B$2:$B$22, 0) - 1," ")</f>
        <v xml:space="preserve"> </v>
      </c>
      <c r="CK23" s="58" t="str">
        <f>IFERROR(IF(ISNUMBER(CJ23),INDEX('2.Distancias'!$C$2:$C$1445,CJ22*38+CJ23 + 2) +CK22," ")," ")</f>
        <v xml:space="preserve"> </v>
      </c>
      <c r="CL23" s="64" t="str">
        <f>IFERROR(IF(ISNUMBER(CJ23),'3.Vehículos'!$F$10 * INDEX('2.Distancias'!$D$2:$D$1445,CJ22*38+CJ23 + 2) +CL22," ")," ")</f>
        <v xml:space="preserve"> </v>
      </c>
      <c r="CM23" s="92" t="str">
        <f>IFERROR(IF(ISNUMBER(CJ23),'3.Vehículos'!$F$10 * INDEX('2.Distancias'!$D$2:$D$1445,CJ22*38+CJ23 + 2) +CN22," ")," ")</f>
        <v xml:space="preserve"> </v>
      </c>
      <c r="CN23" s="92" t="str">
        <f>IFERROR(IF(AND(CJ5&lt;&gt;CJ23,ISNUMBER(CM23)),INDEX('1 ubicaciones'!$I$2:$I$22,CJ23 + 1) + MAX(CM23,INDEX('1 ubicaciones'!$F$2:$F$22,CJ23 + 1))," ")," ")</f>
        <v xml:space="preserve"> </v>
      </c>
      <c r="CO23" s="64" t="str">
        <f>IFERROR(IF(AND(CI23 = CI5, CI24 = ""), CM23 - CN5, CN23 - CN5)," ")</f>
        <v xml:space="preserve"> </v>
      </c>
      <c r="CP23" s="49" t="str">
        <f>IFERROR(IF(ISNUMBER(CJ23),INDEX('1 ubicaciones'!$L$2:$L$22,CJ23 + 1) + CP22," ")," ")</f>
        <v xml:space="preserve"> </v>
      </c>
      <c r="CQ23" s="58" t="str">
        <f>IFERROR(IF(ISNUMBER(CJ23),INDEX('1 ubicaciones'!$J$2:$J$22,CJ23 + 1)," ")," ")</f>
        <v xml:space="preserve"> </v>
      </c>
      <c r="CR23" s="58" t="str">
        <f>IFERROR(IF(ISNUMBER(CJ23),INDEX('1 ubicaciones'!$K$2:$K$22,CJ23 + 1)," ")," ")</f>
        <v xml:space="preserve"> </v>
      </c>
      <c r="CS23" s="58" t="str">
        <f>IFERROR(IF(ISNUMBER(CJ23),IF(CI23 = CI5, 0, CQ23 + CS22)," ")," ")</f>
        <v xml:space="preserve"> </v>
      </c>
      <c r="CT23" s="58" t="str">
        <f>IFERROR(IF(ISNUMBER(CJ23),IF(CI24 = CI5, 0, IF(CI24 = "", 0, CT24 + CR24))," ")," ")</f>
        <v xml:space="preserve"> </v>
      </c>
      <c r="CU23" s="49" t="str">
        <f t="shared" si="5"/>
        <v xml:space="preserve"> </v>
      </c>
      <c r="CY23" s="23">
        <v>18</v>
      </c>
      <c r="CZ23" s="66"/>
      <c r="DA23" s="49" t="str">
        <f>IFERROR(MATCH(CZ23,'1 ubicaciones'!$B$2:$B$22, 0) - 1," ")</f>
        <v xml:space="preserve"> </v>
      </c>
      <c r="DB23" s="58" t="str">
        <f>IFERROR(IF(ISNUMBER(DA23),INDEX('2.Distancias'!$C$2:$C$1445,DA22*38+DA23 + 2) +DB22," ")," ")</f>
        <v xml:space="preserve"> </v>
      </c>
      <c r="DC23" s="64" t="str">
        <f>IFERROR(IF(ISNUMBER(DA23),'3.Vehículos'!$F$11 * INDEX('2.Distancias'!$D$2:$D$1445,DA22*38+DA23 + 2) +DC22," ")," ")</f>
        <v xml:space="preserve"> </v>
      </c>
      <c r="DD23" s="92" t="str">
        <f>IFERROR(IF(ISNUMBER(DA23),'3.Vehículos'!$F$11 * INDEX('2.Distancias'!$D$2:$D$1445,DA22*38+DA23 + 2) +DE22," ")," ")</f>
        <v xml:space="preserve"> </v>
      </c>
      <c r="DE23" s="92" t="str">
        <f>IFERROR(IF(AND(DA5&lt;&gt;DA23,ISNUMBER(DD23)),INDEX('1 ubicaciones'!$I$2:$I$22,DA23 + 1) + MAX(DD23,INDEX('1 ubicaciones'!$F$2:$F$22,DA23 + 1))," ")," ")</f>
        <v xml:space="preserve"> </v>
      </c>
      <c r="DF23" s="64" t="str">
        <f>IFERROR(IF(AND(CZ23 = CZ5, CZ24 = ""), DD23 - DE5, DE23 - DE5)," ")</f>
        <v xml:space="preserve"> </v>
      </c>
      <c r="DG23" s="49" t="str">
        <f>IFERROR(IF(ISNUMBER(DA23),INDEX('1 ubicaciones'!$L$2:$L$22,DA23 + 1) + DG22," ")," ")</f>
        <v xml:space="preserve"> </v>
      </c>
      <c r="DH23" s="58" t="str">
        <f>IFERROR(IF(ISNUMBER(DA23),INDEX('1 ubicaciones'!$J$2:$J$22,DA23 + 1)," ")," ")</f>
        <v xml:space="preserve"> </v>
      </c>
      <c r="DI23" s="58" t="str">
        <f>IFERROR(IF(ISNUMBER(DA23),INDEX('1 ubicaciones'!$K$2:$K$22,DA23 + 1)," ")," ")</f>
        <v xml:space="preserve"> </v>
      </c>
      <c r="DJ23" s="58" t="str">
        <f>IFERROR(IF(ISNUMBER(DA23),IF(CZ23 = CZ5, 0, DH23 + DJ22)," ")," ")</f>
        <v xml:space="preserve"> </v>
      </c>
      <c r="DK23" s="58" t="str">
        <f>IFERROR(IF(ISNUMBER(DA23),IF(CZ24 = CZ5, 0, IF(CZ24 = "", 0, DK24 + DI24))," ")," ")</f>
        <v xml:space="preserve"> </v>
      </c>
      <c r="DL23" s="49" t="str">
        <f t="shared" si="6"/>
        <v xml:space="preserve"> </v>
      </c>
      <c r="DP23" s="23">
        <v>18</v>
      </c>
      <c r="DQ23" s="66"/>
      <c r="DR23" s="49" t="str">
        <f>IFERROR(MATCH(DQ23,'1 ubicaciones'!$B$2:$B$22, 0) - 1," ")</f>
        <v xml:space="preserve"> </v>
      </c>
      <c r="DS23" s="58" t="str">
        <f>IFERROR(IF(ISNUMBER(DR23),INDEX('2.Distancias'!$C$2:$C$1445,DR22*38+DR23 + 2) +DS22," ")," ")</f>
        <v xml:space="preserve"> </v>
      </c>
      <c r="DT23" s="64" t="str">
        <f>IFERROR(IF(ISNUMBER(DR23),'3.Vehículos'!$F$18 * INDEX('2.Distancias'!$D$2:$D$1445,DR22*38+DR23 + 2) +DT22," ")," ")</f>
        <v xml:space="preserve"> </v>
      </c>
      <c r="DU23" s="92" t="str">
        <f>IFERROR(IF(ISNUMBER(DR23),'3.Vehículos'!$F$18 * INDEX('2.Distancias'!$D$2:$D$1445,DR22*38+DR23 + 2) +DV22," ")," ")</f>
        <v xml:space="preserve"> </v>
      </c>
      <c r="DV23" s="92" t="str">
        <f>IFERROR(IF(AND(DR5&lt;&gt;DR23,ISNUMBER(DU23)),INDEX('1 ubicaciones'!$I$2:$I$22,DR23 + 1) + MAX(DU23,INDEX('1 ubicaciones'!$F$2:$F$22,DR23 + 1))," ")," ")</f>
        <v xml:space="preserve"> </v>
      </c>
      <c r="DW23" s="64" t="str">
        <f>IFERROR(IF(AND(DQ23 = DQ5, DQ24 = ""), DU23 - DV5, DV23 - DV5)," ")</f>
        <v xml:space="preserve"> </v>
      </c>
      <c r="DX23" s="49" t="str">
        <f>IFERROR(IF(ISNUMBER(DR23),INDEX('1 ubicaciones'!$L$2:$L$22,DR23 + 1) + DX22," ")," ")</f>
        <v xml:space="preserve"> </v>
      </c>
      <c r="DY23" s="58" t="str">
        <f>IFERROR(IF(ISNUMBER(DR23),INDEX('1 ubicaciones'!$J$2:$J$22,DR23 + 1)," ")," ")</f>
        <v xml:space="preserve"> </v>
      </c>
      <c r="DZ23" s="58" t="str">
        <f>IFERROR(IF(ISNUMBER(DR23),INDEX('1 ubicaciones'!$K$2:$K$22,DR23 + 1)," ")," ")</f>
        <v xml:space="preserve"> </v>
      </c>
      <c r="EA23" s="58" t="str">
        <f>IFERROR(IF(ISNUMBER(DR23),IF(DQ23 = DQ5, 0, DY23 + EA22)," ")," ")</f>
        <v xml:space="preserve"> </v>
      </c>
      <c r="EB23" s="58" t="str">
        <f>IFERROR(IF(ISNUMBER(DR23),IF(DQ24 = DQ5, 0, IF(DQ24 = "", 0, EB24 + DZ24))," ")," ")</f>
        <v xml:space="preserve"> </v>
      </c>
      <c r="EC23" s="49" t="str">
        <f t="shared" si="7"/>
        <v xml:space="preserve"> </v>
      </c>
    </row>
    <row r="24" spans="1:133" x14ac:dyDescent="0.25">
      <c r="A24" s="23">
        <v>19</v>
      </c>
      <c r="B24" s="63"/>
      <c r="C24" s="49" t="str">
        <f>IFERROR(MATCH(B24,'1 ubicaciones'!$B$2:$B$22, 0) - 1," ")</f>
        <v xml:space="preserve"> </v>
      </c>
      <c r="D24" s="58" t="str">
        <f>IFERROR(IF(ISNUMBER(C24),INDEX('2.Distancias'!$C$2:$C$1445,C23*38+C24 + 2) +D23," ")," ")</f>
        <v xml:space="preserve"> </v>
      </c>
      <c r="E24" s="64" t="str">
        <f>IFERROR(IF(ISNUMBER(C24),'3.Vehículos'!$F$2 * INDEX('2.Distancias'!$D$2:$D$1445,C23*38+C24 + 2) +E23," ")," ")</f>
        <v xml:space="preserve"> </v>
      </c>
      <c r="F24" s="92" t="str">
        <f>IFERROR(IF(ISNUMBER(C24),'3.Vehículos'!$F$2 * INDEX('2.Distancias'!$D$2:$D$1445,C23*38+C24 + 2) +G23," ")," ")</f>
        <v xml:space="preserve"> </v>
      </c>
      <c r="G24" s="92" t="str">
        <f>IFERROR(IF(AND(C5&lt;&gt;C24,ISNUMBER(F24)),INDEX('1 ubicaciones'!$I$2:$I$22,C24 + 1) + MAX(F24,INDEX('1 ubicaciones'!$F$2:$F$22,C24 + 1))," ")," ")</f>
        <v xml:space="preserve"> </v>
      </c>
      <c r="H24" s="64" t="str">
        <f>IFERROR(IF(AND(B24 = B5, B25 = ""), F24 - G5, G24 - G5)," ")</f>
        <v xml:space="preserve"> </v>
      </c>
      <c r="I24" s="49" t="str">
        <f>IFERROR(IF(ISNUMBER(C24),INDEX('1 ubicaciones'!$L$2:$L$22,C24 + 1) + I23," ")," ")</f>
        <v xml:space="preserve"> </v>
      </c>
      <c r="J24" s="58" t="str">
        <f>IFERROR(IF(ISNUMBER(C24),INDEX('1 ubicaciones'!$J$2:$J$22,C24 + 1)," ")," ")</f>
        <v xml:space="preserve"> </v>
      </c>
      <c r="K24" s="58" t="str">
        <f>IFERROR(IF(ISNUMBER(C24),INDEX('1 ubicaciones'!$K$2:$K$22,C24 + 1)," ")," ")</f>
        <v xml:space="preserve"> </v>
      </c>
      <c r="L24" s="58" t="str">
        <f>IFERROR(IF(ISNUMBER(C24),IF(B24 = B5, 0, J24 + L23)," ")," ")</f>
        <v xml:space="preserve"> </v>
      </c>
      <c r="M24" s="58" t="str">
        <f>IFERROR(IF(ISNUMBER(C24),IF(B25 = B5, 0, IF(B25 = "", 0, M25 + K25))," ")," ")</f>
        <v xml:space="preserve"> </v>
      </c>
      <c r="N24" s="49" t="str">
        <f t="shared" si="0"/>
        <v xml:space="preserve"> </v>
      </c>
      <c r="R24" s="23">
        <v>19</v>
      </c>
      <c r="S24" s="63"/>
      <c r="T24" s="49" t="str">
        <f>IFERROR(MATCH(S24,'1 ubicaciones'!$B$2:$B$22, 0) - 1," ")</f>
        <v xml:space="preserve"> </v>
      </c>
      <c r="U24" s="58" t="str">
        <f>IFERROR(IF(ISNUMBER(T24),INDEX('2.Distancias'!$C$2:$C$1445,T23*38+T24 + 2) +U23," ")," ")</f>
        <v xml:space="preserve"> </v>
      </c>
      <c r="V24" s="64" t="str">
        <f>IFERROR(IF(ISNUMBER(T24),'3.Vehículos'!$F$3 * INDEX('2.Distancias'!$D$2:$D$1445,T23*38+T24 + 2) +V23," ")," ")</f>
        <v xml:space="preserve"> </v>
      </c>
      <c r="W24" s="92" t="str">
        <f>IFERROR(IF(ISNUMBER(T24),'3.Vehículos'!$F$3 * INDEX('2.Distancias'!$D$2:$D$1445,T23*38+T24 + 2) +X23," ")," ")</f>
        <v xml:space="preserve"> </v>
      </c>
      <c r="X24" s="92" t="str">
        <f>IFERROR(IF(AND(T5&lt;&gt;T24,ISNUMBER(W24)),INDEX('1 ubicaciones'!$I$2:$I$22,T24 + 1) + MAX(W24,INDEX('1 ubicaciones'!$F$2:$F$22,T24 + 1))," ")," ")</f>
        <v xml:space="preserve"> </v>
      </c>
      <c r="Y24" s="64" t="str">
        <f>IFERROR(IF(AND(S24 = S5, S25 = ""), W24 - X5, X24 - X5)," ")</f>
        <v xml:space="preserve"> </v>
      </c>
      <c r="Z24" s="49" t="str">
        <f>IFERROR(IF(ISNUMBER(T24),INDEX('1 ubicaciones'!$L$2:$L$22,T24 + 1) + Z23," ")," ")</f>
        <v xml:space="preserve"> </v>
      </c>
      <c r="AA24" s="58" t="str">
        <f>IFERROR(IF(ISNUMBER(T24),INDEX('1 ubicaciones'!$J$2:$J$22,T24 + 1)," ")," ")</f>
        <v xml:space="preserve"> </v>
      </c>
      <c r="AB24" s="58" t="str">
        <f>IFERROR(IF(ISNUMBER(T24),INDEX('1 ubicaciones'!$K$2:$K$22,T24 + 1)," ")," ")</f>
        <v xml:space="preserve"> </v>
      </c>
      <c r="AC24" s="58" t="str">
        <f>IFERROR(IF(ISNUMBER(T24),IF(S24 = S5, 0, AA24 + AC23)," ")," ")</f>
        <v xml:space="preserve"> </v>
      </c>
      <c r="AD24" s="58" t="str">
        <f>IFERROR(IF(ISNUMBER(T24),IF(S25 = S5, 0, IF(S25 = "", 0, AD25 + AB25))," ")," ")</f>
        <v xml:space="preserve"> </v>
      </c>
      <c r="AE24" s="49" t="str">
        <f t="shared" si="1"/>
        <v xml:space="preserve"> </v>
      </c>
      <c r="AI24" s="23">
        <v>19</v>
      </c>
      <c r="AJ24" s="63"/>
      <c r="AK24" s="49" t="str">
        <f>IFERROR(MATCH(AJ24,'1 ubicaciones'!$B$2:$B$22, 0) - 1," ")</f>
        <v xml:space="preserve"> </v>
      </c>
      <c r="AL24" s="58" t="str">
        <f>IFERROR(IF(ISNUMBER(AK24),INDEX('2.Distancias'!$C$2:$C$1445,AK23*38+AK24 + 2) +AL23," ")," ")</f>
        <v xml:space="preserve"> </v>
      </c>
      <c r="AM24" s="64" t="str">
        <f>IFERROR(IF(ISNUMBER(AK24),'3.Vehículos'!$F$4 * INDEX('2.Distancias'!$D$2:$D$1445,AK23*38+AK24 + 2) +AM23," ")," ")</f>
        <v xml:space="preserve"> </v>
      </c>
      <c r="AN24" s="92" t="str">
        <f>IFERROR(IF(ISNUMBER(AK24),'3.Vehículos'!$F$4 * INDEX('2.Distancias'!$D$2:$D$1445,AK23*38+AK24 + 2) +AO23," ")," ")</f>
        <v xml:space="preserve"> </v>
      </c>
      <c r="AO24" s="92" t="str">
        <f>IFERROR(IF(AND(AK5&lt;&gt;AK24,ISNUMBER(AN24)),INDEX('1 ubicaciones'!$I$2:$I$22,AK24 + 1) + MAX(AN24,INDEX('1 ubicaciones'!$F$2:$F$22,AK24 + 1))," ")," ")</f>
        <v xml:space="preserve"> </v>
      </c>
      <c r="AP24" s="64" t="str">
        <f>IFERROR(IF(AND(AJ24 = AJ5, AJ25 = ""), AN24 - AO5, AO24 - AO5)," ")</f>
        <v xml:space="preserve"> </v>
      </c>
      <c r="AQ24" s="49" t="str">
        <f>IFERROR(IF(ISNUMBER(AK24),INDEX('1 ubicaciones'!$L$2:$L$22,AK24 + 1) + AQ23," ")," ")</f>
        <v xml:space="preserve"> </v>
      </c>
      <c r="AR24" s="58" t="str">
        <f>IFERROR(IF(ISNUMBER(AK24),INDEX('1 ubicaciones'!$J$2:$J$22,AK24 + 1)," ")," ")</f>
        <v xml:space="preserve"> </v>
      </c>
      <c r="AS24" s="58" t="str">
        <f>IFERROR(IF(ISNUMBER(AK24),INDEX('1 ubicaciones'!$K$2:$K$22,AK24 + 1)," ")," ")</f>
        <v xml:space="preserve"> </v>
      </c>
      <c r="AT24" s="58" t="str">
        <f>IFERROR(IF(ISNUMBER(AK24),IF(AJ24 = AJ5, 0, AR24 + AT23)," ")," ")</f>
        <v xml:space="preserve"> </v>
      </c>
      <c r="AU24" s="58" t="str">
        <f>IFERROR(IF(ISNUMBER(AK24),IF(AJ25 = AJ5, 0, IF(AJ25 = "", 0, AU25 + AS25))," ")," ")</f>
        <v xml:space="preserve"> </v>
      </c>
      <c r="AV24" s="49" t="str">
        <f t="shared" si="2"/>
        <v xml:space="preserve"> </v>
      </c>
      <c r="AZ24" s="23">
        <v>19</v>
      </c>
      <c r="BA24" s="63"/>
      <c r="BB24" s="49" t="str">
        <f>IFERROR(MATCH(BA24,'1 ubicaciones'!$B$2:$B$22, 0) - 1," ")</f>
        <v xml:space="preserve"> </v>
      </c>
      <c r="BC24" s="58" t="str">
        <f>IFERROR(IF(ISNUMBER(BB24),INDEX('2.Distancias'!$C$2:$C$1445,BB23*38+BB24 + 2) +BC23," ")," ")</f>
        <v xml:space="preserve"> </v>
      </c>
      <c r="BD24" s="64" t="str">
        <f>IFERROR(IF(ISNUMBER(BB24),'3.Vehículos'!$F$5 * INDEX('2.Distancias'!$D$2:$D$1445,BB23*38+BB24 + 2) +BD23," ")," ")</f>
        <v xml:space="preserve"> </v>
      </c>
      <c r="BE24" s="92" t="str">
        <f>IFERROR(IF(ISNUMBER(BB24),'3.Vehículos'!$F$5 * INDEX('2.Distancias'!$D$2:$D$1445,BB23*38+BB24 + 2) +BF23," ")," ")</f>
        <v xml:space="preserve"> </v>
      </c>
      <c r="BF24" s="92" t="str">
        <f>IFERROR(IF(AND(BB5&lt;&gt;BB24,ISNUMBER(BE24)),INDEX('1 ubicaciones'!$I$2:$I$22,BB24 + 1) + MAX(BE24,INDEX('1 ubicaciones'!$F$2:$F$22,BB24 + 1))," ")," ")</f>
        <v xml:space="preserve"> </v>
      </c>
      <c r="BG24" s="64" t="str">
        <f>IFERROR(IF(AND(BA24 = BA5, BA25 = ""), BE24 - BF5, BF24 - BF5)," ")</f>
        <v xml:space="preserve"> </v>
      </c>
      <c r="BH24" s="49" t="str">
        <f>IFERROR(IF(ISNUMBER(BB24),INDEX('1 ubicaciones'!$L$2:$L$22,BB24 + 1) + BH23," ")," ")</f>
        <v xml:space="preserve"> </v>
      </c>
      <c r="BI24" s="58" t="str">
        <f>IFERROR(IF(ISNUMBER(BB24),INDEX('1 ubicaciones'!$J$2:$J$22,BB24 + 1)," ")," ")</f>
        <v xml:space="preserve"> </v>
      </c>
      <c r="BJ24" s="58" t="str">
        <f>IFERROR(IF(ISNUMBER(BB24),INDEX('1 ubicaciones'!$K$2:$K$22,BB24 + 1)," ")," ")</f>
        <v xml:space="preserve"> </v>
      </c>
      <c r="BK24" s="58" t="str">
        <f>IFERROR(IF(ISNUMBER(BB24),IF(BA24 = BA5, 0, BI24 + BK23)," ")," ")</f>
        <v xml:space="preserve"> </v>
      </c>
      <c r="BL24" s="58" t="str">
        <f>IFERROR(IF(ISNUMBER(BB24),IF(BA25 = BA5, 0, IF(BA25 = "", 0, BL25 + BJ25))," ")," ")</f>
        <v xml:space="preserve"> </v>
      </c>
      <c r="BM24" s="49" t="str">
        <f t="shared" si="3"/>
        <v xml:space="preserve"> </v>
      </c>
      <c r="BQ24" s="23">
        <v>19</v>
      </c>
      <c r="BR24" s="63"/>
      <c r="BS24" s="49" t="str">
        <f>IFERROR(MATCH(BR24,'1 ubicaciones'!$B$2:$B$22, 0) - 1," ")</f>
        <v xml:space="preserve"> </v>
      </c>
      <c r="BT24" s="58" t="str">
        <f>IFERROR(IF(ISNUMBER(BS24),INDEX('2.Distancias'!$C$2:$C$1445,BS23*38+BS24 + 2) +BT23," ")," ")</f>
        <v xml:space="preserve"> </v>
      </c>
      <c r="BU24" s="64" t="str">
        <f>IFERROR(IF(ISNUMBER(BS24),'3.Vehículos'!$F$6 * INDEX('2.Distancias'!$D$2:$D$1445,BS23*38+BS24 + 2) +BU23," ")," ")</f>
        <v xml:space="preserve"> </v>
      </c>
      <c r="BV24" s="92" t="str">
        <f>IFERROR(IF(ISNUMBER(BS24),'3.Vehículos'!$F$6 * INDEX('2.Distancias'!$D$2:$D$1445,BS23*38+BS24 + 2) +BW23," ")," ")</f>
        <v xml:space="preserve"> </v>
      </c>
      <c r="BW24" s="92" t="str">
        <f>IFERROR(IF(AND(BS5&lt;&gt;BS24,ISNUMBER(BV24)),INDEX('1 ubicaciones'!$I$2:$I$22,BS24 + 1) + MAX(BV24,INDEX('1 ubicaciones'!$F$2:$F$22,BS24 + 1))," ")," ")</f>
        <v xml:space="preserve"> </v>
      </c>
      <c r="BX24" s="64" t="str">
        <f>IFERROR(IF(AND(BR24 = BR5, BR25 = ""), BV24 - BW5, BW24 - BW5)," ")</f>
        <v xml:space="preserve"> </v>
      </c>
      <c r="BY24" s="49" t="str">
        <f>IFERROR(IF(ISNUMBER(BS24),INDEX('1 ubicaciones'!$L$2:$L$22,BS24 + 1) + BY23," ")," ")</f>
        <v xml:space="preserve"> </v>
      </c>
      <c r="BZ24" s="58" t="str">
        <f>IFERROR(IF(ISNUMBER(BS24),INDEX('1 ubicaciones'!$J$2:$J$22,BS24 + 1)," ")," ")</f>
        <v xml:space="preserve"> </v>
      </c>
      <c r="CA24" s="58" t="str">
        <f>IFERROR(IF(ISNUMBER(BS24),INDEX('1 ubicaciones'!$K$2:$K$22,BS24 + 1)," ")," ")</f>
        <v xml:space="preserve"> </v>
      </c>
      <c r="CB24" s="58" t="str">
        <f>IFERROR(IF(ISNUMBER(BS24),IF(BR24 = BR5, 0, BZ24 + CB23)," ")," ")</f>
        <v xml:space="preserve"> </v>
      </c>
      <c r="CC24" s="58" t="str">
        <f>IFERROR(IF(ISNUMBER(BS24),IF(BR25 = BR5, 0, IF(BR25 = "", 0, CC25 + CA25))," ")," ")</f>
        <v xml:space="preserve"> </v>
      </c>
      <c r="CD24" s="49" t="str">
        <f t="shared" si="4"/>
        <v xml:space="preserve"> </v>
      </c>
      <c r="CH24" s="23">
        <v>19</v>
      </c>
      <c r="CI24" s="63"/>
      <c r="CJ24" s="49" t="str">
        <f>IFERROR(MATCH(CI24,'1 ubicaciones'!$B$2:$B$22, 0) - 1," ")</f>
        <v xml:space="preserve"> </v>
      </c>
      <c r="CK24" s="58" t="str">
        <f>IFERROR(IF(ISNUMBER(CJ24),INDEX('2.Distancias'!$C$2:$C$1445,CJ23*38+CJ24 + 2) +CK23," ")," ")</f>
        <v xml:space="preserve"> </v>
      </c>
      <c r="CL24" s="64" t="str">
        <f>IFERROR(IF(ISNUMBER(CJ24),'3.Vehículos'!$F$10 * INDEX('2.Distancias'!$D$2:$D$1445,CJ23*38+CJ24 + 2) +CL23," ")," ")</f>
        <v xml:space="preserve"> </v>
      </c>
      <c r="CM24" s="92" t="str">
        <f>IFERROR(IF(ISNUMBER(CJ24),'3.Vehículos'!$F$10 * INDEX('2.Distancias'!$D$2:$D$1445,CJ23*38+CJ24 + 2) +CN23," ")," ")</f>
        <v xml:space="preserve"> </v>
      </c>
      <c r="CN24" s="92" t="str">
        <f>IFERROR(IF(AND(CJ5&lt;&gt;CJ24,ISNUMBER(CM24)),INDEX('1 ubicaciones'!$I$2:$I$22,CJ24 + 1) + MAX(CM24,INDEX('1 ubicaciones'!$F$2:$F$22,CJ24 + 1))," ")," ")</f>
        <v xml:space="preserve"> </v>
      </c>
      <c r="CO24" s="64" t="str">
        <f>IFERROR(IF(AND(CI24 = CI5, CI25 = ""), CM24 - CN5, CN24 - CN5)," ")</f>
        <v xml:space="preserve"> </v>
      </c>
      <c r="CP24" s="49" t="str">
        <f>IFERROR(IF(ISNUMBER(CJ24),INDEX('1 ubicaciones'!$L$2:$L$22,CJ24 + 1) + CP23," ")," ")</f>
        <v xml:space="preserve"> </v>
      </c>
      <c r="CQ24" s="58" t="str">
        <f>IFERROR(IF(ISNUMBER(CJ24),INDEX('1 ubicaciones'!$J$2:$J$22,CJ24 + 1)," ")," ")</f>
        <v xml:space="preserve"> </v>
      </c>
      <c r="CR24" s="58" t="str">
        <f>IFERROR(IF(ISNUMBER(CJ24),INDEX('1 ubicaciones'!$K$2:$K$22,CJ24 + 1)," ")," ")</f>
        <v xml:space="preserve"> </v>
      </c>
      <c r="CS24" s="58" t="str">
        <f>IFERROR(IF(ISNUMBER(CJ24),IF(CI24 = CI5, 0, CQ24 + CS23)," ")," ")</f>
        <v xml:space="preserve"> </v>
      </c>
      <c r="CT24" s="58" t="str">
        <f>IFERROR(IF(ISNUMBER(CJ24),IF(CI25 = CI5, 0, IF(CI25 = "", 0, CT25 + CR25))," ")," ")</f>
        <v xml:space="preserve"> </v>
      </c>
      <c r="CU24" s="49" t="str">
        <f t="shared" si="5"/>
        <v xml:space="preserve"> </v>
      </c>
      <c r="CY24" s="23">
        <v>19</v>
      </c>
      <c r="CZ24" s="63"/>
      <c r="DA24" s="49" t="str">
        <f>IFERROR(MATCH(CZ24,'1 ubicaciones'!$B$2:$B$22, 0) - 1," ")</f>
        <v xml:space="preserve"> </v>
      </c>
      <c r="DB24" s="58" t="str">
        <f>IFERROR(IF(ISNUMBER(DA24),INDEX('2.Distancias'!$C$2:$C$1445,DA23*38+DA24 + 2) +DB23," ")," ")</f>
        <v xml:space="preserve"> </v>
      </c>
      <c r="DC24" s="64" t="str">
        <f>IFERROR(IF(ISNUMBER(DA24),'3.Vehículos'!$F$11 * INDEX('2.Distancias'!$D$2:$D$1445,DA23*38+DA24 + 2) +DC23," ")," ")</f>
        <v xml:space="preserve"> </v>
      </c>
      <c r="DD24" s="92" t="str">
        <f>IFERROR(IF(ISNUMBER(DA24),'3.Vehículos'!$F$11 * INDEX('2.Distancias'!$D$2:$D$1445,DA23*38+DA24 + 2) +DE23," ")," ")</f>
        <v xml:space="preserve"> </v>
      </c>
      <c r="DE24" s="92" t="str">
        <f>IFERROR(IF(AND(DA5&lt;&gt;DA24,ISNUMBER(DD24)),INDEX('1 ubicaciones'!$I$2:$I$22,DA24 + 1) + MAX(DD24,INDEX('1 ubicaciones'!$F$2:$F$22,DA24 + 1))," ")," ")</f>
        <v xml:space="preserve"> </v>
      </c>
      <c r="DF24" s="64" t="str">
        <f>IFERROR(IF(AND(CZ24 = CZ5, CZ25 = ""), DD24 - DE5, DE24 - DE5)," ")</f>
        <v xml:space="preserve"> </v>
      </c>
      <c r="DG24" s="49" t="str">
        <f>IFERROR(IF(ISNUMBER(DA24),INDEX('1 ubicaciones'!$L$2:$L$22,DA24 + 1) + DG23," ")," ")</f>
        <v xml:space="preserve"> </v>
      </c>
      <c r="DH24" s="58" t="str">
        <f>IFERROR(IF(ISNUMBER(DA24),INDEX('1 ubicaciones'!$J$2:$J$22,DA24 + 1)," ")," ")</f>
        <v xml:space="preserve"> </v>
      </c>
      <c r="DI24" s="58" t="str">
        <f>IFERROR(IF(ISNUMBER(DA24),INDEX('1 ubicaciones'!$K$2:$K$22,DA24 + 1)," ")," ")</f>
        <v xml:space="preserve"> </v>
      </c>
      <c r="DJ24" s="58" t="str">
        <f>IFERROR(IF(ISNUMBER(DA24),IF(CZ24 = CZ5, 0, DH24 + DJ23)," ")," ")</f>
        <v xml:space="preserve"> </v>
      </c>
      <c r="DK24" s="58" t="str">
        <f>IFERROR(IF(ISNUMBER(DA24),IF(CZ25 = CZ5, 0, IF(CZ25 = "", 0, DK25 + DI25))," ")," ")</f>
        <v xml:space="preserve"> </v>
      </c>
      <c r="DL24" s="49" t="str">
        <f t="shared" si="6"/>
        <v xml:space="preserve"> </v>
      </c>
      <c r="DP24" s="23">
        <v>19</v>
      </c>
      <c r="DQ24" s="63"/>
      <c r="DR24" s="49" t="str">
        <f>IFERROR(MATCH(DQ24,'1 ubicaciones'!$B$2:$B$22, 0) - 1," ")</f>
        <v xml:space="preserve"> </v>
      </c>
      <c r="DS24" s="58" t="str">
        <f>IFERROR(IF(ISNUMBER(DR24),INDEX('2.Distancias'!$C$2:$C$1445,DR23*38+DR24 + 2) +DS23," ")," ")</f>
        <v xml:space="preserve"> </v>
      </c>
      <c r="DT24" s="64" t="str">
        <f>IFERROR(IF(ISNUMBER(DR24),'3.Vehículos'!$F$18 * INDEX('2.Distancias'!$D$2:$D$1445,DR23*38+DR24 + 2) +DT23," ")," ")</f>
        <v xml:space="preserve"> </v>
      </c>
      <c r="DU24" s="92" t="str">
        <f>IFERROR(IF(ISNUMBER(DR24),'3.Vehículos'!$F$18 * INDEX('2.Distancias'!$D$2:$D$1445,DR23*38+DR24 + 2) +DV23," ")," ")</f>
        <v xml:space="preserve"> </v>
      </c>
      <c r="DV24" s="92" t="str">
        <f>IFERROR(IF(AND(DR5&lt;&gt;DR24,ISNUMBER(DU24)),INDEX('1 ubicaciones'!$I$2:$I$22,DR24 + 1) + MAX(DU24,INDEX('1 ubicaciones'!$F$2:$F$22,DR24 + 1))," ")," ")</f>
        <v xml:space="preserve"> </v>
      </c>
      <c r="DW24" s="64" t="str">
        <f>IFERROR(IF(AND(DQ24 = DQ5, DQ25 = ""), DU24 - DV5, DV24 - DV5)," ")</f>
        <v xml:space="preserve"> </v>
      </c>
      <c r="DX24" s="49" t="str">
        <f>IFERROR(IF(ISNUMBER(DR24),INDEX('1 ubicaciones'!$L$2:$L$22,DR24 + 1) + DX23," ")," ")</f>
        <v xml:space="preserve"> </v>
      </c>
      <c r="DY24" s="58" t="str">
        <f>IFERROR(IF(ISNUMBER(DR24),INDEX('1 ubicaciones'!$J$2:$J$22,DR24 + 1)," ")," ")</f>
        <v xml:space="preserve"> </v>
      </c>
      <c r="DZ24" s="58" t="str">
        <f>IFERROR(IF(ISNUMBER(DR24),INDEX('1 ubicaciones'!$K$2:$K$22,DR24 + 1)," ")," ")</f>
        <v xml:space="preserve"> </v>
      </c>
      <c r="EA24" s="58" t="str">
        <f>IFERROR(IF(ISNUMBER(DR24),IF(DQ24 = DQ5, 0, DY24 + EA23)," ")," ")</f>
        <v xml:space="preserve"> </v>
      </c>
      <c r="EB24" s="58" t="str">
        <f>IFERROR(IF(ISNUMBER(DR24),IF(DQ25 = DQ5, 0, IF(DQ25 = "", 0, EB25 + DZ25))," ")," ")</f>
        <v xml:space="preserve"> </v>
      </c>
      <c r="EC24" s="49" t="str">
        <f t="shared" si="7"/>
        <v xml:space="preserve"> </v>
      </c>
    </row>
    <row r="25" spans="1:133" x14ac:dyDescent="0.25">
      <c r="A25" s="23">
        <v>20</v>
      </c>
      <c r="B25" s="66"/>
      <c r="C25" s="49" t="str">
        <f>IFERROR(MATCH(B25,'1 ubicaciones'!$B$2:$B$22, 0) - 1," ")</f>
        <v xml:space="preserve"> </v>
      </c>
      <c r="D25" s="58" t="str">
        <f>IFERROR(IF(ISNUMBER(C25),INDEX('2.Distancias'!$C$2:$C$1445,C24*38+C25 + 2) +D24," ")," ")</f>
        <v xml:space="preserve"> </v>
      </c>
      <c r="E25" s="64" t="str">
        <f>IFERROR(IF(ISNUMBER(C25),'3.Vehículos'!$F$2 * INDEX('2.Distancias'!$D$2:$D$1445,C24*38+C25 + 2) +E24," ")," ")</f>
        <v xml:space="preserve"> </v>
      </c>
      <c r="F25" s="92" t="str">
        <f>IFERROR(IF(ISNUMBER(C25),'3.Vehículos'!$F$2 * INDEX('2.Distancias'!$D$2:$D$1445,C24*38+C25 + 2) +G24," ")," ")</f>
        <v xml:space="preserve"> </v>
      </c>
      <c r="G25" s="92" t="str">
        <f>IFERROR(IF(AND(C5&lt;&gt;C25,ISNUMBER(F25)),INDEX('1 ubicaciones'!$I$2:$I$22,C25 + 1) + MAX(F25,INDEX('1 ubicaciones'!$F$2:$F$22,C25 + 1))," ")," ")</f>
        <v xml:space="preserve"> </v>
      </c>
      <c r="H25" s="64" t="str">
        <f>IFERROR(IF(AND(B25 = B5, B26 = ""), F25 - G5, G25 - G5)," ")</f>
        <v xml:space="preserve"> </v>
      </c>
      <c r="I25" s="49" t="str">
        <f>IFERROR(IF(ISNUMBER(C25),INDEX('1 ubicaciones'!$L$2:$L$22,C25 + 1) + I24," ")," ")</f>
        <v xml:space="preserve"> </v>
      </c>
      <c r="J25" s="58" t="str">
        <f>IFERROR(IF(ISNUMBER(C25),INDEX('1 ubicaciones'!$J$2:$J$22,C25 + 1)," ")," ")</f>
        <v xml:space="preserve"> </v>
      </c>
      <c r="K25" s="58" t="str">
        <f>IFERROR(IF(ISNUMBER(C25),INDEX('1 ubicaciones'!$K$2:$K$22,C25 + 1)," ")," ")</f>
        <v xml:space="preserve"> </v>
      </c>
      <c r="L25" s="58" t="str">
        <f>IFERROR(IF(ISNUMBER(C25),IF(B25 = B5, 0, J25 + L24)," ")," ")</f>
        <v xml:space="preserve"> </v>
      </c>
      <c r="M25" s="58" t="str">
        <f>IFERROR(IF(ISNUMBER(C25),IF(B26 = B5, 0, IF(B26 = "", 0, M26 + K26))," ")," ")</f>
        <v xml:space="preserve"> </v>
      </c>
      <c r="N25" s="49" t="str">
        <f t="shared" si="0"/>
        <v xml:space="preserve"> </v>
      </c>
      <c r="R25" s="23">
        <v>20</v>
      </c>
      <c r="S25" s="66"/>
      <c r="T25" s="49" t="str">
        <f>IFERROR(MATCH(S25,'1 ubicaciones'!$B$2:$B$22, 0) - 1," ")</f>
        <v xml:space="preserve"> </v>
      </c>
      <c r="U25" s="58" t="str">
        <f>IFERROR(IF(ISNUMBER(T25),INDEX('2.Distancias'!$C$2:$C$1445,T24*38+T25 + 2) +U24," ")," ")</f>
        <v xml:space="preserve"> </v>
      </c>
      <c r="V25" s="64" t="str">
        <f>IFERROR(IF(ISNUMBER(T25),'3.Vehículos'!$F$3 * INDEX('2.Distancias'!$D$2:$D$1445,T24*38+T25 + 2) +V24," ")," ")</f>
        <v xml:space="preserve"> </v>
      </c>
      <c r="W25" s="92" t="str">
        <f>IFERROR(IF(ISNUMBER(T25),'3.Vehículos'!$F$3 * INDEX('2.Distancias'!$D$2:$D$1445,T24*38+T25 + 2) +X24," ")," ")</f>
        <v xml:space="preserve"> </v>
      </c>
      <c r="X25" s="92" t="str">
        <f>IFERROR(IF(AND(T5&lt;&gt;T25,ISNUMBER(W25)),INDEX('1 ubicaciones'!$I$2:$I$22,T25 + 1) + MAX(W25,INDEX('1 ubicaciones'!$F$2:$F$22,T25 + 1))," ")," ")</f>
        <v xml:space="preserve"> </v>
      </c>
      <c r="Y25" s="64" t="str">
        <f>IFERROR(IF(AND(S25 = S5, S26 = ""), W25 - X5, X25 - X5)," ")</f>
        <v xml:space="preserve"> </v>
      </c>
      <c r="Z25" s="49" t="str">
        <f>IFERROR(IF(ISNUMBER(T25),INDEX('1 ubicaciones'!$L$2:$L$22,T25 + 1) + Z24," ")," ")</f>
        <v xml:space="preserve"> </v>
      </c>
      <c r="AA25" s="58" t="str">
        <f>IFERROR(IF(ISNUMBER(T25),INDEX('1 ubicaciones'!$J$2:$J$22,T25 + 1)," ")," ")</f>
        <v xml:space="preserve"> </v>
      </c>
      <c r="AB25" s="58" t="str">
        <f>IFERROR(IF(ISNUMBER(T25),INDEX('1 ubicaciones'!$K$2:$K$22,T25 + 1)," ")," ")</f>
        <v xml:space="preserve"> </v>
      </c>
      <c r="AC25" s="58" t="str">
        <f>IFERROR(IF(ISNUMBER(T25),IF(S25 = S5, 0, AA25 + AC24)," ")," ")</f>
        <v xml:space="preserve"> </v>
      </c>
      <c r="AD25" s="58" t="str">
        <f>IFERROR(IF(ISNUMBER(T25),IF(S26 = S5, 0, IF(S26 = "", 0, AD26 + AB26))," ")," ")</f>
        <v xml:space="preserve"> </v>
      </c>
      <c r="AE25" s="49" t="str">
        <f t="shared" si="1"/>
        <v xml:space="preserve"> </v>
      </c>
      <c r="AI25" s="23">
        <v>20</v>
      </c>
      <c r="AJ25" s="66"/>
      <c r="AK25" s="49" t="str">
        <f>IFERROR(MATCH(AJ25,'1 ubicaciones'!$B$2:$B$22, 0) - 1," ")</f>
        <v xml:space="preserve"> </v>
      </c>
      <c r="AL25" s="58" t="str">
        <f>IFERROR(IF(ISNUMBER(AK25),INDEX('2.Distancias'!$C$2:$C$1445,AK24*38+AK25 + 2) +AL24," ")," ")</f>
        <v xml:space="preserve"> </v>
      </c>
      <c r="AM25" s="64" t="str">
        <f>IFERROR(IF(ISNUMBER(AK25),'3.Vehículos'!$F$4 * INDEX('2.Distancias'!$D$2:$D$1445,AK24*38+AK25 + 2) +AM24," ")," ")</f>
        <v xml:space="preserve"> </v>
      </c>
      <c r="AN25" s="92" t="str">
        <f>IFERROR(IF(ISNUMBER(AK25),'3.Vehículos'!$F$4 * INDEX('2.Distancias'!$D$2:$D$1445,AK24*38+AK25 + 2) +AO24," ")," ")</f>
        <v xml:space="preserve"> </v>
      </c>
      <c r="AO25" s="92" t="str">
        <f>IFERROR(IF(AND(AK5&lt;&gt;AK25,ISNUMBER(AN25)),INDEX('1 ubicaciones'!$I$2:$I$22,AK25 + 1) + MAX(AN25,INDEX('1 ubicaciones'!$F$2:$F$22,AK25 + 1))," ")," ")</f>
        <v xml:space="preserve"> </v>
      </c>
      <c r="AP25" s="64" t="str">
        <f>IFERROR(IF(AND(AJ25 = AJ5, AJ26 = ""), AN25 - AO5, AO25 - AO5)," ")</f>
        <v xml:space="preserve"> </v>
      </c>
      <c r="AQ25" s="49" t="str">
        <f>IFERROR(IF(ISNUMBER(AK25),INDEX('1 ubicaciones'!$L$2:$L$22,AK25 + 1) + AQ24," ")," ")</f>
        <v xml:space="preserve"> </v>
      </c>
      <c r="AR25" s="58" t="str">
        <f>IFERROR(IF(ISNUMBER(AK25),INDEX('1 ubicaciones'!$J$2:$J$22,AK25 + 1)," ")," ")</f>
        <v xml:space="preserve"> </v>
      </c>
      <c r="AS25" s="58" t="str">
        <f>IFERROR(IF(ISNUMBER(AK25),INDEX('1 ubicaciones'!$K$2:$K$22,AK25 + 1)," ")," ")</f>
        <v xml:space="preserve"> </v>
      </c>
      <c r="AT25" s="58" t="str">
        <f>IFERROR(IF(ISNUMBER(AK25),IF(AJ25 = AJ5, 0, AR25 + AT24)," ")," ")</f>
        <v xml:space="preserve"> </v>
      </c>
      <c r="AU25" s="58" t="str">
        <f>IFERROR(IF(ISNUMBER(AK25),IF(AJ26 = AJ5, 0, IF(AJ26 = "", 0, AU26 + AS26))," ")," ")</f>
        <v xml:space="preserve"> </v>
      </c>
      <c r="AV25" s="49" t="str">
        <f t="shared" si="2"/>
        <v xml:space="preserve"> </v>
      </c>
      <c r="AZ25" s="23">
        <v>20</v>
      </c>
      <c r="BA25" s="66"/>
      <c r="BB25" s="49" t="str">
        <f>IFERROR(MATCH(BA25,'1 ubicaciones'!$B$2:$B$22, 0) - 1," ")</f>
        <v xml:space="preserve"> </v>
      </c>
      <c r="BC25" s="58" t="str">
        <f>IFERROR(IF(ISNUMBER(BB25),INDEX('2.Distancias'!$C$2:$C$1445,BB24*38+BB25 + 2) +BC24," ")," ")</f>
        <v xml:space="preserve"> </v>
      </c>
      <c r="BD25" s="64" t="str">
        <f>IFERROR(IF(ISNUMBER(BB25),'3.Vehículos'!$F$5 * INDEX('2.Distancias'!$D$2:$D$1445,BB24*38+BB25 + 2) +BD24," ")," ")</f>
        <v xml:space="preserve"> </v>
      </c>
      <c r="BE25" s="92" t="str">
        <f>IFERROR(IF(ISNUMBER(BB25),'3.Vehículos'!$F$5 * INDEX('2.Distancias'!$D$2:$D$1445,BB24*38+BB25 + 2) +BF24," ")," ")</f>
        <v xml:space="preserve"> </v>
      </c>
      <c r="BF25" s="92" t="str">
        <f>IFERROR(IF(AND(BB5&lt;&gt;BB25,ISNUMBER(BE25)),INDEX('1 ubicaciones'!$I$2:$I$22,BB25 + 1) + MAX(BE25,INDEX('1 ubicaciones'!$F$2:$F$22,BB25 + 1))," ")," ")</f>
        <v xml:space="preserve"> </v>
      </c>
      <c r="BG25" s="64" t="str">
        <f>IFERROR(IF(AND(BA25 = BA5, BA26 = ""), BE25 - BF5, BF25 - BF5)," ")</f>
        <v xml:space="preserve"> </v>
      </c>
      <c r="BH25" s="49" t="str">
        <f>IFERROR(IF(ISNUMBER(BB25),INDEX('1 ubicaciones'!$L$2:$L$22,BB25 + 1) + BH24," ")," ")</f>
        <v xml:space="preserve"> </v>
      </c>
      <c r="BI25" s="58" t="str">
        <f>IFERROR(IF(ISNUMBER(BB25),INDEX('1 ubicaciones'!$J$2:$J$22,BB25 + 1)," ")," ")</f>
        <v xml:space="preserve"> </v>
      </c>
      <c r="BJ25" s="58" t="str">
        <f>IFERROR(IF(ISNUMBER(BB25),INDEX('1 ubicaciones'!$K$2:$K$22,BB25 + 1)," ")," ")</f>
        <v xml:space="preserve"> </v>
      </c>
      <c r="BK25" s="58" t="str">
        <f>IFERROR(IF(ISNUMBER(BB25),IF(BA25 = BA5, 0, BI25 + BK24)," ")," ")</f>
        <v xml:space="preserve"> </v>
      </c>
      <c r="BL25" s="58" t="str">
        <f>IFERROR(IF(ISNUMBER(BB25),IF(BA26 = BA5, 0, IF(BA26 = "", 0, BL26 + BJ26))," ")," ")</f>
        <v xml:space="preserve"> </v>
      </c>
      <c r="BM25" s="49" t="str">
        <f t="shared" si="3"/>
        <v xml:space="preserve"> </v>
      </c>
      <c r="BQ25" s="23">
        <v>20</v>
      </c>
      <c r="BR25" s="66"/>
      <c r="BS25" s="49" t="str">
        <f>IFERROR(MATCH(BR25,'1 ubicaciones'!$B$2:$B$22, 0) - 1," ")</f>
        <v xml:space="preserve"> </v>
      </c>
      <c r="BT25" s="58" t="str">
        <f>IFERROR(IF(ISNUMBER(BS25),INDEX('2.Distancias'!$C$2:$C$1445,BS24*38+BS25 + 2) +BT24," ")," ")</f>
        <v xml:space="preserve"> </v>
      </c>
      <c r="BU25" s="64" t="str">
        <f>IFERROR(IF(ISNUMBER(BS25),'3.Vehículos'!$F$6 * INDEX('2.Distancias'!$D$2:$D$1445,BS24*38+BS25 + 2) +BU24," ")," ")</f>
        <v xml:space="preserve"> </v>
      </c>
      <c r="BV25" s="92" t="str">
        <f>IFERROR(IF(ISNUMBER(BS25),'3.Vehículos'!$F$6 * INDEX('2.Distancias'!$D$2:$D$1445,BS24*38+BS25 + 2) +BW24," ")," ")</f>
        <v xml:space="preserve"> </v>
      </c>
      <c r="BW25" s="92" t="str">
        <f>IFERROR(IF(AND(BS5&lt;&gt;BS25,ISNUMBER(BV25)),INDEX('1 ubicaciones'!$I$2:$I$22,BS25 + 1) + MAX(BV25,INDEX('1 ubicaciones'!$F$2:$F$22,BS25 + 1))," ")," ")</f>
        <v xml:space="preserve"> </v>
      </c>
      <c r="BX25" s="64" t="str">
        <f>IFERROR(IF(AND(BR25 = BR5, BR26 = ""), BV25 - BW5, BW25 - BW5)," ")</f>
        <v xml:space="preserve"> </v>
      </c>
      <c r="BY25" s="49" t="str">
        <f>IFERROR(IF(ISNUMBER(BS25),INDEX('1 ubicaciones'!$L$2:$L$22,BS25 + 1) + BY24," ")," ")</f>
        <v xml:space="preserve"> </v>
      </c>
      <c r="BZ25" s="58" t="str">
        <f>IFERROR(IF(ISNUMBER(BS25),INDEX('1 ubicaciones'!$J$2:$J$22,BS25 + 1)," ")," ")</f>
        <v xml:space="preserve"> </v>
      </c>
      <c r="CA25" s="58" t="str">
        <f>IFERROR(IF(ISNUMBER(BS25),INDEX('1 ubicaciones'!$K$2:$K$22,BS25 + 1)," ")," ")</f>
        <v xml:space="preserve"> </v>
      </c>
      <c r="CB25" s="58" t="str">
        <f>IFERROR(IF(ISNUMBER(BS25),IF(BR25 = BR5, 0, BZ25 + CB24)," ")," ")</f>
        <v xml:space="preserve"> </v>
      </c>
      <c r="CC25" s="58" t="str">
        <f>IFERROR(IF(ISNUMBER(BS25),IF(BR26 = BR5, 0, IF(BR26 = "", 0, CC26 + CA26))," ")," ")</f>
        <v xml:space="preserve"> </v>
      </c>
      <c r="CD25" s="49" t="str">
        <f t="shared" si="4"/>
        <v xml:space="preserve"> </v>
      </c>
      <c r="CH25" s="23">
        <v>20</v>
      </c>
      <c r="CI25" s="66"/>
      <c r="CJ25" s="49" t="str">
        <f>IFERROR(MATCH(CI25,'1 ubicaciones'!$B$2:$B$22, 0) - 1," ")</f>
        <v xml:space="preserve"> </v>
      </c>
      <c r="CK25" s="58" t="str">
        <f>IFERROR(IF(ISNUMBER(CJ25),INDEX('2.Distancias'!$C$2:$C$1445,CJ24*38+CJ25 + 2) +CK24," ")," ")</f>
        <v xml:space="preserve"> </v>
      </c>
      <c r="CL25" s="64" t="str">
        <f>IFERROR(IF(ISNUMBER(CJ25),'3.Vehículos'!$F$10 * INDEX('2.Distancias'!$D$2:$D$1445,CJ24*38+CJ25 + 2) +CL24," ")," ")</f>
        <v xml:space="preserve"> </v>
      </c>
      <c r="CM25" s="92" t="str">
        <f>IFERROR(IF(ISNUMBER(CJ25),'3.Vehículos'!$F$10 * INDEX('2.Distancias'!$D$2:$D$1445,CJ24*38+CJ25 + 2) +CN24," ")," ")</f>
        <v xml:space="preserve"> </v>
      </c>
      <c r="CN25" s="92" t="str">
        <f>IFERROR(IF(AND(CJ5&lt;&gt;CJ25,ISNUMBER(CM25)),INDEX('1 ubicaciones'!$I$2:$I$22,CJ25 + 1) + MAX(CM25,INDEX('1 ubicaciones'!$F$2:$F$22,CJ25 + 1))," ")," ")</f>
        <v xml:space="preserve"> </v>
      </c>
      <c r="CO25" s="64" t="str">
        <f>IFERROR(IF(AND(CI25 = CI5, CI26 = ""), CM25 - CN5, CN25 - CN5)," ")</f>
        <v xml:space="preserve"> </v>
      </c>
      <c r="CP25" s="49" t="str">
        <f>IFERROR(IF(ISNUMBER(CJ25),INDEX('1 ubicaciones'!$L$2:$L$22,CJ25 + 1) + CP24," ")," ")</f>
        <v xml:space="preserve"> </v>
      </c>
      <c r="CQ25" s="58" t="str">
        <f>IFERROR(IF(ISNUMBER(CJ25),INDEX('1 ubicaciones'!$J$2:$J$22,CJ25 + 1)," ")," ")</f>
        <v xml:space="preserve"> </v>
      </c>
      <c r="CR25" s="58" t="str">
        <f>IFERROR(IF(ISNUMBER(CJ25),INDEX('1 ubicaciones'!$K$2:$K$22,CJ25 + 1)," ")," ")</f>
        <v xml:space="preserve"> </v>
      </c>
      <c r="CS25" s="58" t="str">
        <f>IFERROR(IF(ISNUMBER(CJ25),IF(CI25 = CI5, 0, CQ25 + CS24)," ")," ")</f>
        <v xml:space="preserve"> </v>
      </c>
      <c r="CT25" s="58" t="str">
        <f>IFERROR(IF(ISNUMBER(CJ25),IF(CI26 = CI5, 0, IF(CI26 = "", 0, CT26 + CR26))," ")," ")</f>
        <v xml:space="preserve"> </v>
      </c>
      <c r="CU25" s="49" t="str">
        <f t="shared" si="5"/>
        <v xml:space="preserve"> </v>
      </c>
      <c r="CY25" s="23">
        <v>20</v>
      </c>
      <c r="CZ25" s="66"/>
      <c r="DA25" s="49" t="str">
        <f>IFERROR(MATCH(CZ25,'1 ubicaciones'!$B$2:$B$22, 0) - 1," ")</f>
        <v xml:space="preserve"> </v>
      </c>
      <c r="DB25" s="58" t="str">
        <f>IFERROR(IF(ISNUMBER(DA25),INDEX('2.Distancias'!$C$2:$C$1445,DA24*38+DA25 + 2) +DB24," ")," ")</f>
        <v xml:space="preserve"> </v>
      </c>
      <c r="DC25" s="64" t="str">
        <f>IFERROR(IF(ISNUMBER(DA25),'3.Vehículos'!$F$11 * INDEX('2.Distancias'!$D$2:$D$1445,DA24*38+DA25 + 2) +DC24," ")," ")</f>
        <v xml:space="preserve"> </v>
      </c>
      <c r="DD25" s="92" t="str">
        <f>IFERROR(IF(ISNUMBER(DA25),'3.Vehículos'!$F$11 * INDEX('2.Distancias'!$D$2:$D$1445,DA24*38+DA25 + 2) +DE24," ")," ")</f>
        <v xml:space="preserve"> </v>
      </c>
      <c r="DE25" s="92" t="str">
        <f>IFERROR(IF(AND(DA5&lt;&gt;DA25,ISNUMBER(DD25)),INDEX('1 ubicaciones'!$I$2:$I$22,DA25 + 1) + MAX(DD25,INDEX('1 ubicaciones'!$F$2:$F$22,DA25 + 1))," ")," ")</f>
        <v xml:space="preserve"> </v>
      </c>
      <c r="DF25" s="64" t="str">
        <f>IFERROR(IF(AND(CZ25 = CZ5, CZ26 = ""), DD25 - DE5, DE25 - DE5)," ")</f>
        <v xml:space="preserve"> </v>
      </c>
      <c r="DG25" s="49" t="str">
        <f>IFERROR(IF(ISNUMBER(DA25),INDEX('1 ubicaciones'!$L$2:$L$22,DA25 + 1) + DG24," ")," ")</f>
        <v xml:space="preserve"> </v>
      </c>
      <c r="DH25" s="58" t="str">
        <f>IFERROR(IF(ISNUMBER(DA25),INDEX('1 ubicaciones'!$J$2:$J$22,DA25 + 1)," ")," ")</f>
        <v xml:space="preserve"> </v>
      </c>
      <c r="DI25" s="58" t="str">
        <f>IFERROR(IF(ISNUMBER(DA25),INDEX('1 ubicaciones'!$K$2:$K$22,DA25 + 1)," ")," ")</f>
        <v xml:space="preserve"> </v>
      </c>
      <c r="DJ25" s="58" t="str">
        <f>IFERROR(IF(ISNUMBER(DA25),IF(CZ25 = CZ5, 0, DH25 + DJ24)," ")," ")</f>
        <v xml:space="preserve"> </v>
      </c>
      <c r="DK25" s="58" t="str">
        <f>IFERROR(IF(ISNUMBER(DA25),IF(CZ26 = CZ5, 0, IF(CZ26 = "", 0, DK26 + DI26))," ")," ")</f>
        <v xml:space="preserve"> </v>
      </c>
      <c r="DL25" s="49" t="str">
        <f t="shared" si="6"/>
        <v xml:space="preserve"> </v>
      </c>
      <c r="DP25" s="23">
        <v>20</v>
      </c>
      <c r="DQ25" s="66"/>
      <c r="DR25" s="49" t="str">
        <f>IFERROR(MATCH(DQ25,'1 ubicaciones'!$B$2:$B$22, 0) - 1," ")</f>
        <v xml:space="preserve"> </v>
      </c>
      <c r="DS25" s="58" t="str">
        <f>IFERROR(IF(ISNUMBER(DR25),INDEX('2.Distancias'!$C$2:$C$1445,DR24*38+DR25 + 2) +DS24," ")," ")</f>
        <v xml:space="preserve"> </v>
      </c>
      <c r="DT25" s="64" t="str">
        <f>IFERROR(IF(ISNUMBER(DR25),'3.Vehículos'!$F$18 * INDEX('2.Distancias'!$D$2:$D$1445,DR24*38+DR25 + 2) +DT24," ")," ")</f>
        <v xml:space="preserve"> </v>
      </c>
      <c r="DU25" s="92" t="str">
        <f>IFERROR(IF(ISNUMBER(DR25),'3.Vehículos'!$F$18 * INDEX('2.Distancias'!$D$2:$D$1445,DR24*38+DR25 + 2) +DV24," ")," ")</f>
        <v xml:space="preserve"> </v>
      </c>
      <c r="DV25" s="92" t="str">
        <f>IFERROR(IF(AND(DR5&lt;&gt;DR25,ISNUMBER(DU25)),INDEX('1 ubicaciones'!$I$2:$I$22,DR25 + 1) + MAX(DU25,INDEX('1 ubicaciones'!$F$2:$F$22,DR25 + 1))," ")," ")</f>
        <v xml:space="preserve"> </v>
      </c>
      <c r="DW25" s="64" t="str">
        <f>IFERROR(IF(AND(DQ25 = DQ5, DQ26 = ""), DU25 - DV5, DV25 - DV5)," ")</f>
        <v xml:space="preserve"> </v>
      </c>
      <c r="DX25" s="49" t="str">
        <f>IFERROR(IF(ISNUMBER(DR25),INDEX('1 ubicaciones'!$L$2:$L$22,DR25 + 1) + DX24," ")," ")</f>
        <v xml:space="preserve"> </v>
      </c>
      <c r="DY25" s="58" t="str">
        <f>IFERROR(IF(ISNUMBER(DR25),INDEX('1 ubicaciones'!$J$2:$J$22,DR25 + 1)," ")," ")</f>
        <v xml:space="preserve"> </v>
      </c>
      <c r="DZ25" s="58" t="str">
        <f>IFERROR(IF(ISNUMBER(DR25),INDEX('1 ubicaciones'!$K$2:$K$22,DR25 + 1)," ")," ")</f>
        <v xml:space="preserve"> </v>
      </c>
      <c r="EA25" s="58" t="str">
        <f>IFERROR(IF(ISNUMBER(DR25),IF(DQ25 = DQ5, 0, DY25 + EA24)," ")," ")</f>
        <v xml:space="preserve"> </v>
      </c>
      <c r="EB25" s="58" t="str">
        <f>IFERROR(IF(ISNUMBER(DR25),IF(DQ26 = DQ5, 0, IF(DQ26 = "", 0, EB26 + DZ26))," ")," ")</f>
        <v xml:space="preserve"> </v>
      </c>
      <c r="EC25" s="49" t="str">
        <f t="shared" si="7"/>
        <v xml:space="preserve"> </v>
      </c>
    </row>
    <row r="26" spans="1:133" x14ac:dyDescent="0.25">
      <c r="A26" s="23">
        <v>21</v>
      </c>
      <c r="B26" s="63"/>
      <c r="C26" s="49" t="str">
        <f>IFERROR(MATCH(B26,'1 ubicaciones'!$B$2:$B$22, 0) - 1," ")</f>
        <v xml:space="preserve"> </v>
      </c>
      <c r="D26" s="58" t="str">
        <f>IFERROR(IF(ISNUMBER(C26),INDEX('2.Distancias'!$C$2:$C$1445,C25*38+C26 + 2) +D25," ")," ")</f>
        <v xml:space="preserve"> </v>
      </c>
      <c r="E26" s="64" t="str">
        <f>IFERROR(IF(ISNUMBER(C26),'3.Vehículos'!$F$2 * INDEX('2.Distancias'!$D$2:$D$1445,C25*38+C26 + 2) +E25," ")," ")</f>
        <v xml:space="preserve"> </v>
      </c>
      <c r="F26" s="92" t="str">
        <f>IFERROR(IF(ISNUMBER(C26),'3.Vehículos'!$F$2 * INDEX('2.Distancias'!$D$2:$D$1445,C25*38+C26 + 2) +G25," ")," ")</f>
        <v xml:space="preserve"> </v>
      </c>
      <c r="G26" s="92" t="str">
        <f>IFERROR(IF(AND(C5&lt;&gt;C26,ISNUMBER(F26)),INDEX('1 ubicaciones'!$I$2:$I$22,C26 + 1) + MAX(F26,INDEX('1 ubicaciones'!$F$2:$F$22,C26 + 1))," ")," ")</f>
        <v xml:space="preserve"> </v>
      </c>
      <c r="H26" s="64" t="str">
        <f>IFERROR(IF(AND(B26 = B5, B27 = ""), F26 - G5, G26 - G5)," ")</f>
        <v xml:space="preserve"> </v>
      </c>
      <c r="I26" s="49" t="str">
        <f>IFERROR(IF(ISNUMBER(C26),INDEX('1 ubicaciones'!$L$2:$L$22,C26 + 1) + I25," ")," ")</f>
        <v xml:space="preserve"> </v>
      </c>
      <c r="J26" s="58" t="str">
        <f>IFERROR(IF(ISNUMBER(C26),INDEX('1 ubicaciones'!$J$2:$J$22,C26 + 1)," ")," ")</f>
        <v xml:space="preserve"> </v>
      </c>
      <c r="K26" s="58" t="str">
        <f>IFERROR(IF(ISNUMBER(C26),INDEX('1 ubicaciones'!$K$2:$K$22,C26 + 1)," ")," ")</f>
        <v xml:space="preserve"> </v>
      </c>
      <c r="L26" s="58" t="str">
        <f>IFERROR(IF(ISNUMBER(C26),IF(B26 = B5, 0, J26 + L25)," ")," ")</f>
        <v xml:space="preserve"> </v>
      </c>
      <c r="M26" s="58" t="str">
        <f>IFERROR(IF(ISNUMBER(C26),IF(B27 = B5, 0, IF(B27 = "", 0, M27 + K27))," ")," ")</f>
        <v xml:space="preserve"> </v>
      </c>
      <c r="N26" s="49" t="str">
        <f t="shared" si="0"/>
        <v xml:space="preserve"> </v>
      </c>
      <c r="R26" s="23">
        <v>21</v>
      </c>
      <c r="S26" s="63"/>
      <c r="T26" s="49" t="str">
        <f>IFERROR(MATCH(S26,'1 ubicaciones'!$B$2:$B$22, 0) - 1," ")</f>
        <v xml:space="preserve"> </v>
      </c>
      <c r="U26" s="58" t="str">
        <f>IFERROR(IF(ISNUMBER(T26),INDEX('2.Distancias'!$C$2:$C$1445,T25*38+T26 + 2) +U25," ")," ")</f>
        <v xml:space="preserve"> </v>
      </c>
      <c r="V26" s="64" t="str">
        <f>IFERROR(IF(ISNUMBER(T26),'3.Vehículos'!$F$3 * INDEX('2.Distancias'!$D$2:$D$1445,T25*38+T26 + 2) +V25," ")," ")</f>
        <v xml:space="preserve"> </v>
      </c>
      <c r="W26" s="92" t="str">
        <f>IFERROR(IF(ISNUMBER(T26),'3.Vehículos'!$F$3 * INDEX('2.Distancias'!$D$2:$D$1445,T25*38+T26 + 2) +X25," ")," ")</f>
        <v xml:space="preserve"> </v>
      </c>
      <c r="X26" s="92" t="str">
        <f>IFERROR(IF(AND(T5&lt;&gt;T26,ISNUMBER(W26)),INDEX('1 ubicaciones'!$I$2:$I$22,T26 + 1) + MAX(W26,INDEX('1 ubicaciones'!$F$2:$F$22,T26 + 1))," ")," ")</f>
        <v xml:space="preserve"> </v>
      </c>
      <c r="Y26" s="64" t="str">
        <f>IFERROR(IF(AND(S26 = S5, S27 = ""), W26 - X5, X26 - X5)," ")</f>
        <v xml:space="preserve"> </v>
      </c>
      <c r="Z26" s="49" t="str">
        <f>IFERROR(IF(ISNUMBER(T26),INDEX('1 ubicaciones'!$L$2:$L$22,T26 + 1) + Z25," ")," ")</f>
        <v xml:space="preserve"> </v>
      </c>
      <c r="AA26" s="58" t="str">
        <f>IFERROR(IF(ISNUMBER(T26),INDEX('1 ubicaciones'!$J$2:$J$22,T26 + 1)," ")," ")</f>
        <v xml:space="preserve"> </v>
      </c>
      <c r="AB26" s="58" t="str">
        <f>IFERROR(IF(ISNUMBER(T26),INDEX('1 ubicaciones'!$K$2:$K$22,T26 + 1)," ")," ")</f>
        <v xml:space="preserve"> </v>
      </c>
      <c r="AC26" s="58" t="str">
        <f>IFERROR(IF(ISNUMBER(T26),IF(S26 = S5, 0, AA26 + AC25)," ")," ")</f>
        <v xml:space="preserve"> </v>
      </c>
      <c r="AD26" s="58" t="str">
        <f>IFERROR(IF(ISNUMBER(T26),IF(S27 = S5, 0, IF(S27 = "", 0, AD27 + AB27))," ")," ")</f>
        <v xml:space="preserve"> </v>
      </c>
      <c r="AE26" s="49" t="str">
        <f t="shared" si="1"/>
        <v xml:space="preserve"> </v>
      </c>
      <c r="AI26" s="23">
        <v>21</v>
      </c>
      <c r="AJ26" s="63"/>
      <c r="AK26" s="49" t="str">
        <f>IFERROR(MATCH(AJ26,'1 ubicaciones'!$B$2:$B$22, 0) - 1," ")</f>
        <v xml:space="preserve"> </v>
      </c>
      <c r="AL26" s="58" t="str">
        <f>IFERROR(IF(ISNUMBER(AK26),INDEX('2.Distancias'!$C$2:$C$1445,AK25*38+AK26 + 2) +AL25," ")," ")</f>
        <v xml:space="preserve"> </v>
      </c>
      <c r="AM26" s="64" t="str">
        <f>IFERROR(IF(ISNUMBER(AK26),'3.Vehículos'!$F$4 * INDEX('2.Distancias'!$D$2:$D$1445,AK25*38+AK26 + 2) +AM25," ")," ")</f>
        <v xml:space="preserve"> </v>
      </c>
      <c r="AN26" s="92" t="str">
        <f>IFERROR(IF(ISNUMBER(AK26),'3.Vehículos'!$F$4 * INDEX('2.Distancias'!$D$2:$D$1445,AK25*38+AK26 + 2) +AO25," ")," ")</f>
        <v xml:space="preserve"> </v>
      </c>
      <c r="AO26" s="92" t="str">
        <f>IFERROR(IF(AND(AK5&lt;&gt;AK26,ISNUMBER(AN26)),INDEX('1 ubicaciones'!$I$2:$I$22,AK26 + 1) + MAX(AN26,INDEX('1 ubicaciones'!$F$2:$F$22,AK26 + 1))," ")," ")</f>
        <v xml:space="preserve"> </v>
      </c>
      <c r="AP26" s="64" t="str">
        <f>IFERROR(IF(AND(AJ26 = AJ5, AJ27 = ""), AN26 - AO5, AO26 - AO5)," ")</f>
        <v xml:space="preserve"> </v>
      </c>
      <c r="AQ26" s="49" t="str">
        <f>IFERROR(IF(ISNUMBER(AK26),INDEX('1 ubicaciones'!$L$2:$L$22,AK26 + 1) + AQ25," ")," ")</f>
        <v xml:space="preserve"> </v>
      </c>
      <c r="AR26" s="58" t="str">
        <f>IFERROR(IF(ISNUMBER(AK26),INDEX('1 ubicaciones'!$J$2:$J$22,AK26 + 1)," ")," ")</f>
        <v xml:space="preserve"> </v>
      </c>
      <c r="AS26" s="58" t="str">
        <f>IFERROR(IF(ISNUMBER(AK26),INDEX('1 ubicaciones'!$K$2:$K$22,AK26 + 1)," ")," ")</f>
        <v xml:space="preserve"> </v>
      </c>
      <c r="AT26" s="58" t="str">
        <f>IFERROR(IF(ISNUMBER(AK26),IF(AJ26 = AJ5, 0, AR26 + AT25)," ")," ")</f>
        <v xml:space="preserve"> </v>
      </c>
      <c r="AU26" s="58" t="str">
        <f>IFERROR(IF(ISNUMBER(AK26),IF(AJ27 = AJ5, 0, IF(AJ27 = "", 0, AU27 + AS27))," ")," ")</f>
        <v xml:space="preserve"> </v>
      </c>
      <c r="AV26" s="49" t="str">
        <f t="shared" si="2"/>
        <v xml:space="preserve"> </v>
      </c>
      <c r="AZ26" s="23">
        <v>21</v>
      </c>
      <c r="BA26" s="63"/>
      <c r="BB26" s="49" t="str">
        <f>IFERROR(MATCH(BA26,'1 ubicaciones'!$B$2:$B$22, 0) - 1," ")</f>
        <v xml:space="preserve"> </v>
      </c>
      <c r="BC26" s="58" t="str">
        <f>IFERROR(IF(ISNUMBER(BB26),INDEX('2.Distancias'!$C$2:$C$1445,BB25*38+BB26 + 2) +BC25," ")," ")</f>
        <v xml:space="preserve"> </v>
      </c>
      <c r="BD26" s="64" t="str">
        <f>IFERROR(IF(ISNUMBER(BB26),'3.Vehículos'!$F$5 * INDEX('2.Distancias'!$D$2:$D$1445,BB25*38+BB26 + 2) +BD25," ")," ")</f>
        <v xml:space="preserve"> </v>
      </c>
      <c r="BE26" s="92" t="str">
        <f>IFERROR(IF(ISNUMBER(BB26),'3.Vehículos'!$F$5 * INDEX('2.Distancias'!$D$2:$D$1445,BB25*38+BB26 + 2) +BF25," ")," ")</f>
        <v xml:space="preserve"> </v>
      </c>
      <c r="BF26" s="92" t="str">
        <f>IFERROR(IF(AND(BB5&lt;&gt;BB26,ISNUMBER(BE26)),INDEX('1 ubicaciones'!$I$2:$I$22,BB26 + 1) + MAX(BE26,INDEX('1 ubicaciones'!$F$2:$F$22,BB26 + 1))," ")," ")</f>
        <v xml:space="preserve"> </v>
      </c>
      <c r="BG26" s="64" t="str">
        <f>IFERROR(IF(AND(BA26 = BA5, BA27 = ""), BE26 - BF5, BF26 - BF5)," ")</f>
        <v xml:space="preserve"> </v>
      </c>
      <c r="BH26" s="49" t="str">
        <f>IFERROR(IF(ISNUMBER(BB26),INDEX('1 ubicaciones'!$L$2:$L$22,BB26 + 1) + BH25," ")," ")</f>
        <v xml:space="preserve"> </v>
      </c>
      <c r="BI26" s="58" t="str">
        <f>IFERROR(IF(ISNUMBER(BB26),INDEX('1 ubicaciones'!$J$2:$J$22,BB26 + 1)," ")," ")</f>
        <v xml:space="preserve"> </v>
      </c>
      <c r="BJ26" s="58" t="str">
        <f>IFERROR(IF(ISNUMBER(BB26),INDEX('1 ubicaciones'!$K$2:$K$22,BB26 + 1)," ")," ")</f>
        <v xml:space="preserve"> </v>
      </c>
      <c r="BK26" s="58" t="str">
        <f>IFERROR(IF(ISNUMBER(BB26),IF(BA26 = BA5, 0, BI26 + BK25)," ")," ")</f>
        <v xml:space="preserve"> </v>
      </c>
      <c r="BL26" s="58" t="str">
        <f>IFERROR(IF(ISNUMBER(BB26),IF(BA27 = BA5, 0, IF(BA27 = "", 0, BL27 + BJ27))," ")," ")</f>
        <v xml:space="preserve"> </v>
      </c>
      <c r="BM26" s="49" t="str">
        <f t="shared" si="3"/>
        <v xml:space="preserve"> </v>
      </c>
      <c r="BQ26" s="23">
        <v>21</v>
      </c>
      <c r="BR26" s="63"/>
      <c r="BS26" s="49" t="str">
        <f>IFERROR(MATCH(BR26,'1 ubicaciones'!$B$2:$B$22, 0) - 1," ")</f>
        <v xml:space="preserve"> </v>
      </c>
      <c r="BT26" s="58" t="str">
        <f>IFERROR(IF(ISNUMBER(BS26),INDEX('2.Distancias'!$C$2:$C$1445,BS25*38+BS26 + 2) +BT25," ")," ")</f>
        <v xml:space="preserve"> </v>
      </c>
      <c r="BU26" s="64" t="str">
        <f>IFERROR(IF(ISNUMBER(BS26),'3.Vehículos'!$F$6 * INDEX('2.Distancias'!$D$2:$D$1445,BS25*38+BS26 + 2) +BU25," ")," ")</f>
        <v xml:space="preserve"> </v>
      </c>
      <c r="BV26" s="92" t="str">
        <f>IFERROR(IF(ISNUMBER(BS26),'3.Vehículos'!$F$6 * INDEX('2.Distancias'!$D$2:$D$1445,BS25*38+BS26 + 2) +BW25," ")," ")</f>
        <v xml:space="preserve"> </v>
      </c>
      <c r="BW26" s="92" t="str">
        <f>IFERROR(IF(AND(BS5&lt;&gt;BS26,ISNUMBER(BV26)),INDEX('1 ubicaciones'!$I$2:$I$22,BS26 + 1) + MAX(BV26,INDEX('1 ubicaciones'!$F$2:$F$22,BS26 + 1))," ")," ")</f>
        <v xml:space="preserve"> </v>
      </c>
      <c r="BX26" s="64" t="str">
        <f>IFERROR(IF(AND(BR26 = BR5, BR27 = ""), BV26 - BW5, BW26 - BW5)," ")</f>
        <v xml:space="preserve"> </v>
      </c>
      <c r="BY26" s="49" t="str">
        <f>IFERROR(IF(ISNUMBER(BS26),INDEX('1 ubicaciones'!$L$2:$L$22,BS26 + 1) + BY25," ")," ")</f>
        <v xml:space="preserve"> </v>
      </c>
      <c r="BZ26" s="58" t="str">
        <f>IFERROR(IF(ISNUMBER(BS26),INDEX('1 ubicaciones'!$J$2:$J$22,BS26 + 1)," ")," ")</f>
        <v xml:space="preserve"> </v>
      </c>
      <c r="CA26" s="58" t="str">
        <f>IFERROR(IF(ISNUMBER(BS26),INDEX('1 ubicaciones'!$K$2:$K$22,BS26 + 1)," ")," ")</f>
        <v xml:space="preserve"> </v>
      </c>
      <c r="CB26" s="58" t="str">
        <f>IFERROR(IF(ISNUMBER(BS26),IF(BR26 = BR5, 0, BZ26 + CB25)," ")," ")</f>
        <v xml:space="preserve"> </v>
      </c>
      <c r="CC26" s="58" t="str">
        <f>IFERROR(IF(ISNUMBER(BS26),IF(BR27 = BR5, 0, IF(BR27 = "", 0, CC27 + CA27))," ")," ")</f>
        <v xml:space="preserve"> </v>
      </c>
      <c r="CD26" s="49" t="str">
        <f t="shared" si="4"/>
        <v xml:space="preserve"> </v>
      </c>
      <c r="CH26" s="23">
        <v>21</v>
      </c>
      <c r="CI26" s="63"/>
      <c r="CJ26" s="49" t="str">
        <f>IFERROR(MATCH(CI26,'1 ubicaciones'!$B$2:$B$22, 0) - 1," ")</f>
        <v xml:space="preserve"> </v>
      </c>
      <c r="CK26" s="58" t="str">
        <f>IFERROR(IF(ISNUMBER(CJ26),INDEX('2.Distancias'!$C$2:$C$1445,CJ25*38+CJ26 + 2) +CK25," ")," ")</f>
        <v xml:space="preserve"> </v>
      </c>
      <c r="CL26" s="64" t="str">
        <f>IFERROR(IF(ISNUMBER(CJ26),'3.Vehículos'!$F$10 * INDEX('2.Distancias'!$D$2:$D$1445,CJ25*38+CJ26 + 2) +CL25," ")," ")</f>
        <v xml:space="preserve"> </v>
      </c>
      <c r="CM26" s="92" t="str">
        <f>IFERROR(IF(ISNUMBER(CJ26),'3.Vehículos'!$F$10 * INDEX('2.Distancias'!$D$2:$D$1445,CJ25*38+CJ26 + 2) +CN25," ")," ")</f>
        <v xml:space="preserve"> </v>
      </c>
      <c r="CN26" s="92" t="str">
        <f>IFERROR(IF(AND(CJ5&lt;&gt;CJ26,ISNUMBER(CM26)),INDEX('1 ubicaciones'!$I$2:$I$22,CJ26 + 1) + MAX(CM26,INDEX('1 ubicaciones'!$F$2:$F$22,CJ26 + 1))," ")," ")</f>
        <v xml:space="preserve"> </v>
      </c>
      <c r="CO26" s="64" t="str">
        <f>IFERROR(IF(AND(CI26 = CI5, CI27 = ""), CM26 - CN5, CN26 - CN5)," ")</f>
        <v xml:space="preserve"> </v>
      </c>
      <c r="CP26" s="49" t="str">
        <f>IFERROR(IF(ISNUMBER(CJ26),INDEX('1 ubicaciones'!$L$2:$L$22,CJ26 + 1) + CP25," ")," ")</f>
        <v xml:space="preserve"> </v>
      </c>
      <c r="CQ26" s="58" t="str">
        <f>IFERROR(IF(ISNUMBER(CJ26),INDEX('1 ubicaciones'!$J$2:$J$22,CJ26 + 1)," ")," ")</f>
        <v xml:space="preserve"> </v>
      </c>
      <c r="CR26" s="58" t="str">
        <f>IFERROR(IF(ISNUMBER(CJ26),INDEX('1 ubicaciones'!$K$2:$K$22,CJ26 + 1)," ")," ")</f>
        <v xml:space="preserve"> </v>
      </c>
      <c r="CS26" s="58" t="str">
        <f>IFERROR(IF(ISNUMBER(CJ26),IF(CI26 = CI5, 0, CQ26 + CS25)," ")," ")</f>
        <v xml:space="preserve"> </v>
      </c>
      <c r="CT26" s="58" t="str">
        <f>IFERROR(IF(ISNUMBER(CJ26),IF(CI27 = CI5, 0, IF(CI27 = "", 0, CT27 + CR27))," ")," ")</f>
        <v xml:space="preserve"> </v>
      </c>
      <c r="CU26" s="49" t="str">
        <f t="shared" si="5"/>
        <v xml:space="preserve"> </v>
      </c>
      <c r="CY26" s="23">
        <v>21</v>
      </c>
      <c r="CZ26" s="63"/>
      <c r="DA26" s="49" t="str">
        <f>IFERROR(MATCH(CZ26,'1 ubicaciones'!$B$2:$B$22, 0) - 1," ")</f>
        <v xml:space="preserve"> </v>
      </c>
      <c r="DB26" s="58" t="str">
        <f>IFERROR(IF(ISNUMBER(DA26),INDEX('2.Distancias'!$C$2:$C$1445,DA25*38+DA26 + 2) +DB25," ")," ")</f>
        <v xml:space="preserve"> </v>
      </c>
      <c r="DC26" s="64" t="str">
        <f>IFERROR(IF(ISNUMBER(DA26),'3.Vehículos'!$F$11 * INDEX('2.Distancias'!$D$2:$D$1445,DA25*38+DA26 + 2) +DC25," ")," ")</f>
        <v xml:space="preserve"> </v>
      </c>
      <c r="DD26" s="92" t="str">
        <f>IFERROR(IF(ISNUMBER(DA26),'3.Vehículos'!$F$11 * INDEX('2.Distancias'!$D$2:$D$1445,DA25*38+DA26 + 2) +DE25," ")," ")</f>
        <v xml:space="preserve"> </v>
      </c>
      <c r="DE26" s="92" t="str">
        <f>IFERROR(IF(AND(DA5&lt;&gt;DA26,ISNUMBER(DD26)),INDEX('1 ubicaciones'!$I$2:$I$22,DA26 + 1) + MAX(DD26,INDEX('1 ubicaciones'!$F$2:$F$22,DA26 + 1))," ")," ")</f>
        <v xml:space="preserve"> </v>
      </c>
      <c r="DF26" s="64" t="str">
        <f>IFERROR(IF(AND(CZ26 = CZ5, CZ27 = ""), DD26 - DE5, DE26 - DE5)," ")</f>
        <v xml:space="preserve"> </v>
      </c>
      <c r="DG26" s="49" t="str">
        <f>IFERROR(IF(ISNUMBER(DA26),INDEX('1 ubicaciones'!$L$2:$L$22,DA26 + 1) + DG25," ")," ")</f>
        <v xml:space="preserve"> </v>
      </c>
      <c r="DH26" s="58" t="str">
        <f>IFERROR(IF(ISNUMBER(DA26),INDEX('1 ubicaciones'!$J$2:$J$22,DA26 + 1)," ")," ")</f>
        <v xml:space="preserve"> </v>
      </c>
      <c r="DI26" s="58" t="str">
        <f>IFERROR(IF(ISNUMBER(DA26),INDEX('1 ubicaciones'!$K$2:$K$22,DA26 + 1)," ")," ")</f>
        <v xml:space="preserve"> </v>
      </c>
      <c r="DJ26" s="58" t="str">
        <f>IFERROR(IF(ISNUMBER(DA26),IF(CZ26 = CZ5, 0, DH26 + DJ25)," ")," ")</f>
        <v xml:space="preserve"> </v>
      </c>
      <c r="DK26" s="58" t="str">
        <f>IFERROR(IF(ISNUMBER(DA26),IF(CZ27 = CZ5, 0, IF(CZ27 = "", 0, DK27 + DI27))," ")," ")</f>
        <v xml:space="preserve"> </v>
      </c>
      <c r="DL26" s="49" t="str">
        <f t="shared" si="6"/>
        <v xml:space="preserve"> </v>
      </c>
      <c r="DP26" s="23">
        <v>21</v>
      </c>
      <c r="DQ26" s="63"/>
      <c r="DR26" s="49" t="str">
        <f>IFERROR(MATCH(DQ26,'1 ubicaciones'!$B$2:$B$22, 0) - 1," ")</f>
        <v xml:space="preserve"> </v>
      </c>
      <c r="DS26" s="58" t="str">
        <f>IFERROR(IF(ISNUMBER(DR26),INDEX('2.Distancias'!$C$2:$C$1445,DR25*38+DR26 + 2) +DS25," ")," ")</f>
        <v xml:space="preserve"> </v>
      </c>
      <c r="DT26" s="64" t="str">
        <f>IFERROR(IF(ISNUMBER(DR26),'3.Vehículos'!$F$18 * INDEX('2.Distancias'!$D$2:$D$1445,DR25*38+DR26 + 2) +DT25," ")," ")</f>
        <v xml:space="preserve"> </v>
      </c>
      <c r="DU26" s="92" t="str">
        <f>IFERROR(IF(ISNUMBER(DR26),'3.Vehículos'!$F$18 * INDEX('2.Distancias'!$D$2:$D$1445,DR25*38+DR26 + 2) +DV25," ")," ")</f>
        <v xml:space="preserve"> </v>
      </c>
      <c r="DV26" s="92" t="str">
        <f>IFERROR(IF(AND(DR5&lt;&gt;DR26,ISNUMBER(DU26)),INDEX('1 ubicaciones'!$I$2:$I$22,DR26 + 1) + MAX(DU26,INDEX('1 ubicaciones'!$F$2:$F$22,DR26 + 1))," ")," ")</f>
        <v xml:space="preserve"> </v>
      </c>
      <c r="DW26" s="64" t="str">
        <f>IFERROR(IF(AND(DQ26 = DQ5, DQ27 = ""), DU26 - DV5, DV26 - DV5)," ")</f>
        <v xml:space="preserve"> </v>
      </c>
      <c r="DX26" s="49" t="str">
        <f>IFERROR(IF(ISNUMBER(DR26),INDEX('1 ubicaciones'!$L$2:$L$22,DR26 + 1) + DX25," ")," ")</f>
        <v xml:space="preserve"> </v>
      </c>
      <c r="DY26" s="58" t="str">
        <f>IFERROR(IF(ISNUMBER(DR26),INDEX('1 ubicaciones'!$J$2:$J$22,DR26 + 1)," ")," ")</f>
        <v xml:space="preserve"> </v>
      </c>
      <c r="DZ26" s="58" t="str">
        <f>IFERROR(IF(ISNUMBER(DR26),INDEX('1 ubicaciones'!$K$2:$K$22,DR26 + 1)," ")," ")</f>
        <v xml:space="preserve"> </v>
      </c>
      <c r="EA26" s="58" t="str">
        <f>IFERROR(IF(ISNUMBER(DR26),IF(DQ26 = DQ5, 0, DY26 + EA25)," ")," ")</f>
        <v xml:space="preserve"> </v>
      </c>
      <c r="EB26" s="58" t="str">
        <f>IFERROR(IF(ISNUMBER(DR26),IF(DQ27 = DQ5, 0, IF(DQ27 = "", 0, EB27 + DZ27))," ")," ")</f>
        <v xml:space="preserve"> </v>
      </c>
      <c r="EC26" s="49" t="str">
        <f t="shared" si="7"/>
        <v xml:space="preserve"> </v>
      </c>
    </row>
    <row r="27" spans="1:133" x14ac:dyDescent="0.25">
      <c r="A27" s="23">
        <v>22</v>
      </c>
      <c r="B27" s="66"/>
      <c r="C27" s="49" t="str">
        <f>IFERROR(MATCH(B27,'1 ubicaciones'!$B$2:$B$22, 0) - 1," ")</f>
        <v xml:space="preserve"> </v>
      </c>
      <c r="D27" s="58" t="str">
        <f>IFERROR(IF(ISNUMBER(C27),INDEX('2.Distancias'!$C$2:$C$1445,C26*38+C27 + 2) +D26," ")," ")</f>
        <v xml:space="preserve"> </v>
      </c>
      <c r="E27" s="64" t="str">
        <f>IFERROR(IF(ISNUMBER(C27),'3.Vehículos'!$F$2 * INDEX('2.Distancias'!$D$2:$D$1445,C26*38+C27 + 2) +E26," ")," ")</f>
        <v xml:space="preserve"> </v>
      </c>
      <c r="F27" s="92" t="str">
        <f>IFERROR(IF(ISNUMBER(C27),'3.Vehículos'!$F$2 * INDEX('2.Distancias'!$D$2:$D$1445,C26*38+C27 + 2) +G26," ")," ")</f>
        <v xml:space="preserve"> </v>
      </c>
      <c r="G27" s="92" t="str">
        <f>IFERROR(IF(AND(C5&lt;&gt;C27,ISNUMBER(F27)),INDEX('1 ubicaciones'!$I$2:$I$22,C27 + 1) + MAX(F27,INDEX('1 ubicaciones'!$F$2:$F$22,C27 + 1))," ")," ")</f>
        <v xml:space="preserve"> </v>
      </c>
      <c r="H27" s="64" t="str">
        <f>IFERROR(IF(AND(B27 = B5, B28 = ""), F27 - G5, G27 - G5)," ")</f>
        <v xml:space="preserve"> </v>
      </c>
      <c r="I27" s="49" t="str">
        <f>IFERROR(IF(ISNUMBER(C27),INDEX('1 ubicaciones'!$L$2:$L$22,C27 + 1) + I26," ")," ")</f>
        <v xml:space="preserve"> </v>
      </c>
      <c r="J27" s="58" t="str">
        <f>IFERROR(IF(ISNUMBER(C27),INDEX('1 ubicaciones'!$J$2:$J$22,C27 + 1)," ")," ")</f>
        <v xml:space="preserve"> </v>
      </c>
      <c r="K27" s="58" t="str">
        <f>IFERROR(IF(ISNUMBER(C27),INDEX('1 ubicaciones'!$K$2:$K$22,C27 + 1)," ")," ")</f>
        <v xml:space="preserve"> </v>
      </c>
      <c r="L27" s="58" t="str">
        <f>IFERROR(IF(ISNUMBER(C27),IF(B27 = B5, 0, J27 + L26)," ")," ")</f>
        <v xml:space="preserve"> </v>
      </c>
      <c r="M27" s="58" t="str">
        <f>IFERROR(IF(ISNUMBER(C27),IF(B28 = B5, 0, IF(B28 = "", 0, M28 + K28))," ")," ")</f>
        <v xml:space="preserve"> </v>
      </c>
      <c r="N27" s="49" t="str">
        <f t="shared" si="0"/>
        <v xml:space="preserve"> </v>
      </c>
      <c r="R27" s="23">
        <v>22</v>
      </c>
      <c r="S27" s="66"/>
      <c r="T27" s="49" t="str">
        <f>IFERROR(MATCH(S27,'1 ubicaciones'!$B$2:$B$22, 0) - 1," ")</f>
        <v xml:space="preserve"> </v>
      </c>
      <c r="U27" s="58" t="str">
        <f>IFERROR(IF(ISNUMBER(T27),INDEX('2.Distancias'!$C$2:$C$1445,T26*38+T27 + 2) +U26," ")," ")</f>
        <v xml:space="preserve"> </v>
      </c>
      <c r="V27" s="64" t="str">
        <f>IFERROR(IF(ISNUMBER(T27),'3.Vehículos'!$F$3 * INDEX('2.Distancias'!$D$2:$D$1445,T26*38+T27 + 2) +V26," ")," ")</f>
        <v xml:space="preserve"> </v>
      </c>
      <c r="W27" s="92" t="str">
        <f>IFERROR(IF(ISNUMBER(T27),'3.Vehículos'!$F$3 * INDEX('2.Distancias'!$D$2:$D$1445,T26*38+T27 + 2) +X26," ")," ")</f>
        <v xml:space="preserve"> </v>
      </c>
      <c r="X27" s="92" t="str">
        <f>IFERROR(IF(AND(T5&lt;&gt;T27,ISNUMBER(W27)),INDEX('1 ubicaciones'!$I$2:$I$22,T27 + 1) + MAX(W27,INDEX('1 ubicaciones'!$F$2:$F$22,T27 + 1))," ")," ")</f>
        <v xml:space="preserve"> </v>
      </c>
      <c r="Y27" s="64" t="str">
        <f>IFERROR(IF(AND(S27 = S5, S28 = ""), W27 - X5, X27 - X5)," ")</f>
        <v xml:space="preserve"> </v>
      </c>
      <c r="Z27" s="49" t="str">
        <f>IFERROR(IF(ISNUMBER(T27),INDEX('1 ubicaciones'!$L$2:$L$22,T27 + 1) + Z26," ")," ")</f>
        <v xml:space="preserve"> </v>
      </c>
      <c r="AA27" s="58" t="str">
        <f>IFERROR(IF(ISNUMBER(T27),INDEX('1 ubicaciones'!$J$2:$J$22,T27 + 1)," ")," ")</f>
        <v xml:space="preserve"> </v>
      </c>
      <c r="AB27" s="58" t="str">
        <f>IFERROR(IF(ISNUMBER(T27),INDEX('1 ubicaciones'!$K$2:$K$22,T27 + 1)," ")," ")</f>
        <v xml:space="preserve"> </v>
      </c>
      <c r="AC27" s="58" t="str">
        <f>IFERROR(IF(ISNUMBER(T27),IF(S27 = S5, 0, AA27 + AC26)," ")," ")</f>
        <v xml:space="preserve"> </v>
      </c>
      <c r="AD27" s="58" t="str">
        <f>IFERROR(IF(ISNUMBER(T27),IF(S28 = S5, 0, IF(S28 = "", 0, AD28 + AB28))," ")," ")</f>
        <v xml:space="preserve"> </v>
      </c>
      <c r="AE27" s="49" t="str">
        <f t="shared" si="1"/>
        <v xml:space="preserve"> </v>
      </c>
      <c r="AI27" s="23">
        <v>22</v>
      </c>
      <c r="AJ27" s="66"/>
      <c r="AK27" s="49" t="str">
        <f>IFERROR(MATCH(AJ27,'1 ubicaciones'!$B$2:$B$22, 0) - 1," ")</f>
        <v xml:space="preserve"> </v>
      </c>
      <c r="AL27" s="58" t="str">
        <f>IFERROR(IF(ISNUMBER(AK27),INDEX('2.Distancias'!$C$2:$C$1445,AK26*38+AK27 + 2) +AL26," ")," ")</f>
        <v xml:space="preserve"> </v>
      </c>
      <c r="AM27" s="64" t="str">
        <f>IFERROR(IF(ISNUMBER(AK27),'3.Vehículos'!$F$4 * INDEX('2.Distancias'!$D$2:$D$1445,AK26*38+AK27 + 2) +AM26," ")," ")</f>
        <v xml:space="preserve"> </v>
      </c>
      <c r="AN27" s="92" t="str">
        <f>IFERROR(IF(ISNUMBER(AK27),'3.Vehículos'!$F$4 * INDEX('2.Distancias'!$D$2:$D$1445,AK26*38+AK27 + 2) +AO26," ")," ")</f>
        <v xml:space="preserve"> </v>
      </c>
      <c r="AO27" s="92" t="str">
        <f>IFERROR(IF(AND(AK5&lt;&gt;AK27,ISNUMBER(AN27)),INDEX('1 ubicaciones'!$I$2:$I$22,AK27 + 1) + MAX(AN27,INDEX('1 ubicaciones'!$F$2:$F$22,AK27 + 1))," ")," ")</f>
        <v xml:space="preserve"> </v>
      </c>
      <c r="AP27" s="64" t="str">
        <f>IFERROR(IF(AND(AJ27 = AJ5, AJ28 = ""), AN27 - AO5, AO27 - AO5)," ")</f>
        <v xml:space="preserve"> </v>
      </c>
      <c r="AQ27" s="49" t="str">
        <f>IFERROR(IF(ISNUMBER(AK27),INDEX('1 ubicaciones'!$L$2:$L$22,AK27 + 1) + AQ26," ")," ")</f>
        <v xml:space="preserve"> </v>
      </c>
      <c r="AR27" s="58" t="str">
        <f>IFERROR(IF(ISNUMBER(AK27),INDEX('1 ubicaciones'!$J$2:$J$22,AK27 + 1)," ")," ")</f>
        <v xml:space="preserve"> </v>
      </c>
      <c r="AS27" s="58" t="str">
        <f>IFERROR(IF(ISNUMBER(AK27),INDEX('1 ubicaciones'!$K$2:$K$22,AK27 + 1)," ")," ")</f>
        <v xml:space="preserve"> </v>
      </c>
      <c r="AT27" s="58" t="str">
        <f>IFERROR(IF(ISNUMBER(AK27),IF(AJ27 = AJ5, 0, AR27 + AT26)," ")," ")</f>
        <v xml:space="preserve"> </v>
      </c>
      <c r="AU27" s="58" t="str">
        <f>IFERROR(IF(ISNUMBER(AK27),IF(AJ28 = AJ5, 0, IF(AJ28 = "", 0, AU28 + AS28))," ")," ")</f>
        <v xml:space="preserve"> </v>
      </c>
      <c r="AV27" s="49" t="str">
        <f t="shared" si="2"/>
        <v xml:space="preserve"> </v>
      </c>
      <c r="AZ27" s="23">
        <v>22</v>
      </c>
      <c r="BA27" s="66"/>
      <c r="BB27" s="49" t="str">
        <f>IFERROR(MATCH(BA27,'1 ubicaciones'!$B$2:$B$22, 0) - 1," ")</f>
        <v xml:space="preserve"> </v>
      </c>
      <c r="BC27" s="58" t="str">
        <f>IFERROR(IF(ISNUMBER(BB27),INDEX('2.Distancias'!$C$2:$C$1445,BB26*38+BB27 + 2) +BC26," ")," ")</f>
        <v xml:space="preserve"> </v>
      </c>
      <c r="BD27" s="64" t="str">
        <f>IFERROR(IF(ISNUMBER(BB27),'3.Vehículos'!$F$5 * INDEX('2.Distancias'!$D$2:$D$1445,BB26*38+BB27 + 2) +BD26," ")," ")</f>
        <v xml:space="preserve"> </v>
      </c>
      <c r="BE27" s="92" t="str">
        <f>IFERROR(IF(ISNUMBER(BB27),'3.Vehículos'!$F$5 * INDEX('2.Distancias'!$D$2:$D$1445,BB26*38+BB27 + 2) +BF26," ")," ")</f>
        <v xml:space="preserve"> </v>
      </c>
      <c r="BF27" s="92" t="str">
        <f>IFERROR(IF(AND(BB5&lt;&gt;BB27,ISNUMBER(BE27)),INDEX('1 ubicaciones'!$I$2:$I$22,BB27 + 1) + MAX(BE27,INDEX('1 ubicaciones'!$F$2:$F$22,BB27 + 1))," ")," ")</f>
        <v xml:space="preserve"> </v>
      </c>
      <c r="BG27" s="64" t="str">
        <f>IFERROR(IF(AND(BA27 = BA5, BA28 = ""), BE27 - BF5, BF27 - BF5)," ")</f>
        <v xml:space="preserve"> </v>
      </c>
      <c r="BH27" s="49" t="str">
        <f>IFERROR(IF(ISNUMBER(BB27),INDEX('1 ubicaciones'!$L$2:$L$22,BB27 + 1) + BH26," ")," ")</f>
        <v xml:space="preserve"> </v>
      </c>
      <c r="BI27" s="58" t="str">
        <f>IFERROR(IF(ISNUMBER(BB27),INDEX('1 ubicaciones'!$J$2:$J$22,BB27 + 1)," ")," ")</f>
        <v xml:space="preserve"> </v>
      </c>
      <c r="BJ27" s="58" t="str">
        <f>IFERROR(IF(ISNUMBER(BB27),INDEX('1 ubicaciones'!$K$2:$K$22,BB27 + 1)," ")," ")</f>
        <v xml:space="preserve"> </v>
      </c>
      <c r="BK27" s="58" t="str">
        <f>IFERROR(IF(ISNUMBER(BB27),IF(BA27 = BA5, 0, BI27 + BK26)," ")," ")</f>
        <v xml:space="preserve"> </v>
      </c>
      <c r="BL27" s="58" t="str">
        <f>IFERROR(IF(ISNUMBER(BB27),IF(BA28 = BA5, 0, IF(BA28 = "", 0, BL28 + BJ28))," ")," ")</f>
        <v xml:space="preserve"> </v>
      </c>
      <c r="BM27" s="49" t="str">
        <f t="shared" si="3"/>
        <v xml:space="preserve"> </v>
      </c>
      <c r="BQ27" s="23">
        <v>22</v>
      </c>
      <c r="BR27" s="66"/>
      <c r="BS27" s="49" t="str">
        <f>IFERROR(MATCH(BR27,'1 ubicaciones'!$B$2:$B$22, 0) - 1," ")</f>
        <v xml:space="preserve"> </v>
      </c>
      <c r="BT27" s="58" t="str">
        <f>IFERROR(IF(ISNUMBER(BS27),INDEX('2.Distancias'!$C$2:$C$1445,BS26*38+BS27 + 2) +BT26," ")," ")</f>
        <v xml:space="preserve"> </v>
      </c>
      <c r="BU27" s="64" t="str">
        <f>IFERROR(IF(ISNUMBER(BS27),'3.Vehículos'!$F$6 * INDEX('2.Distancias'!$D$2:$D$1445,BS26*38+BS27 + 2) +BU26," ")," ")</f>
        <v xml:space="preserve"> </v>
      </c>
      <c r="BV27" s="92" t="str">
        <f>IFERROR(IF(ISNUMBER(BS27),'3.Vehículos'!$F$6 * INDEX('2.Distancias'!$D$2:$D$1445,BS26*38+BS27 + 2) +BW26," ")," ")</f>
        <v xml:space="preserve"> </v>
      </c>
      <c r="BW27" s="92" t="str">
        <f>IFERROR(IF(AND(BS5&lt;&gt;BS27,ISNUMBER(BV27)),INDEX('1 ubicaciones'!$I$2:$I$22,BS27 + 1) + MAX(BV27,INDEX('1 ubicaciones'!$F$2:$F$22,BS27 + 1))," ")," ")</f>
        <v xml:space="preserve"> </v>
      </c>
      <c r="BX27" s="64" t="str">
        <f>IFERROR(IF(AND(BR27 = BR5, BR28 = ""), BV27 - BW5, BW27 - BW5)," ")</f>
        <v xml:space="preserve"> </v>
      </c>
      <c r="BY27" s="49" t="str">
        <f>IFERROR(IF(ISNUMBER(BS27),INDEX('1 ubicaciones'!$L$2:$L$22,BS27 + 1) + BY26," ")," ")</f>
        <v xml:space="preserve"> </v>
      </c>
      <c r="BZ27" s="58" t="str">
        <f>IFERROR(IF(ISNUMBER(BS27),INDEX('1 ubicaciones'!$J$2:$J$22,BS27 + 1)," ")," ")</f>
        <v xml:space="preserve"> </v>
      </c>
      <c r="CA27" s="58" t="str">
        <f>IFERROR(IF(ISNUMBER(BS27),INDEX('1 ubicaciones'!$K$2:$K$22,BS27 + 1)," ")," ")</f>
        <v xml:space="preserve"> </v>
      </c>
      <c r="CB27" s="58" t="str">
        <f>IFERROR(IF(ISNUMBER(BS27),IF(BR27 = BR5, 0, BZ27 + CB26)," ")," ")</f>
        <v xml:space="preserve"> </v>
      </c>
      <c r="CC27" s="58" t="str">
        <f>IFERROR(IF(ISNUMBER(BS27),IF(BR28 = BR5, 0, IF(BR28 = "", 0, CC28 + CA28))," ")," ")</f>
        <v xml:space="preserve"> </v>
      </c>
      <c r="CD27" s="49" t="str">
        <f t="shared" si="4"/>
        <v xml:space="preserve"> </v>
      </c>
      <c r="CH27" s="23">
        <v>22</v>
      </c>
      <c r="CI27" s="66"/>
      <c r="CJ27" s="49" t="str">
        <f>IFERROR(MATCH(CI27,'1 ubicaciones'!$B$2:$B$22, 0) - 1," ")</f>
        <v xml:space="preserve"> </v>
      </c>
      <c r="CK27" s="58" t="str">
        <f>IFERROR(IF(ISNUMBER(CJ27),INDEX('2.Distancias'!$C$2:$C$1445,CJ26*38+CJ27 + 2) +CK26," ")," ")</f>
        <v xml:space="preserve"> </v>
      </c>
      <c r="CL27" s="64" t="str">
        <f>IFERROR(IF(ISNUMBER(CJ27),'3.Vehículos'!$F$10 * INDEX('2.Distancias'!$D$2:$D$1445,CJ26*38+CJ27 + 2) +CL26," ")," ")</f>
        <v xml:space="preserve"> </v>
      </c>
      <c r="CM27" s="92" t="str">
        <f>IFERROR(IF(ISNUMBER(CJ27),'3.Vehículos'!$F$10 * INDEX('2.Distancias'!$D$2:$D$1445,CJ26*38+CJ27 + 2) +CN26," ")," ")</f>
        <v xml:space="preserve"> </v>
      </c>
      <c r="CN27" s="92" t="str">
        <f>IFERROR(IF(AND(CJ5&lt;&gt;CJ27,ISNUMBER(CM27)),INDEX('1 ubicaciones'!$I$2:$I$22,CJ27 + 1) + MAX(CM27,INDEX('1 ubicaciones'!$F$2:$F$22,CJ27 + 1))," ")," ")</f>
        <v xml:space="preserve"> </v>
      </c>
      <c r="CO27" s="64" t="str">
        <f>IFERROR(IF(AND(CI27 = CI5, CI28 = ""), CM27 - CN5, CN27 - CN5)," ")</f>
        <v xml:space="preserve"> </v>
      </c>
      <c r="CP27" s="49" t="str">
        <f>IFERROR(IF(ISNUMBER(CJ27),INDEX('1 ubicaciones'!$L$2:$L$22,CJ27 + 1) + CP26," ")," ")</f>
        <v xml:space="preserve"> </v>
      </c>
      <c r="CQ27" s="58" t="str">
        <f>IFERROR(IF(ISNUMBER(CJ27),INDEX('1 ubicaciones'!$J$2:$J$22,CJ27 + 1)," ")," ")</f>
        <v xml:space="preserve"> </v>
      </c>
      <c r="CR27" s="58" t="str">
        <f>IFERROR(IF(ISNUMBER(CJ27),INDEX('1 ubicaciones'!$K$2:$K$22,CJ27 + 1)," ")," ")</f>
        <v xml:space="preserve"> </v>
      </c>
      <c r="CS27" s="58" t="str">
        <f>IFERROR(IF(ISNUMBER(CJ27),IF(CI27 = CI5, 0, CQ27 + CS26)," ")," ")</f>
        <v xml:space="preserve"> </v>
      </c>
      <c r="CT27" s="58" t="str">
        <f>IFERROR(IF(ISNUMBER(CJ27),IF(CI28 = CI5, 0, IF(CI28 = "", 0, CT28 + CR28))," ")," ")</f>
        <v xml:space="preserve"> </v>
      </c>
      <c r="CU27" s="49" t="str">
        <f t="shared" si="5"/>
        <v xml:space="preserve"> </v>
      </c>
      <c r="CY27" s="23">
        <v>22</v>
      </c>
      <c r="CZ27" s="66"/>
      <c r="DA27" s="49" t="str">
        <f>IFERROR(MATCH(CZ27,'1 ubicaciones'!$B$2:$B$22, 0) - 1," ")</f>
        <v xml:space="preserve"> </v>
      </c>
      <c r="DB27" s="58" t="str">
        <f>IFERROR(IF(ISNUMBER(DA27),INDEX('2.Distancias'!$C$2:$C$1445,DA26*38+DA27 + 2) +DB26," ")," ")</f>
        <v xml:space="preserve"> </v>
      </c>
      <c r="DC27" s="64" t="str">
        <f>IFERROR(IF(ISNUMBER(DA27),'3.Vehículos'!$F$11 * INDEX('2.Distancias'!$D$2:$D$1445,DA26*38+DA27 + 2) +DC26," ")," ")</f>
        <v xml:space="preserve"> </v>
      </c>
      <c r="DD27" s="92" t="str">
        <f>IFERROR(IF(ISNUMBER(DA27),'3.Vehículos'!$F$11 * INDEX('2.Distancias'!$D$2:$D$1445,DA26*38+DA27 + 2) +DE26," ")," ")</f>
        <v xml:space="preserve"> </v>
      </c>
      <c r="DE27" s="92" t="str">
        <f>IFERROR(IF(AND(DA5&lt;&gt;DA27,ISNUMBER(DD27)),INDEX('1 ubicaciones'!$I$2:$I$22,DA27 + 1) + MAX(DD27,INDEX('1 ubicaciones'!$F$2:$F$22,DA27 + 1))," ")," ")</f>
        <v xml:space="preserve"> </v>
      </c>
      <c r="DF27" s="64" t="str">
        <f>IFERROR(IF(AND(CZ27 = CZ5, CZ28 = ""), DD27 - DE5, DE27 - DE5)," ")</f>
        <v xml:space="preserve"> </v>
      </c>
      <c r="DG27" s="49" t="str">
        <f>IFERROR(IF(ISNUMBER(DA27),INDEX('1 ubicaciones'!$L$2:$L$22,DA27 + 1) + DG26," ")," ")</f>
        <v xml:space="preserve"> </v>
      </c>
      <c r="DH27" s="58" t="str">
        <f>IFERROR(IF(ISNUMBER(DA27),INDEX('1 ubicaciones'!$J$2:$J$22,DA27 + 1)," ")," ")</f>
        <v xml:space="preserve"> </v>
      </c>
      <c r="DI27" s="58" t="str">
        <f>IFERROR(IF(ISNUMBER(DA27),INDEX('1 ubicaciones'!$K$2:$K$22,DA27 + 1)," ")," ")</f>
        <v xml:space="preserve"> </v>
      </c>
      <c r="DJ27" s="58" t="str">
        <f>IFERROR(IF(ISNUMBER(DA27),IF(CZ27 = CZ5, 0, DH27 + DJ26)," ")," ")</f>
        <v xml:space="preserve"> </v>
      </c>
      <c r="DK27" s="58" t="str">
        <f>IFERROR(IF(ISNUMBER(DA27),IF(CZ28 = CZ5, 0, IF(CZ28 = "", 0, DK28 + DI28))," ")," ")</f>
        <v xml:space="preserve"> </v>
      </c>
      <c r="DL27" s="49" t="str">
        <f t="shared" si="6"/>
        <v xml:space="preserve"> </v>
      </c>
      <c r="DP27" s="23">
        <v>22</v>
      </c>
      <c r="DQ27" s="66"/>
      <c r="DR27" s="49" t="str">
        <f>IFERROR(MATCH(DQ27,'1 ubicaciones'!$B$2:$B$22, 0) - 1," ")</f>
        <v xml:space="preserve"> </v>
      </c>
      <c r="DS27" s="58" t="str">
        <f>IFERROR(IF(ISNUMBER(DR27),INDEX('2.Distancias'!$C$2:$C$1445,DR26*38+DR27 + 2) +DS26," ")," ")</f>
        <v xml:space="preserve"> </v>
      </c>
      <c r="DT27" s="64" t="str">
        <f>IFERROR(IF(ISNUMBER(DR27),'3.Vehículos'!$F$18 * INDEX('2.Distancias'!$D$2:$D$1445,DR26*38+DR27 + 2) +DT26," ")," ")</f>
        <v xml:space="preserve"> </v>
      </c>
      <c r="DU27" s="92" t="str">
        <f>IFERROR(IF(ISNUMBER(DR27),'3.Vehículos'!$F$18 * INDEX('2.Distancias'!$D$2:$D$1445,DR26*38+DR27 + 2) +DV26," ")," ")</f>
        <v xml:space="preserve"> </v>
      </c>
      <c r="DV27" s="92" t="str">
        <f>IFERROR(IF(AND(DR5&lt;&gt;DR27,ISNUMBER(DU27)),INDEX('1 ubicaciones'!$I$2:$I$22,DR27 + 1) + MAX(DU27,INDEX('1 ubicaciones'!$F$2:$F$22,DR27 + 1))," ")," ")</f>
        <v xml:space="preserve"> </v>
      </c>
      <c r="DW27" s="64" t="str">
        <f>IFERROR(IF(AND(DQ27 = DQ5, DQ28 = ""), DU27 - DV5, DV27 - DV5)," ")</f>
        <v xml:space="preserve"> </v>
      </c>
      <c r="DX27" s="49" t="str">
        <f>IFERROR(IF(ISNUMBER(DR27),INDEX('1 ubicaciones'!$L$2:$L$22,DR27 + 1) + DX26," ")," ")</f>
        <v xml:space="preserve"> </v>
      </c>
      <c r="DY27" s="58" t="str">
        <f>IFERROR(IF(ISNUMBER(DR27),INDEX('1 ubicaciones'!$J$2:$J$22,DR27 + 1)," ")," ")</f>
        <v xml:space="preserve"> </v>
      </c>
      <c r="DZ27" s="58" t="str">
        <f>IFERROR(IF(ISNUMBER(DR27),INDEX('1 ubicaciones'!$K$2:$K$22,DR27 + 1)," ")," ")</f>
        <v xml:space="preserve"> </v>
      </c>
      <c r="EA27" s="58" t="str">
        <f>IFERROR(IF(ISNUMBER(DR27),IF(DQ27 = DQ5, 0, DY27 + EA26)," ")," ")</f>
        <v xml:space="preserve"> </v>
      </c>
      <c r="EB27" s="58" t="str">
        <f>IFERROR(IF(ISNUMBER(DR27),IF(DQ28 = DQ5, 0, IF(DQ28 = "", 0, EB28 + DZ28))," ")," ")</f>
        <v xml:space="preserve"> </v>
      </c>
      <c r="EC27" s="49" t="str">
        <f t="shared" si="7"/>
        <v xml:space="preserve"> </v>
      </c>
    </row>
    <row r="28" spans="1:133" x14ac:dyDescent="0.25">
      <c r="A28" s="23">
        <v>23</v>
      </c>
      <c r="B28" s="63"/>
      <c r="C28" s="49" t="str">
        <f>IFERROR(MATCH(B28,'1 ubicaciones'!$B$2:$B$22, 0) - 1," ")</f>
        <v xml:space="preserve"> </v>
      </c>
      <c r="D28" s="58" t="str">
        <f>IFERROR(IF(ISNUMBER(C28),INDEX('2.Distancias'!$C$2:$C$1445,C27*38+C28 + 2) +D27," ")," ")</f>
        <v xml:space="preserve"> </v>
      </c>
      <c r="E28" s="64" t="str">
        <f>IFERROR(IF(ISNUMBER(C28),'3.Vehículos'!$F$2 * INDEX('2.Distancias'!$D$2:$D$1445,C27*38+C28 + 2) +E27," ")," ")</f>
        <v xml:space="preserve"> </v>
      </c>
      <c r="F28" s="92" t="str">
        <f>IFERROR(IF(ISNUMBER(C28),'3.Vehículos'!$F$2 * INDEX('2.Distancias'!$D$2:$D$1445,C27*38+C28 + 2) +G27," ")," ")</f>
        <v xml:space="preserve"> </v>
      </c>
      <c r="G28" s="92" t="str">
        <f>IFERROR(IF(AND(C5&lt;&gt;C28,ISNUMBER(F28)),INDEX('1 ubicaciones'!$I$2:$I$22,C28 + 1) + MAX(F28,INDEX('1 ubicaciones'!$F$2:$F$22,C28 + 1))," ")," ")</f>
        <v xml:space="preserve"> </v>
      </c>
      <c r="H28" s="64" t="str">
        <f>IFERROR(IF(AND(B28 = B5, B29 = ""), F28 - G5, G28 - G5)," ")</f>
        <v xml:space="preserve"> </v>
      </c>
      <c r="I28" s="49" t="str">
        <f>IFERROR(IF(ISNUMBER(C28),INDEX('1 ubicaciones'!$L$2:$L$22,C28 + 1) + I27," ")," ")</f>
        <v xml:space="preserve"> </v>
      </c>
      <c r="J28" s="58" t="str">
        <f>IFERROR(IF(ISNUMBER(C28),INDEX('1 ubicaciones'!$J$2:$J$22,C28 + 1)," ")," ")</f>
        <v xml:space="preserve"> </v>
      </c>
      <c r="K28" s="58" t="str">
        <f>IFERROR(IF(ISNUMBER(C28),INDEX('1 ubicaciones'!$K$2:$K$22,C28 + 1)," ")," ")</f>
        <v xml:space="preserve"> </v>
      </c>
      <c r="L28" s="58" t="str">
        <f>IFERROR(IF(ISNUMBER(C28),IF(B28 = B5, 0, J28 + L27)," ")," ")</f>
        <v xml:space="preserve"> </v>
      </c>
      <c r="M28" s="58" t="str">
        <f>IFERROR(IF(ISNUMBER(C28),IF(B29 = B5, 0, IF(B29 = "", 0, M29 + K29))," ")," ")</f>
        <v xml:space="preserve"> </v>
      </c>
      <c r="N28" s="49" t="str">
        <f t="shared" si="0"/>
        <v xml:space="preserve"> </v>
      </c>
      <c r="R28" s="23">
        <v>23</v>
      </c>
      <c r="S28" s="63"/>
      <c r="T28" s="49" t="str">
        <f>IFERROR(MATCH(S28,'1 ubicaciones'!$B$2:$B$22, 0) - 1," ")</f>
        <v xml:space="preserve"> </v>
      </c>
      <c r="U28" s="58" t="str">
        <f>IFERROR(IF(ISNUMBER(T28),INDEX('2.Distancias'!$C$2:$C$1445,T27*38+T28 + 2) +U27," ")," ")</f>
        <v xml:space="preserve"> </v>
      </c>
      <c r="V28" s="64" t="str">
        <f>IFERROR(IF(ISNUMBER(T28),'3.Vehículos'!$F$3 * INDEX('2.Distancias'!$D$2:$D$1445,T27*38+T28 + 2) +V27," ")," ")</f>
        <v xml:space="preserve"> </v>
      </c>
      <c r="W28" s="92" t="str">
        <f>IFERROR(IF(ISNUMBER(T28),'3.Vehículos'!$F$3 * INDEX('2.Distancias'!$D$2:$D$1445,T27*38+T28 + 2) +X27," ")," ")</f>
        <v xml:space="preserve"> </v>
      </c>
      <c r="X28" s="92" t="str">
        <f>IFERROR(IF(AND(T5&lt;&gt;T28,ISNUMBER(W28)),INDEX('1 ubicaciones'!$I$2:$I$22,T28 + 1) + MAX(W28,INDEX('1 ubicaciones'!$F$2:$F$22,T28 + 1))," ")," ")</f>
        <v xml:space="preserve"> </v>
      </c>
      <c r="Y28" s="64" t="str">
        <f>IFERROR(IF(AND(S28 = S5, S29 = ""), W28 - X5, X28 - X5)," ")</f>
        <v xml:space="preserve"> </v>
      </c>
      <c r="Z28" s="49" t="str">
        <f>IFERROR(IF(ISNUMBER(T28),INDEX('1 ubicaciones'!$L$2:$L$22,T28 + 1) + Z27," ")," ")</f>
        <v xml:space="preserve"> </v>
      </c>
      <c r="AA28" s="58" t="str">
        <f>IFERROR(IF(ISNUMBER(T28),INDEX('1 ubicaciones'!$J$2:$J$22,T28 + 1)," ")," ")</f>
        <v xml:space="preserve"> </v>
      </c>
      <c r="AB28" s="58" t="str">
        <f>IFERROR(IF(ISNUMBER(T28),INDEX('1 ubicaciones'!$K$2:$K$22,T28 + 1)," ")," ")</f>
        <v xml:space="preserve"> </v>
      </c>
      <c r="AC28" s="58" t="str">
        <f>IFERROR(IF(ISNUMBER(T28),IF(S28 = S5, 0, AA28 + AC27)," ")," ")</f>
        <v xml:space="preserve"> </v>
      </c>
      <c r="AD28" s="58" t="str">
        <f>IFERROR(IF(ISNUMBER(T28),IF(S29 = S5, 0, IF(S29 = "", 0, AD29 + AB29))," ")," ")</f>
        <v xml:space="preserve"> </v>
      </c>
      <c r="AE28" s="49" t="str">
        <f t="shared" si="1"/>
        <v xml:space="preserve"> </v>
      </c>
      <c r="AI28" s="23">
        <v>23</v>
      </c>
      <c r="AJ28" s="63"/>
      <c r="AK28" s="49" t="str">
        <f>IFERROR(MATCH(AJ28,'1 ubicaciones'!$B$2:$B$22, 0) - 1," ")</f>
        <v xml:space="preserve"> </v>
      </c>
      <c r="AL28" s="58" t="str">
        <f>IFERROR(IF(ISNUMBER(AK28),INDEX('2.Distancias'!$C$2:$C$1445,AK27*38+AK28 + 2) +AL27," ")," ")</f>
        <v xml:space="preserve"> </v>
      </c>
      <c r="AM28" s="64" t="str">
        <f>IFERROR(IF(ISNUMBER(AK28),'3.Vehículos'!$F$4 * INDEX('2.Distancias'!$D$2:$D$1445,AK27*38+AK28 + 2) +AM27," ")," ")</f>
        <v xml:space="preserve"> </v>
      </c>
      <c r="AN28" s="92" t="str">
        <f>IFERROR(IF(ISNUMBER(AK28),'3.Vehículos'!$F$4 * INDEX('2.Distancias'!$D$2:$D$1445,AK27*38+AK28 + 2) +AO27," ")," ")</f>
        <v xml:space="preserve"> </v>
      </c>
      <c r="AO28" s="92" t="str">
        <f>IFERROR(IF(AND(AK5&lt;&gt;AK28,ISNUMBER(AN28)),INDEX('1 ubicaciones'!$I$2:$I$22,AK28 + 1) + MAX(AN28,INDEX('1 ubicaciones'!$F$2:$F$22,AK28 + 1))," ")," ")</f>
        <v xml:space="preserve"> </v>
      </c>
      <c r="AP28" s="64" t="str">
        <f>IFERROR(IF(AND(AJ28 = AJ5, AJ29 = ""), AN28 - AO5, AO28 - AO5)," ")</f>
        <v xml:space="preserve"> </v>
      </c>
      <c r="AQ28" s="49" t="str">
        <f>IFERROR(IF(ISNUMBER(AK28),INDEX('1 ubicaciones'!$L$2:$L$22,AK28 + 1) + AQ27," ")," ")</f>
        <v xml:space="preserve"> </v>
      </c>
      <c r="AR28" s="58" t="str">
        <f>IFERROR(IF(ISNUMBER(AK28),INDEX('1 ubicaciones'!$J$2:$J$22,AK28 + 1)," ")," ")</f>
        <v xml:space="preserve"> </v>
      </c>
      <c r="AS28" s="58" t="str">
        <f>IFERROR(IF(ISNUMBER(AK28),INDEX('1 ubicaciones'!$K$2:$K$22,AK28 + 1)," ")," ")</f>
        <v xml:space="preserve"> </v>
      </c>
      <c r="AT28" s="58" t="str">
        <f>IFERROR(IF(ISNUMBER(AK28),IF(AJ28 = AJ5, 0, AR28 + AT27)," ")," ")</f>
        <v xml:space="preserve"> </v>
      </c>
      <c r="AU28" s="58" t="str">
        <f>IFERROR(IF(ISNUMBER(AK28),IF(AJ29 = AJ5, 0, IF(AJ29 = "", 0, AU29 + AS29))," ")," ")</f>
        <v xml:space="preserve"> </v>
      </c>
      <c r="AV28" s="49" t="str">
        <f t="shared" si="2"/>
        <v xml:space="preserve"> </v>
      </c>
      <c r="AZ28" s="23">
        <v>23</v>
      </c>
      <c r="BA28" s="63"/>
      <c r="BB28" s="49" t="str">
        <f>IFERROR(MATCH(BA28,'1 ubicaciones'!$B$2:$B$22, 0) - 1," ")</f>
        <v xml:space="preserve"> </v>
      </c>
      <c r="BC28" s="58" t="str">
        <f>IFERROR(IF(ISNUMBER(BB28),INDEX('2.Distancias'!$C$2:$C$1445,BB27*38+BB28 + 2) +BC27," ")," ")</f>
        <v xml:space="preserve"> </v>
      </c>
      <c r="BD28" s="64" t="str">
        <f>IFERROR(IF(ISNUMBER(BB28),'3.Vehículos'!$F$5 * INDEX('2.Distancias'!$D$2:$D$1445,BB27*38+BB28 + 2) +BD27," ")," ")</f>
        <v xml:space="preserve"> </v>
      </c>
      <c r="BE28" s="92" t="str">
        <f>IFERROR(IF(ISNUMBER(BB28),'3.Vehículos'!$F$5 * INDEX('2.Distancias'!$D$2:$D$1445,BB27*38+BB28 + 2) +BF27," ")," ")</f>
        <v xml:space="preserve"> </v>
      </c>
      <c r="BF28" s="92" t="str">
        <f>IFERROR(IF(AND(BB5&lt;&gt;BB28,ISNUMBER(BE28)),INDEX('1 ubicaciones'!$I$2:$I$22,BB28 + 1) + MAX(BE28,INDEX('1 ubicaciones'!$F$2:$F$22,BB28 + 1))," ")," ")</f>
        <v xml:space="preserve"> </v>
      </c>
      <c r="BG28" s="64" t="str">
        <f>IFERROR(IF(AND(BA28 = BA5, BA29 = ""), BE28 - BF5, BF28 - BF5)," ")</f>
        <v xml:space="preserve"> </v>
      </c>
      <c r="BH28" s="49" t="str">
        <f>IFERROR(IF(ISNUMBER(BB28),INDEX('1 ubicaciones'!$L$2:$L$22,BB28 + 1) + BH27," ")," ")</f>
        <v xml:space="preserve"> </v>
      </c>
      <c r="BI28" s="58" t="str">
        <f>IFERROR(IF(ISNUMBER(BB28),INDEX('1 ubicaciones'!$J$2:$J$22,BB28 + 1)," ")," ")</f>
        <v xml:space="preserve"> </v>
      </c>
      <c r="BJ28" s="58" t="str">
        <f>IFERROR(IF(ISNUMBER(BB28),INDEX('1 ubicaciones'!$K$2:$K$22,BB28 + 1)," ")," ")</f>
        <v xml:space="preserve"> </v>
      </c>
      <c r="BK28" s="58" t="str">
        <f>IFERROR(IF(ISNUMBER(BB28),IF(BA28 = BA5, 0, BI28 + BK27)," ")," ")</f>
        <v xml:space="preserve"> </v>
      </c>
      <c r="BL28" s="58" t="str">
        <f>IFERROR(IF(ISNUMBER(BB28),IF(BA29 = BA5, 0, IF(BA29 = "", 0, BL29 + BJ29))," ")," ")</f>
        <v xml:space="preserve"> </v>
      </c>
      <c r="BM28" s="49" t="str">
        <f t="shared" si="3"/>
        <v xml:space="preserve"> </v>
      </c>
      <c r="BQ28" s="23">
        <v>23</v>
      </c>
      <c r="BR28" s="63"/>
      <c r="BS28" s="49" t="str">
        <f>IFERROR(MATCH(BR28,'1 ubicaciones'!$B$2:$B$22, 0) - 1," ")</f>
        <v xml:space="preserve"> </v>
      </c>
      <c r="BT28" s="58" t="str">
        <f>IFERROR(IF(ISNUMBER(BS28),INDEX('2.Distancias'!$C$2:$C$1445,BS27*38+BS28 + 2) +BT27," ")," ")</f>
        <v xml:space="preserve"> </v>
      </c>
      <c r="BU28" s="64" t="str">
        <f>IFERROR(IF(ISNUMBER(BS28),'3.Vehículos'!$F$6 * INDEX('2.Distancias'!$D$2:$D$1445,BS27*38+BS28 + 2) +BU27," ")," ")</f>
        <v xml:space="preserve"> </v>
      </c>
      <c r="BV28" s="92" t="str">
        <f>IFERROR(IF(ISNUMBER(BS28),'3.Vehículos'!$F$6 * INDEX('2.Distancias'!$D$2:$D$1445,BS27*38+BS28 + 2) +BW27," ")," ")</f>
        <v xml:space="preserve"> </v>
      </c>
      <c r="BW28" s="92" t="str">
        <f>IFERROR(IF(AND(BS5&lt;&gt;BS28,ISNUMBER(BV28)),INDEX('1 ubicaciones'!$I$2:$I$22,BS28 + 1) + MAX(BV28,INDEX('1 ubicaciones'!$F$2:$F$22,BS28 + 1))," ")," ")</f>
        <v xml:space="preserve"> </v>
      </c>
      <c r="BX28" s="64" t="str">
        <f>IFERROR(IF(AND(BR28 = BR5, BR29 = ""), BV28 - BW5, BW28 - BW5)," ")</f>
        <v xml:space="preserve"> </v>
      </c>
      <c r="BY28" s="49" t="str">
        <f>IFERROR(IF(ISNUMBER(BS28),INDEX('1 ubicaciones'!$L$2:$L$22,BS28 + 1) + BY27," ")," ")</f>
        <v xml:space="preserve"> </v>
      </c>
      <c r="BZ28" s="58" t="str">
        <f>IFERROR(IF(ISNUMBER(BS28),INDEX('1 ubicaciones'!$J$2:$J$22,BS28 + 1)," ")," ")</f>
        <v xml:space="preserve"> </v>
      </c>
      <c r="CA28" s="58" t="str">
        <f>IFERROR(IF(ISNUMBER(BS28),INDEX('1 ubicaciones'!$K$2:$K$22,BS28 + 1)," ")," ")</f>
        <v xml:space="preserve"> </v>
      </c>
      <c r="CB28" s="58" t="str">
        <f>IFERROR(IF(ISNUMBER(BS28),IF(BR28 = BR5, 0, BZ28 + CB27)," ")," ")</f>
        <v xml:space="preserve"> </v>
      </c>
      <c r="CC28" s="58" t="str">
        <f>IFERROR(IF(ISNUMBER(BS28),IF(BR29 = BR5, 0, IF(BR29 = "", 0, CC29 + CA29))," ")," ")</f>
        <v xml:space="preserve"> </v>
      </c>
      <c r="CD28" s="49" t="str">
        <f t="shared" si="4"/>
        <v xml:space="preserve"> </v>
      </c>
      <c r="CH28" s="23">
        <v>23</v>
      </c>
      <c r="CI28" s="63"/>
      <c r="CJ28" s="49" t="str">
        <f>IFERROR(MATCH(CI28,'1 ubicaciones'!$B$2:$B$22, 0) - 1," ")</f>
        <v xml:space="preserve"> </v>
      </c>
      <c r="CK28" s="58" t="str">
        <f>IFERROR(IF(ISNUMBER(CJ28),INDEX('2.Distancias'!$C$2:$C$1445,CJ27*38+CJ28 + 2) +CK27," ")," ")</f>
        <v xml:space="preserve"> </v>
      </c>
      <c r="CL28" s="64" t="str">
        <f>IFERROR(IF(ISNUMBER(CJ28),'3.Vehículos'!$F$10 * INDEX('2.Distancias'!$D$2:$D$1445,CJ27*38+CJ28 + 2) +CL27," ")," ")</f>
        <v xml:space="preserve"> </v>
      </c>
      <c r="CM28" s="92" t="str">
        <f>IFERROR(IF(ISNUMBER(CJ28),'3.Vehículos'!$F$10 * INDEX('2.Distancias'!$D$2:$D$1445,CJ27*38+CJ28 + 2) +CN27," ")," ")</f>
        <v xml:space="preserve"> </v>
      </c>
      <c r="CN28" s="92" t="str">
        <f>IFERROR(IF(AND(CJ5&lt;&gt;CJ28,ISNUMBER(CM28)),INDEX('1 ubicaciones'!$I$2:$I$22,CJ28 + 1) + MAX(CM28,INDEX('1 ubicaciones'!$F$2:$F$22,CJ28 + 1))," ")," ")</f>
        <v xml:space="preserve"> </v>
      </c>
      <c r="CO28" s="64" t="str">
        <f>IFERROR(IF(AND(CI28 = CI5, CI29 = ""), CM28 - CN5, CN28 - CN5)," ")</f>
        <v xml:space="preserve"> </v>
      </c>
      <c r="CP28" s="49" t="str">
        <f>IFERROR(IF(ISNUMBER(CJ28),INDEX('1 ubicaciones'!$L$2:$L$22,CJ28 + 1) + CP27," ")," ")</f>
        <v xml:space="preserve"> </v>
      </c>
      <c r="CQ28" s="58" t="str">
        <f>IFERROR(IF(ISNUMBER(CJ28),INDEX('1 ubicaciones'!$J$2:$J$22,CJ28 + 1)," ")," ")</f>
        <v xml:space="preserve"> </v>
      </c>
      <c r="CR28" s="58" t="str">
        <f>IFERROR(IF(ISNUMBER(CJ28),INDEX('1 ubicaciones'!$K$2:$K$22,CJ28 + 1)," ")," ")</f>
        <v xml:space="preserve"> </v>
      </c>
      <c r="CS28" s="58" t="str">
        <f>IFERROR(IF(ISNUMBER(CJ28),IF(CI28 = CI5, 0, CQ28 + CS27)," ")," ")</f>
        <v xml:space="preserve"> </v>
      </c>
      <c r="CT28" s="58" t="str">
        <f>IFERROR(IF(ISNUMBER(CJ28),IF(CI29 = CI5, 0, IF(CI29 = "", 0, CT29 + CR29))," ")," ")</f>
        <v xml:space="preserve"> </v>
      </c>
      <c r="CU28" s="49" t="str">
        <f t="shared" si="5"/>
        <v xml:space="preserve"> </v>
      </c>
      <c r="CY28" s="23">
        <v>23</v>
      </c>
      <c r="CZ28" s="63"/>
      <c r="DA28" s="49" t="str">
        <f>IFERROR(MATCH(CZ28,'1 ubicaciones'!$B$2:$B$22, 0) - 1," ")</f>
        <v xml:space="preserve"> </v>
      </c>
      <c r="DB28" s="58" t="str">
        <f>IFERROR(IF(ISNUMBER(DA28),INDEX('2.Distancias'!$C$2:$C$1445,DA27*38+DA28 + 2) +DB27," ")," ")</f>
        <v xml:space="preserve"> </v>
      </c>
      <c r="DC28" s="64" t="str">
        <f>IFERROR(IF(ISNUMBER(DA28),'3.Vehículos'!$F$11 * INDEX('2.Distancias'!$D$2:$D$1445,DA27*38+DA28 + 2) +DC27," ")," ")</f>
        <v xml:space="preserve"> </v>
      </c>
      <c r="DD28" s="92" t="str">
        <f>IFERROR(IF(ISNUMBER(DA28),'3.Vehículos'!$F$11 * INDEX('2.Distancias'!$D$2:$D$1445,DA27*38+DA28 + 2) +DE27," ")," ")</f>
        <v xml:space="preserve"> </v>
      </c>
      <c r="DE28" s="92" t="str">
        <f>IFERROR(IF(AND(DA5&lt;&gt;DA28,ISNUMBER(DD28)),INDEX('1 ubicaciones'!$I$2:$I$22,DA28 + 1) + MAX(DD28,INDEX('1 ubicaciones'!$F$2:$F$22,DA28 + 1))," ")," ")</f>
        <v xml:space="preserve"> </v>
      </c>
      <c r="DF28" s="64" t="str">
        <f>IFERROR(IF(AND(CZ28 = CZ5, CZ29 = ""), DD28 - DE5, DE28 - DE5)," ")</f>
        <v xml:space="preserve"> </v>
      </c>
      <c r="DG28" s="49" t="str">
        <f>IFERROR(IF(ISNUMBER(DA28),INDEX('1 ubicaciones'!$L$2:$L$22,DA28 + 1) + DG27," ")," ")</f>
        <v xml:space="preserve"> </v>
      </c>
      <c r="DH28" s="58" t="str">
        <f>IFERROR(IF(ISNUMBER(DA28),INDEX('1 ubicaciones'!$J$2:$J$22,DA28 + 1)," ")," ")</f>
        <v xml:space="preserve"> </v>
      </c>
      <c r="DI28" s="58" t="str">
        <f>IFERROR(IF(ISNUMBER(DA28),INDEX('1 ubicaciones'!$K$2:$K$22,DA28 + 1)," ")," ")</f>
        <v xml:space="preserve"> </v>
      </c>
      <c r="DJ28" s="58" t="str">
        <f>IFERROR(IF(ISNUMBER(DA28),IF(CZ28 = CZ5, 0, DH28 + DJ27)," ")," ")</f>
        <v xml:space="preserve"> </v>
      </c>
      <c r="DK28" s="58" t="str">
        <f>IFERROR(IF(ISNUMBER(DA28),IF(CZ29 = CZ5, 0, IF(CZ29 = "", 0, DK29 + DI29))," ")," ")</f>
        <v xml:space="preserve"> </v>
      </c>
      <c r="DL28" s="49" t="str">
        <f t="shared" si="6"/>
        <v xml:space="preserve"> </v>
      </c>
      <c r="DP28" s="23">
        <v>23</v>
      </c>
      <c r="DQ28" s="63"/>
      <c r="DR28" s="49" t="str">
        <f>IFERROR(MATCH(DQ28,'1 ubicaciones'!$B$2:$B$22, 0) - 1," ")</f>
        <v xml:space="preserve"> </v>
      </c>
      <c r="DS28" s="58" t="str">
        <f>IFERROR(IF(ISNUMBER(DR28),INDEX('2.Distancias'!$C$2:$C$1445,DR27*38+DR28 + 2) +DS27," ")," ")</f>
        <v xml:space="preserve"> </v>
      </c>
      <c r="DT28" s="64" t="str">
        <f>IFERROR(IF(ISNUMBER(DR28),'3.Vehículos'!$F$18 * INDEX('2.Distancias'!$D$2:$D$1445,DR27*38+DR28 + 2) +DT27," ")," ")</f>
        <v xml:space="preserve"> </v>
      </c>
      <c r="DU28" s="92" t="str">
        <f>IFERROR(IF(ISNUMBER(DR28),'3.Vehículos'!$F$18 * INDEX('2.Distancias'!$D$2:$D$1445,DR27*38+DR28 + 2) +DV27," ")," ")</f>
        <v xml:space="preserve"> </v>
      </c>
      <c r="DV28" s="92" t="str">
        <f>IFERROR(IF(AND(DR5&lt;&gt;DR28,ISNUMBER(DU28)),INDEX('1 ubicaciones'!$I$2:$I$22,DR28 + 1) + MAX(DU28,INDEX('1 ubicaciones'!$F$2:$F$22,DR28 + 1))," ")," ")</f>
        <v xml:space="preserve"> </v>
      </c>
      <c r="DW28" s="64" t="str">
        <f>IFERROR(IF(AND(DQ28 = DQ5, DQ29 = ""), DU28 - DV5, DV28 - DV5)," ")</f>
        <v xml:space="preserve"> </v>
      </c>
      <c r="DX28" s="49" t="str">
        <f>IFERROR(IF(ISNUMBER(DR28),INDEX('1 ubicaciones'!$L$2:$L$22,DR28 + 1) + DX27," ")," ")</f>
        <v xml:space="preserve"> </v>
      </c>
      <c r="DY28" s="58" t="str">
        <f>IFERROR(IF(ISNUMBER(DR28),INDEX('1 ubicaciones'!$J$2:$J$22,DR28 + 1)," ")," ")</f>
        <v xml:space="preserve"> </v>
      </c>
      <c r="DZ28" s="58" t="str">
        <f>IFERROR(IF(ISNUMBER(DR28),INDEX('1 ubicaciones'!$K$2:$K$22,DR28 + 1)," ")," ")</f>
        <v xml:space="preserve"> </v>
      </c>
      <c r="EA28" s="58" t="str">
        <f>IFERROR(IF(ISNUMBER(DR28),IF(DQ28 = DQ5, 0, DY28 + EA27)," ")," ")</f>
        <v xml:space="preserve"> </v>
      </c>
      <c r="EB28" s="58" t="str">
        <f>IFERROR(IF(ISNUMBER(DR28),IF(DQ29 = DQ5, 0, IF(DQ29 = "", 0, EB29 + DZ29))," ")," ")</f>
        <v xml:space="preserve"> </v>
      </c>
      <c r="EC28" s="49" t="str">
        <f t="shared" si="7"/>
        <v xml:space="preserve"> </v>
      </c>
    </row>
    <row r="29" spans="1:133" x14ac:dyDescent="0.25">
      <c r="A29" s="23">
        <v>24</v>
      </c>
      <c r="B29" s="66"/>
      <c r="C29" s="49" t="str">
        <f>IFERROR(MATCH(B29,'1 ubicaciones'!$B$2:$B$22, 0) - 1," ")</f>
        <v xml:space="preserve"> </v>
      </c>
      <c r="D29" s="58" t="str">
        <f>IFERROR(IF(ISNUMBER(C29),INDEX('2.Distancias'!$C$2:$C$1445,C28*38+C29 + 2) +D28," ")," ")</f>
        <v xml:space="preserve"> </v>
      </c>
      <c r="E29" s="64" t="str">
        <f>IFERROR(IF(ISNUMBER(C29),'3.Vehículos'!$F$2 * INDEX('2.Distancias'!$D$2:$D$1445,C28*38+C29 + 2) +E28," ")," ")</f>
        <v xml:space="preserve"> </v>
      </c>
      <c r="F29" s="92" t="str">
        <f>IFERROR(IF(ISNUMBER(C29),'3.Vehículos'!$F$2 * INDEX('2.Distancias'!$D$2:$D$1445,C28*38+C29 + 2) +G28," ")," ")</f>
        <v xml:space="preserve"> </v>
      </c>
      <c r="G29" s="92" t="str">
        <f>IFERROR(IF(AND(C5&lt;&gt;C29,ISNUMBER(F29)),INDEX('1 ubicaciones'!$I$2:$I$22,C29 + 1) + MAX(F29,INDEX('1 ubicaciones'!$F$2:$F$22,C29 + 1))," ")," ")</f>
        <v xml:space="preserve"> </v>
      </c>
      <c r="H29" s="64" t="str">
        <f>IFERROR(IF(AND(B29 = B5, B30 = ""), F29 - G5, G29 - G5)," ")</f>
        <v xml:space="preserve"> </v>
      </c>
      <c r="I29" s="49" t="str">
        <f>IFERROR(IF(ISNUMBER(C29),INDEX('1 ubicaciones'!$L$2:$L$22,C29 + 1) + I28," ")," ")</f>
        <v xml:space="preserve"> </v>
      </c>
      <c r="J29" s="58" t="str">
        <f>IFERROR(IF(ISNUMBER(C29),INDEX('1 ubicaciones'!$J$2:$J$22,C29 + 1)," ")," ")</f>
        <v xml:space="preserve"> </v>
      </c>
      <c r="K29" s="58" t="str">
        <f>IFERROR(IF(ISNUMBER(C29),INDEX('1 ubicaciones'!$K$2:$K$22,C29 + 1)," ")," ")</f>
        <v xml:space="preserve"> </v>
      </c>
      <c r="L29" s="58" t="str">
        <f>IFERROR(IF(ISNUMBER(C29),IF(B29 = B5, 0, J29 + L28)," ")," ")</f>
        <v xml:space="preserve"> </v>
      </c>
      <c r="M29" s="58" t="str">
        <f>IFERROR(IF(ISNUMBER(C29),IF(B30 = B5, 0, IF(B30 = "", 0, M30 + K30))," ")," ")</f>
        <v xml:space="preserve"> </v>
      </c>
      <c r="N29" s="49" t="str">
        <f t="shared" si="0"/>
        <v xml:space="preserve"> </v>
      </c>
      <c r="R29" s="23">
        <v>24</v>
      </c>
      <c r="S29" s="66"/>
      <c r="T29" s="49" t="str">
        <f>IFERROR(MATCH(S29,'1 ubicaciones'!$B$2:$B$22, 0) - 1," ")</f>
        <v xml:space="preserve"> </v>
      </c>
      <c r="U29" s="58" t="str">
        <f>IFERROR(IF(ISNUMBER(T29),INDEX('2.Distancias'!$C$2:$C$1445,T28*38+T29 + 2) +U28," ")," ")</f>
        <v xml:space="preserve"> </v>
      </c>
      <c r="V29" s="64" t="str">
        <f>IFERROR(IF(ISNUMBER(T29),'3.Vehículos'!$F$3 * INDEX('2.Distancias'!$D$2:$D$1445,T28*38+T29 + 2) +V28," ")," ")</f>
        <v xml:space="preserve"> </v>
      </c>
      <c r="W29" s="92" t="str">
        <f>IFERROR(IF(ISNUMBER(T29),'3.Vehículos'!$F$3 * INDEX('2.Distancias'!$D$2:$D$1445,T28*38+T29 + 2) +X28," ")," ")</f>
        <v xml:space="preserve"> </v>
      </c>
      <c r="X29" s="92" t="str">
        <f>IFERROR(IF(AND(T5&lt;&gt;T29,ISNUMBER(W29)),INDEX('1 ubicaciones'!$I$2:$I$22,T29 + 1) + MAX(W29,INDEX('1 ubicaciones'!$F$2:$F$22,T29 + 1))," ")," ")</f>
        <v xml:space="preserve"> </v>
      </c>
      <c r="Y29" s="64" t="str">
        <f>IFERROR(IF(AND(S29 = S5, S30 = ""), W29 - X5, X29 - X5)," ")</f>
        <v xml:space="preserve"> </v>
      </c>
      <c r="Z29" s="49" t="str">
        <f>IFERROR(IF(ISNUMBER(T29),INDEX('1 ubicaciones'!$L$2:$L$22,T29 + 1) + Z28," ")," ")</f>
        <v xml:space="preserve"> </v>
      </c>
      <c r="AA29" s="58" t="str">
        <f>IFERROR(IF(ISNUMBER(T29),INDEX('1 ubicaciones'!$J$2:$J$22,T29 + 1)," ")," ")</f>
        <v xml:space="preserve"> </v>
      </c>
      <c r="AB29" s="58" t="str">
        <f>IFERROR(IF(ISNUMBER(T29),INDEX('1 ubicaciones'!$K$2:$K$22,T29 + 1)," ")," ")</f>
        <v xml:space="preserve"> </v>
      </c>
      <c r="AC29" s="58" t="str">
        <f>IFERROR(IF(ISNUMBER(T29),IF(S29 = S5, 0, AA29 + AC28)," ")," ")</f>
        <v xml:space="preserve"> </v>
      </c>
      <c r="AD29" s="58" t="str">
        <f>IFERROR(IF(ISNUMBER(T29),IF(S30 = S5, 0, IF(S30 = "", 0, AD30 + AB30))," ")," ")</f>
        <v xml:space="preserve"> </v>
      </c>
      <c r="AE29" s="49" t="str">
        <f t="shared" si="1"/>
        <v xml:space="preserve"> </v>
      </c>
      <c r="AI29" s="23">
        <v>24</v>
      </c>
      <c r="AJ29" s="66"/>
      <c r="AK29" s="49" t="str">
        <f>IFERROR(MATCH(AJ29,'1 ubicaciones'!$B$2:$B$22, 0) - 1," ")</f>
        <v xml:space="preserve"> </v>
      </c>
      <c r="AL29" s="58" t="str">
        <f>IFERROR(IF(ISNUMBER(AK29),INDEX('2.Distancias'!$C$2:$C$1445,AK28*38+AK29 + 2) +AL28," ")," ")</f>
        <v xml:space="preserve"> </v>
      </c>
      <c r="AM29" s="64" t="str">
        <f>IFERROR(IF(ISNUMBER(AK29),'3.Vehículos'!$F$4 * INDEX('2.Distancias'!$D$2:$D$1445,AK28*38+AK29 + 2) +AM28," ")," ")</f>
        <v xml:space="preserve"> </v>
      </c>
      <c r="AN29" s="92" t="str">
        <f>IFERROR(IF(ISNUMBER(AK29),'3.Vehículos'!$F$4 * INDEX('2.Distancias'!$D$2:$D$1445,AK28*38+AK29 + 2) +AO28," ")," ")</f>
        <v xml:space="preserve"> </v>
      </c>
      <c r="AO29" s="92" t="str">
        <f>IFERROR(IF(AND(AK5&lt;&gt;AK29,ISNUMBER(AN29)),INDEX('1 ubicaciones'!$I$2:$I$22,AK29 + 1) + MAX(AN29,INDEX('1 ubicaciones'!$F$2:$F$22,AK29 + 1))," ")," ")</f>
        <v xml:space="preserve"> </v>
      </c>
      <c r="AP29" s="64" t="str">
        <f>IFERROR(IF(AND(AJ29 = AJ5, AJ30 = ""), AN29 - AO5, AO29 - AO5)," ")</f>
        <v xml:space="preserve"> </v>
      </c>
      <c r="AQ29" s="49" t="str">
        <f>IFERROR(IF(ISNUMBER(AK29),INDEX('1 ubicaciones'!$L$2:$L$22,AK29 + 1) + AQ28," ")," ")</f>
        <v xml:space="preserve"> </v>
      </c>
      <c r="AR29" s="58" t="str">
        <f>IFERROR(IF(ISNUMBER(AK29),INDEX('1 ubicaciones'!$J$2:$J$22,AK29 + 1)," ")," ")</f>
        <v xml:space="preserve"> </v>
      </c>
      <c r="AS29" s="58" t="str">
        <f>IFERROR(IF(ISNUMBER(AK29),INDEX('1 ubicaciones'!$K$2:$K$22,AK29 + 1)," ")," ")</f>
        <v xml:space="preserve"> </v>
      </c>
      <c r="AT29" s="58" t="str">
        <f>IFERROR(IF(ISNUMBER(AK29),IF(AJ29 = AJ5, 0, AR29 + AT28)," ")," ")</f>
        <v xml:space="preserve"> </v>
      </c>
      <c r="AU29" s="58" t="str">
        <f>IFERROR(IF(ISNUMBER(AK29),IF(AJ30 = AJ5, 0, IF(AJ30 = "", 0, AU30 + AS30))," ")," ")</f>
        <v xml:space="preserve"> </v>
      </c>
      <c r="AV29" s="49" t="str">
        <f t="shared" si="2"/>
        <v xml:space="preserve"> </v>
      </c>
      <c r="AZ29" s="23">
        <v>24</v>
      </c>
      <c r="BA29" s="66"/>
      <c r="BB29" s="49" t="str">
        <f>IFERROR(MATCH(BA29,'1 ubicaciones'!$B$2:$B$22, 0) - 1," ")</f>
        <v xml:space="preserve"> </v>
      </c>
      <c r="BC29" s="58" t="str">
        <f>IFERROR(IF(ISNUMBER(BB29),INDEX('2.Distancias'!$C$2:$C$1445,BB28*38+BB29 + 2) +BC28," ")," ")</f>
        <v xml:space="preserve"> </v>
      </c>
      <c r="BD29" s="64" t="str">
        <f>IFERROR(IF(ISNUMBER(BB29),'3.Vehículos'!$F$5 * INDEX('2.Distancias'!$D$2:$D$1445,BB28*38+BB29 + 2) +BD28," ")," ")</f>
        <v xml:space="preserve"> </v>
      </c>
      <c r="BE29" s="92" t="str">
        <f>IFERROR(IF(ISNUMBER(BB29),'3.Vehículos'!$F$5 * INDEX('2.Distancias'!$D$2:$D$1445,BB28*38+BB29 + 2) +BF28," ")," ")</f>
        <v xml:space="preserve"> </v>
      </c>
      <c r="BF29" s="92" t="str">
        <f>IFERROR(IF(AND(BB5&lt;&gt;BB29,ISNUMBER(BE29)),INDEX('1 ubicaciones'!$I$2:$I$22,BB29 + 1) + MAX(BE29,INDEX('1 ubicaciones'!$F$2:$F$22,BB29 + 1))," ")," ")</f>
        <v xml:space="preserve"> </v>
      </c>
      <c r="BG29" s="64" t="str">
        <f>IFERROR(IF(AND(BA29 = BA5, BA30 = ""), BE29 - BF5, BF29 - BF5)," ")</f>
        <v xml:space="preserve"> </v>
      </c>
      <c r="BH29" s="49" t="str">
        <f>IFERROR(IF(ISNUMBER(BB29),INDEX('1 ubicaciones'!$L$2:$L$22,BB29 + 1) + BH28," ")," ")</f>
        <v xml:space="preserve"> </v>
      </c>
      <c r="BI29" s="58" t="str">
        <f>IFERROR(IF(ISNUMBER(BB29),INDEX('1 ubicaciones'!$J$2:$J$22,BB29 + 1)," ")," ")</f>
        <v xml:space="preserve"> </v>
      </c>
      <c r="BJ29" s="58" t="str">
        <f>IFERROR(IF(ISNUMBER(BB29),INDEX('1 ubicaciones'!$K$2:$K$22,BB29 + 1)," ")," ")</f>
        <v xml:space="preserve"> </v>
      </c>
      <c r="BK29" s="58" t="str">
        <f>IFERROR(IF(ISNUMBER(BB29),IF(BA29 = BA5, 0, BI29 + BK28)," ")," ")</f>
        <v xml:space="preserve"> </v>
      </c>
      <c r="BL29" s="58" t="str">
        <f>IFERROR(IF(ISNUMBER(BB29),IF(BA30 = BA5, 0, IF(BA30 = "", 0, BL30 + BJ30))," ")," ")</f>
        <v xml:space="preserve"> </v>
      </c>
      <c r="BM29" s="49" t="str">
        <f t="shared" si="3"/>
        <v xml:space="preserve"> </v>
      </c>
      <c r="BQ29" s="23">
        <v>24</v>
      </c>
      <c r="BR29" s="66"/>
      <c r="BS29" s="49" t="str">
        <f>IFERROR(MATCH(BR29,'1 ubicaciones'!$B$2:$B$22, 0) - 1," ")</f>
        <v xml:space="preserve"> </v>
      </c>
      <c r="BT29" s="58" t="str">
        <f>IFERROR(IF(ISNUMBER(BS29),INDEX('2.Distancias'!$C$2:$C$1445,BS28*38+BS29 + 2) +BT28," ")," ")</f>
        <v xml:space="preserve"> </v>
      </c>
      <c r="BU29" s="64" t="str">
        <f>IFERROR(IF(ISNUMBER(BS29),'3.Vehículos'!$F$6 * INDEX('2.Distancias'!$D$2:$D$1445,BS28*38+BS29 + 2) +BU28," ")," ")</f>
        <v xml:space="preserve"> </v>
      </c>
      <c r="BV29" s="92" t="str">
        <f>IFERROR(IF(ISNUMBER(BS29),'3.Vehículos'!$F$6 * INDEX('2.Distancias'!$D$2:$D$1445,BS28*38+BS29 + 2) +BW28," ")," ")</f>
        <v xml:space="preserve"> </v>
      </c>
      <c r="BW29" s="92" t="str">
        <f>IFERROR(IF(AND(BS5&lt;&gt;BS29,ISNUMBER(BV29)),INDEX('1 ubicaciones'!$I$2:$I$22,BS29 + 1) + MAX(BV29,INDEX('1 ubicaciones'!$F$2:$F$22,BS29 + 1))," ")," ")</f>
        <v xml:space="preserve"> </v>
      </c>
      <c r="BX29" s="64" t="str">
        <f>IFERROR(IF(AND(BR29 = BR5, BR30 = ""), BV29 - BW5, BW29 - BW5)," ")</f>
        <v xml:space="preserve"> </v>
      </c>
      <c r="BY29" s="49" t="str">
        <f>IFERROR(IF(ISNUMBER(BS29),INDEX('1 ubicaciones'!$L$2:$L$22,BS29 + 1) + BY28," ")," ")</f>
        <v xml:space="preserve"> </v>
      </c>
      <c r="BZ29" s="58" t="str">
        <f>IFERROR(IF(ISNUMBER(BS29),INDEX('1 ubicaciones'!$J$2:$J$22,BS29 + 1)," ")," ")</f>
        <v xml:space="preserve"> </v>
      </c>
      <c r="CA29" s="58" t="str">
        <f>IFERROR(IF(ISNUMBER(BS29),INDEX('1 ubicaciones'!$K$2:$K$22,BS29 + 1)," ")," ")</f>
        <v xml:space="preserve"> </v>
      </c>
      <c r="CB29" s="58" t="str">
        <f>IFERROR(IF(ISNUMBER(BS29),IF(BR29 = BR5, 0, BZ29 + CB28)," ")," ")</f>
        <v xml:space="preserve"> </v>
      </c>
      <c r="CC29" s="58" t="str">
        <f>IFERROR(IF(ISNUMBER(BS29),IF(BR30 = BR5, 0, IF(BR30 = "", 0, CC30 + CA30))," ")," ")</f>
        <v xml:space="preserve"> </v>
      </c>
      <c r="CD29" s="49" t="str">
        <f t="shared" si="4"/>
        <v xml:space="preserve"> </v>
      </c>
      <c r="CH29" s="23">
        <v>24</v>
      </c>
      <c r="CI29" s="66"/>
      <c r="CJ29" s="49" t="str">
        <f>IFERROR(MATCH(CI29,'1 ubicaciones'!$B$2:$B$22, 0) - 1," ")</f>
        <v xml:space="preserve"> </v>
      </c>
      <c r="CK29" s="58" t="str">
        <f>IFERROR(IF(ISNUMBER(CJ29),INDEX('2.Distancias'!$C$2:$C$1445,CJ28*38+CJ29 + 2) +CK28," ")," ")</f>
        <v xml:space="preserve"> </v>
      </c>
      <c r="CL29" s="64" t="str">
        <f>IFERROR(IF(ISNUMBER(CJ29),'3.Vehículos'!$F$10 * INDEX('2.Distancias'!$D$2:$D$1445,CJ28*38+CJ29 + 2) +CL28," ")," ")</f>
        <v xml:space="preserve"> </v>
      </c>
      <c r="CM29" s="92" t="str">
        <f>IFERROR(IF(ISNUMBER(CJ29),'3.Vehículos'!$F$10 * INDEX('2.Distancias'!$D$2:$D$1445,CJ28*38+CJ29 + 2) +CN28," ")," ")</f>
        <v xml:space="preserve"> </v>
      </c>
      <c r="CN29" s="92" t="str">
        <f>IFERROR(IF(AND(CJ5&lt;&gt;CJ29,ISNUMBER(CM29)),INDEX('1 ubicaciones'!$I$2:$I$22,CJ29 + 1) + MAX(CM29,INDEX('1 ubicaciones'!$F$2:$F$22,CJ29 + 1))," ")," ")</f>
        <v xml:space="preserve"> </v>
      </c>
      <c r="CO29" s="64" t="str">
        <f>IFERROR(IF(AND(CI29 = CI5, CI30 = ""), CM29 - CN5, CN29 - CN5)," ")</f>
        <v xml:space="preserve"> </v>
      </c>
      <c r="CP29" s="49" t="str">
        <f>IFERROR(IF(ISNUMBER(CJ29),INDEX('1 ubicaciones'!$L$2:$L$22,CJ29 + 1) + CP28," ")," ")</f>
        <v xml:space="preserve"> </v>
      </c>
      <c r="CQ29" s="58" t="str">
        <f>IFERROR(IF(ISNUMBER(CJ29),INDEX('1 ubicaciones'!$J$2:$J$22,CJ29 + 1)," ")," ")</f>
        <v xml:space="preserve"> </v>
      </c>
      <c r="CR29" s="58" t="str">
        <f>IFERROR(IF(ISNUMBER(CJ29),INDEX('1 ubicaciones'!$K$2:$K$22,CJ29 + 1)," ")," ")</f>
        <v xml:space="preserve"> </v>
      </c>
      <c r="CS29" s="58" t="str">
        <f>IFERROR(IF(ISNUMBER(CJ29),IF(CI29 = CI5, 0, CQ29 + CS28)," ")," ")</f>
        <v xml:space="preserve"> </v>
      </c>
      <c r="CT29" s="58" t="str">
        <f>IFERROR(IF(ISNUMBER(CJ29),IF(CI30 = CI5, 0, IF(CI30 = "", 0, CT30 + CR30))," ")," ")</f>
        <v xml:space="preserve"> </v>
      </c>
      <c r="CU29" s="49" t="str">
        <f t="shared" si="5"/>
        <v xml:space="preserve"> </v>
      </c>
      <c r="CY29" s="23">
        <v>24</v>
      </c>
      <c r="CZ29" s="66"/>
      <c r="DA29" s="49" t="str">
        <f>IFERROR(MATCH(CZ29,'1 ubicaciones'!$B$2:$B$22, 0) - 1," ")</f>
        <v xml:space="preserve"> </v>
      </c>
      <c r="DB29" s="58" t="str">
        <f>IFERROR(IF(ISNUMBER(DA29),INDEX('2.Distancias'!$C$2:$C$1445,DA28*38+DA29 + 2) +DB28," ")," ")</f>
        <v xml:space="preserve"> </v>
      </c>
      <c r="DC29" s="64" t="str">
        <f>IFERROR(IF(ISNUMBER(DA29),'3.Vehículos'!$F$11 * INDEX('2.Distancias'!$D$2:$D$1445,DA28*38+DA29 + 2) +DC28," ")," ")</f>
        <v xml:space="preserve"> </v>
      </c>
      <c r="DD29" s="92" t="str">
        <f>IFERROR(IF(ISNUMBER(DA29),'3.Vehículos'!$F$11 * INDEX('2.Distancias'!$D$2:$D$1445,DA28*38+DA29 + 2) +DE28," ")," ")</f>
        <v xml:space="preserve"> </v>
      </c>
      <c r="DE29" s="92" t="str">
        <f>IFERROR(IF(AND(DA5&lt;&gt;DA29,ISNUMBER(DD29)),INDEX('1 ubicaciones'!$I$2:$I$22,DA29 + 1) + MAX(DD29,INDEX('1 ubicaciones'!$F$2:$F$22,DA29 + 1))," ")," ")</f>
        <v xml:space="preserve"> </v>
      </c>
      <c r="DF29" s="64" t="str">
        <f>IFERROR(IF(AND(CZ29 = CZ5, CZ30 = ""), DD29 - DE5, DE29 - DE5)," ")</f>
        <v xml:space="preserve"> </v>
      </c>
      <c r="DG29" s="49" t="str">
        <f>IFERROR(IF(ISNUMBER(DA29),INDEX('1 ubicaciones'!$L$2:$L$22,DA29 + 1) + DG28," ")," ")</f>
        <v xml:space="preserve"> </v>
      </c>
      <c r="DH29" s="58" t="str">
        <f>IFERROR(IF(ISNUMBER(DA29),INDEX('1 ubicaciones'!$J$2:$J$22,DA29 + 1)," ")," ")</f>
        <v xml:space="preserve"> </v>
      </c>
      <c r="DI29" s="58" t="str">
        <f>IFERROR(IF(ISNUMBER(DA29),INDEX('1 ubicaciones'!$K$2:$K$22,DA29 + 1)," ")," ")</f>
        <v xml:space="preserve"> </v>
      </c>
      <c r="DJ29" s="58" t="str">
        <f>IFERROR(IF(ISNUMBER(DA29),IF(CZ29 = CZ5, 0, DH29 + DJ28)," ")," ")</f>
        <v xml:space="preserve"> </v>
      </c>
      <c r="DK29" s="58" t="str">
        <f>IFERROR(IF(ISNUMBER(DA29),IF(CZ30 = CZ5, 0, IF(CZ30 = "", 0, DK30 + DI30))," ")," ")</f>
        <v xml:space="preserve"> </v>
      </c>
      <c r="DL29" s="49" t="str">
        <f t="shared" si="6"/>
        <v xml:space="preserve"> </v>
      </c>
      <c r="DP29" s="23">
        <v>24</v>
      </c>
      <c r="DQ29" s="66"/>
      <c r="DR29" s="49" t="str">
        <f>IFERROR(MATCH(DQ29,'1 ubicaciones'!$B$2:$B$22, 0) - 1," ")</f>
        <v xml:space="preserve"> </v>
      </c>
      <c r="DS29" s="58" t="str">
        <f>IFERROR(IF(ISNUMBER(DR29),INDEX('2.Distancias'!$C$2:$C$1445,DR28*38+DR29 + 2) +DS28," ")," ")</f>
        <v xml:space="preserve"> </v>
      </c>
      <c r="DT29" s="64" t="str">
        <f>IFERROR(IF(ISNUMBER(DR29),'3.Vehículos'!$F$18 * INDEX('2.Distancias'!$D$2:$D$1445,DR28*38+DR29 + 2) +DT28," ")," ")</f>
        <v xml:space="preserve"> </v>
      </c>
      <c r="DU29" s="92" t="str">
        <f>IFERROR(IF(ISNUMBER(DR29),'3.Vehículos'!$F$18 * INDEX('2.Distancias'!$D$2:$D$1445,DR28*38+DR29 + 2) +DV28," ")," ")</f>
        <v xml:space="preserve"> </v>
      </c>
      <c r="DV29" s="92" t="str">
        <f>IFERROR(IF(AND(DR5&lt;&gt;DR29,ISNUMBER(DU29)),INDEX('1 ubicaciones'!$I$2:$I$22,DR29 + 1) + MAX(DU29,INDEX('1 ubicaciones'!$F$2:$F$22,DR29 + 1))," ")," ")</f>
        <v xml:space="preserve"> </v>
      </c>
      <c r="DW29" s="64" t="str">
        <f>IFERROR(IF(AND(DQ29 = DQ5, DQ30 = ""), DU29 - DV5, DV29 - DV5)," ")</f>
        <v xml:space="preserve"> </v>
      </c>
      <c r="DX29" s="49" t="str">
        <f>IFERROR(IF(ISNUMBER(DR29),INDEX('1 ubicaciones'!$L$2:$L$22,DR29 + 1) + DX28," ")," ")</f>
        <v xml:space="preserve"> </v>
      </c>
      <c r="DY29" s="58" t="str">
        <f>IFERROR(IF(ISNUMBER(DR29),INDEX('1 ubicaciones'!$J$2:$J$22,DR29 + 1)," ")," ")</f>
        <v xml:space="preserve"> </v>
      </c>
      <c r="DZ29" s="58" t="str">
        <f>IFERROR(IF(ISNUMBER(DR29),INDEX('1 ubicaciones'!$K$2:$K$22,DR29 + 1)," ")," ")</f>
        <v xml:space="preserve"> </v>
      </c>
      <c r="EA29" s="58" t="str">
        <f>IFERROR(IF(ISNUMBER(DR29),IF(DQ29 = DQ5, 0, DY29 + EA28)," ")," ")</f>
        <v xml:space="preserve"> </v>
      </c>
      <c r="EB29" s="58" t="str">
        <f>IFERROR(IF(ISNUMBER(DR29),IF(DQ30 = DQ5, 0, IF(DQ30 = "", 0, EB30 + DZ30))," ")," ")</f>
        <v xml:space="preserve"> </v>
      </c>
      <c r="EC29" s="49" t="str">
        <f t="shared" si="7"/>
        <v xml:space="preserve"> </v>
      </c>
    </row>
    <row r="30" spans="1:133" x14ac:dyDescent="0.25">
      <c r="A30" s="23">
        <v>25</v>
      </c>
      <c r="B30" s="63"/>
      <c r="C30" s="49" t="str">
        <f>IFERROR(MATCH(B30,'1 ubicaciones'!$B$2:$B$22, 0) - 1," ")</f>
        <v xml:space="preserve"> </v>
      </c>
      <c r="D30" s="58" t="str">
        <f>IFERROR(IF(ISNUMBER(C30),INDEX('2.Distancias'!$C$2:$C$1445,C29*38+C30 + 2) +D29," ")," ")</f>
        <v xml:space="preserve"> </v>
      </c>
      <c r="E30" s="64" t="str">
        <f>IFERROR(IF(ISNUMBER(C30),'3.Vehículos'!$F$2 * INDEX('2.Distancias'!$D$2:$D$1445,C29*38+C30 + 2) +E29," ")," ")</f>
        <v xml:space="preserve"> </v>
      </c>
      <c r="F30" s="92" t="str">
        <f>IFERROR(IF(ISNUMBER(C30),'3.Vehículos'!$F$2 * INDEX('2.Distancias'!$D$2:$D$1445,C29*38+C30 + 2) +G29," ")," ")</f>
        <v xml:space="preserve"> </v>
      </c>
      <c r="G30" s="92" t="str">
        <f>IFERROR(IF(AND(C5&lt;&gt;C30,ISNUMBER(F30)),INDEX('1 ubicaciones'!$I$2:$I$22,C30 + 1) + MAX(F30,INDEX('1 ubicaciones'!$F$2:$F$22,C30 + 1))," ")," ")</f>
        <v xml:space="preserve"> </v>
      </c>
      <c r="H30" s="64" t="str">
        <f>IFERROR(IF(AND(B30 = B5, B31 = ""), F30 - G5, G30 - G5)," ")</f>
        <v xml:space="preserve"> </v>
      </c>
      <c r="I30" s="49" t="str">
        <f>IFERROR(IF(ISNUMBER(C30),INDEX('1 ubicaciones'!$L$2:$L$22,C30 + 1) + I29," ")," ")</f>
        <v xml:space="preserve"> </v>
      </c>
      <c r="J30" s="58" t="str">
        <f>IFERROR(IF(ISNUMBER(C30),INDEX('1 ubicaciones'!$J$2:$J$22,C30 + 1)," ")," ")</f>
        <v xml:space="preserve"> </v>
      </c>
      <c r="K30" s="58" t="str">
        <f>IFERROR(IF(ISNUMBER(C30),INDEX('1 ubicaciones'!$K$2:$K$22,C30 + 1)," ")," ")</f>
        <v xml:space="preserve"> </v>
      </c>
      <c r="L30" s="58" t="str">
        <f>IFERROR(IF(ISNUMBER(C30),IF(B30 = B5, 0, J30 + L29)," ")," ")</f>
        <v xml:space="preserve"> </v>
      </c>
      <c r="M30" s="58" t="str">
        <f>IFERROR(IF(ISNUMBER(C30),IF(B31 = B5, 0, IF(B31 = "", 0, M31 + K31))," ")," ")</f>
        <v xml:space="preserve"> </v>
      </c>
      <c r="N30" s="49" t="str">
        <f t="shared" si="0"/>
        <v xml:space="preserve"> </v>
      </c>
      <c r="R30" s="23">
        <v>25</v>
      </c>
      <c r="S30" s="63"/>
      <c r="T30" s="49" t="str">
        <f>IFERROR(MATCH(S30,'1 ubicaciones'!$B$2:$B$22, 0) - 1," ")</f>
        <v xml:space="preserve"> </v>
      </c>
      <c r="U30" s="58" t="str">
        <f>IFERROR(IF(ISNUMBER(T30),INDEX('2.Distancias'!$C$2:$C$1445,T29*38+T30 + 2) +U29," ")," ")</f>
        <v xml:space="preserve"> </v>
      </c>
      <c r="V30" s="64" t="str">
        <f>IFERROR(IF(ISNUMBER(T30),'3.Vehículos'!$F$3 * INDEX('2.Distancias'!$D$2:$D$1445,T29*38+T30 + 2) +V29," ")," ")</f>
        <v xml:space="preserve"> </v>
      </c>
      <c r="W30" s="92" t="str">
        <f>IFERROR(IF(ISNUMBER(T30),'3.Vehículos'!$F$3 * INDEX('2.Distancias'!$D$2:$D$1445,T29*38+T30 + 2) +X29," ")," ")</f>
        <v xml:space="preserve"> </v>
      </c>
      <c r="X30" s="92" t="str">
        <f>IFERROR(IF(AND(T5&lt;&gt;T30,ISNUMBER(W30)),INDEX('1 ubicaciones'!$I$2:$I$22,T30 + 1) + MAX(W30,INDEX('1 ubicaciones'!$F$2:$F$22,T30 + 1))," ")," ")</f>
        <v xml:space="preserve"> </v>
      </c>
      <c r="Y30" s="64" t="str">
        <f>IFERROR(IF(AND(S30 = S5, S31 = ""), W30 - X5, X30 - X5)," ")</f>
        <v xml:space="preserve"> </v>
      </c>
      <c r="Z30" s="49" t="str">
        <f>IFERROR(IF(ISNUMBER(T30),INDEX('1 ubicaciones'!$L$2:$L$22,T30 + 1) + Z29," ")," ")</f>
        <v xml:space="preserve"> </v>
      </c>
      <c r="AA30" s="58" t="str">
        <f>IFERROR(IF(ISNUMBER(T30),INDEX('1 ubicaciones'!$J$2:$J$22,T30 + 1)," ")," ")</f>
        <v xml:space="preserve"> </v>
      </c>
      <c r="AB30" s="58" t="str">
        <f>IFERROR(IF(ISNUMBER(T30),INDEX('1 ubicaciones'!$K$2:$K$22,T30 + 1)," ")," ")</f>
        <v xml:space="preserve"> </v>
      </c>
      <c r="AC30" s="58" t="str">
        <f>IFERROR(IF(ISNUMBER(T30),IF(S30 = S5, 0, AA30 + AC29)," ")," ")</f>
        <v xml:space="preserve"> </v>
      </c>
      <c r="AD30" s="58" t="str">
        <f>IFERROR(IF(ISNUMBER(T30),IF(S31 = S5, 0, IF(S31 = "", 0, AD31 + AB31))," ")," ")</f>
        <v xml:space="preserve"> </v>
      </c>
      <c r="AE30" s="49" t="str">
        <f t="shared" si="1"/>
        <v xml:space="preserve"> </v>
      </c>
      <c r="AI30" s="23">
        <v>25</v>
      </c>
      <c r="AJ30" s="63"/>
      <c r="AK30" s="49" t="str">
        <f>IFERROR(MATCH(AJ30,'1 ubicaciones'!$B$2:$B$22, 0) - 1," ")</f>
        <v xml:space="preserve"> </v>
      </c>
      <c r="AL30" s="58" t="str">
        <f>IFERROR(IF(ISNUMBER(AK30),INDEX('2.Distancias'!$C$2:$C$1445,AK29*38+AK30 + 2) +AL29," ")," ")</f>
        <v xml:space="preserve"> </v>
      </c>
      <c r="AM30" s="64" t="str">
        <f>IFERROR(IF(ISNUMBER(AK30),'3.Vehículos'!$F$4 * INDEX('2.Distancias'!$D$2:$D$1445,AK29*38+AK30 + 2) +AM29," ")," ")</f>
        <v xml:space="preserve"> </v>
      </c>
      <c r="AN30" s="92" t="str">
        <f>IFERROR(IF(ISNUMBER(AK30),'3.Vehículos'!$F$4 * INDEX('2.Distancias'!$D$2:$D$1445,AK29*38+AK30 + 2) +AO29," ")," ")</f>
        <v xml:space="preserve"> </v>
      </c>
      <c r="AO30" s="92" t="str">
        <f>IFERROR(IF(AND(AK5&lt;&gt;AK30,ISNUMBER(AN30)),INDEX('1 ubicaciones'!$I$2:$I$22,AK30 + 1) + MAX(AN30,INDEX('1 ubicaciones'!$F$2:$F$22,AK30 + 1))," ")," ")</f>
        <v xml:space="preserve"> </v>
      </c>
      <c r="AP30" s="64" t="str">
        <f>IFERROR(IF(AND(AJ30 = AJ5, AJ31 = ""), AN30 - AO5, AO30 - AO5)," ")</f>
        <v xml:space="preserve"> </v>
      </c>
      <c r="AQ30" s="49" t="str">
        <f>IFERROR(IF(ISNUMBER(AK30),INDEX('1 ubicaciones'!$L$2:$L$22,AK30 + 1) + AQ29," ")," ")</f>
        <v xml:space="preserve"> </v>
      </c>
      <c r="AR30" s="58" t="str">
        <f>IFERROR(IF(ISNUMBER(AK30),INDEX('1 ubicaciones'!$J$2:$J$22,AK30 + 1)," ")," ")</f>
        <v xml:space="preserve"> </v>
      </c>
      <c r="AS30" s="58" t="str">
        <f>IFERROR(IF(ISNUMBER(AK30),INDEX('1 ubicaciones'!$K$2:$K$22,AK30 + 1)," ")," ")</f>
        <v xml:space="preserve"> </v>
      </c>
      <c r="AT30" s="58" t="str">
        <f>IFERROR(IF(ISNUMBER(AK30),IF(AJ30 = AJ5, 0, AR30 + AT29)," ")," ")</f>
        <v xml:space="preserve"> </v>
      </c>
      <c r="AU30" s="58" t="str">
        <f>IFERROR(IF(ISNUMBER(AK30),IF(AJ31 = AJ5, 0, IF(AJ31 = "", 0, AU31 + AS31))," ")," ")</f>
        <v xml:space="preserve"> </v>
      </c>
      <c r="AV30" s="49" t="str">
        <f t="shared" si="2"/>
        <v xml:space="preserve"> </v>
      </c>
      <c r="AZ30" s="23">
        <v>25</v>
      </c>
      <c r="BA30" s="63"/>
      <c r="BB30" s="49" t="str">
        <f>IFERROR(MATCH(BA30,'1 ubicaciones'!$B$2:$B$22, 0) - 1," ")</f>
        <v xml:space="preserve"> </v>
      </c>
      <c r="BC30" s="58" t="str">
        <f>IFERROR(IF(ISNUMBER(BB30),INDEX('2.Distancias'!$C$2:$C$1445,BB29*38+BB30 + 2) +BC29," ")," ")</f>
        <v xml:space="preserve"> </v>
      </c>
      <c r="BD30" s="64" t="str">
        <f>IFERROR(IF(ISNUMBER(BB30),'3.Vehículos'!$F$5 * INDEX('2.Distancias'!$D$2:$D$1445,BB29*38+BB30 + 2) +BD29," ")," ")</f>
        <v xml:space="preserve"> </v>
      </c>
      <c r="BE30" s="92" t="str">
        <f>IFERROR(IF(ISNUMBER(BB30),'3.Vehículos'!$F$5 * INDEX('2.Distancias'!$D$2:$D$1445,BB29*38+BB30 + 2) +BF29," ")," ")</f>
        <v xml:space="preserve"> </v>
      </c>
      <c r="BF30" s="92" t="str">
        <f>IFERROR(IF(AND(BB5&lt;&gt;BB30,ISNUMBER(BE30)),INDEX('1 ubicaciones'!$I$2:$I$22,BB30 + 1) + MAX(BE30,INDEX('1 ubicaciones'!$F$2:$F$22,BB30 + 1))," ")," ")</f>
        <v xml:space="preserve"> </v>
      </c>
      <c r="BG30" s="64" t="str">
        <f>IFERROR(IF(AND(BA30 = BA5, BA31 = ""), BE30 - BF5, BF30 - BF5)," ")</f>
        <v xml:space="preserve"> </v>
      </c>
      <c r="BH30" s="49" t="str">
        <f>IFERROR(IF(ISNUMBER(BB30),INDEX('1 ubicaciones'!$L$2:$L$22,BB30 + 1) + BH29," ")," ")</f>
        <v xml:space="preserve"> </v>
      </c>
      <c r="BI30" s="58" t="str">
        <f>IFERROR(IF(ISNUMBER(BB30),INDEX('1 ubicaciones'!$J$2:$J$22,BB30 + 1)," ")," ")</f>
        <v xml:space="preserve"> </v>
      </c>
      <c r="BJ30" s="58" t="str">
        <f>IFERROR(IF(ISNUMBER(BB30),INDEX('1 ubicaciones'!$K$2:$K$22,BB30 + 1)," ")," ")</f>
        <v xml:space="preserve"> </v>
      </c>
      <c r="BK30" s="58" t="str">
        <f>IFERROR(IF(ISNUMBER(BB30),IF(BA30 = BA5, 0, BI30 + BK29)," ")," ")</f>
        <v xml:space="preserve"> </v>
      </c>
      <c r="BL30" s="58" t="str">
        <f>IFERROR(IF(ISNUMBER(BB30),IF(BA31 = BA5, 0, IF(BA31 = "", 0, BL31 + BJ31))," ")," ")</f>
        <v xml:space="preserve"> </v>
      </c>
      <c r="BM30" s="49" t="str">
        <f t="shared" si="3"/>
        <v xml:space="preserve"> </v>
      </c>
      <c r="BQ30" s="23">
        <v>25</v>
      </c>
      <c r="BR30" s="63"/>
      <c r="BS30" s="49" t="str">
        <f>IFERROR(MATCH(BR30,'1 ubicaciones'!$B$2:$B$22, 0) - 1," ")</f>
        <v xml:space="preserve"> </v>
      </c>
      <c r="BT30" s="58" t="str">
        <f>IFERROR(IF(ISNUMBER(BS30),INDEX('2.Distancias'!$C$2:$C$1445,BS29*38+BS30 + 2) +BT29," ")," ")</f>
        <v xml:space="preserve"> </v>
      </c>
      <c r="BU30" s="64" t="str">
        <f>IFERROR(IF(ISNUMBER(BS30),'3.Vehículos'!$F$6 * INDEX('2.Distancias'!$D$2:$D$1445,BS29*38+BS30 + 2) +BU29," ")," ")</f>
        <v xml:space="preserve"> </v>
      </c>
      <c r="BV30" s="92" t="str">
        <f>IFERROR(IF(ISNUMBER(BS30),'3.Vehículos'!$F$6 * INDEX('2.Distancias'!$D$2:$D$1445,BS29*38+BS30 + 2) +BW29," ")," ")</f>
        <v xml:space="preserve"> </v>
      </c>
      <c r="BW30" s="92" t="str">
        <f>IFERROR(IF(AND(BS5&lt;&gt;BS30,ISNUMBER(BV30)),INDEX('1 ubicaciones'!$I$2:$I$22,BS30 + 1) + MAX(BV30,INDEX('1 ubicaciones'!$F$2:$F$22,BS30 + 1))," ")," ")</f>
        <v xml:space="preserve"> </v>
      </c>
      <c r="BX30" s="64" t="str">
        <f>IFERROR(IF(AND(BR30 = BR5, BR31 = ""), BV30 - BW5, BW30 - BW5)," ")</f>
        <v xml:space="preserve"> </v>
      </c>
      <c r="BY30" s="49" t="str">
        <f>IFERROR(IF(ISNUMBER(BS30),INDEX('1 ubicaciones'!$L$2:$L$22,BS30 + 1) + BY29," ")," ")</f>
        <v xml:space="preserve"> </v>
      </c>
      <c r="BZ30" s="58" t="str">
        <f>IFERROR(IF(ISNUMBER(BS30),INDEX('1 ubicaciones'!$J$2:$J$22,BS30 + 1)," ")," ")</f>
        <v xml:space="preserve"> </v>
      </c>
      <c r="CA30" s="58" t="str">
        <f>IFERROR(IF(ISNUMBER(BS30),INDEX('1 ubicaciones'!$K$2:$K$22,BS30 + 1)," ")," ")</f>
        <v xml:space="preserve"> </v>
      </c>
      <c r="CB30" s="58" t="str">
        <f>IFERROR(IF(ISNUMBER(BS30),IF(BR30 = BR5, 0, BZ30 + CB29)," ")," ")</f>
        <v xml:space="preserve"> </v>
      </c>
      <c r="CC30" s="58" t="str">
        <f>IFERROR(IF(ISNUMBER(BS30),IF(BR31 = BR5, 0, IF(BR31 = "", 0, CC31 + CA31))," ")," ")</f>
        <v xml:space="preserve"> </v>
      </c>
      <c r="CD30" s="49" t="str">
        <f t="shared" si="4"/>
        <v xml:space="preserve"> </v>
      </c>
      <c r="CH30" s="23">
        <v>25</v>
      </c>
      <c r="CI30" s="63"/>
      <c r="CJ30" s="49" t="str">
        <f>IFERROR(MATCH(CI30,'1 ubicaciones'!$B$2:$B$22, 0) - 1," ")</f>
        <v xml:space="preserve"> </v>
      </c>
      <c r="CK30" s="58" t="str">
        <f>IFERROR(IF(ISNUMBER(CJ30),INDEX('2.Distancias'!$C$2:$C$1445,CJ29*38+CJ30 + 2) +CK29," ")," ")</f>
        <v xml:space="preserve"> </v>
      </c>
      <c r="CL30" s="64" t="str">
        <f>IFERROR(IF(ISNUMBER(CJ30),'3.Vehículos'!$F$10 * INDEX('2.Distancias'!$D$2:$D$1445,CJ29*38+CJ30 + 2) +CL29," ")," ")</f>
        <v xml:space="preserve"> </v>
      </c>
      <c r="CM30" s="92" t="str">
        <f>IFERROR(IF(ISNUMBER(CJ30),'3.Vehículos'!$F$10 * INDEX('2.Distancias'!$D$2:$D$1445,CJ29*38+CJ30 + 2) +CN29," ")," ")</f>
        <v xml:space="preserve"> </v>
      </c>
      <c r="CN30" s="92" t="str">
        <f>IFERROR(IF(AND(CJ5&lt;&gt;CJ30,ISNUMBER(CM30)),INDEX('1 ubicaciones'!$I$2:$I$22,CJ30 + 1) + MAX(CM30,INDEX('1 ubicaciones'!$F$2:$F$22,CJ30 + 1))," ")," ")</f>
        <v xml:space="preserve"> </v>
      </c>
      <c r="CO30" s="64" t="str">
        <f>IFERROR(IF(AND(CI30 = CI5, CI31 = ""), CM30 - CN5, CN30 - CN5)," ")</f>
        <v xml:space="preserve"> </v>
      </c>
      <c r="CP30" s="49" t="str">
        <f>IFERROR(IF(ISNUMBER(CJ30),INDEX('1 ubicaciones'!$L$2:$L$22,CJ30 + 1) + CP29," ")," ")</f>
        <v xml:space="preserve"> </v>
      </c>
      <c r="CQ30" s="58" t="str">
        <f>IFERROR(IF(ISNUMBER(CJ30),INDEX('1 ubicaciones'!$J$2:$J$22,CJ30 + 1)," ")," ")</f>
        <v xml:space="preserve"> </v>
      </c>
      <c r="CR30" s="58" t="str">
        <f>IFERROR(IF(ISNUMBER(CJ30),INDEX('1 ubicaciones'!$K$2:$K$22,CJ30 + 1)," ")," ")</f>
        <v xml:space="preserve"> </v>
      </c>
      <c r="CS30" s="58" t="str">
        <f>IFERROR(IF(ISNUMBER(CJ30),IF(CI30 = CI5, 0, CQ30 + CS29)," ")," ")</f>
        <v xml:space="preserve"> </v>
      </c>
      <c r="CT30" s="58" t="str">
        <f>IFERROR(IF(ISNUMBER(CJ30),IF(CI31 = CI5, 0, IF(CI31 = "", 0, CT31 + CR31))," ")," ")</f>
        <v xml:space="preserve"> </v>
      </c>
      <c r="CU30" s="49" t="str">
        <f t="shared" si="5"/>
        <v xml:space="preserve"> </v>
      </c>
      <c r="CY30" s="23">
        <v>25</v>
      </c>
      <c r="CZ30" s="63"/>
      <c r="DA30" s="49" t="str">
        <f>IFERROR(MATCH(CZ30,'1 ubicaciones'!$B$2:$B$22, 0) - 1," ")</f>
        <v xml:space="preserve"> </v>
      </c>
      <c r="DB30" s="58" t="str">
        <f>IFERROR(IF(ISNUMBER(DA30),INDEX('2.Distancias'!$C$2:$C$1445,DA29*38+DA30 + 2) +DB29," ")," ")</f>
        <v xml:space="preserve"> </v>
      </c>
      <c r="DC30" s="64" t="str">
        <f>IFERROR(IF(ISNUMBER(DA30),'3.Vehículos'!$F$11 * INDEX('2.Distancias'!$D$2:$D$1445,DA29*38+DA30 + 2) +DC29," ")," ")</f>
        <v xml:space="preserve"> </v>
      </c>
      <c r="DD30" s="92" t="str">
        <f>IFERROR(IF(ISNUMBER(DA30),'3.Vehículos'!$F$11 * INDEX('2.Distancias'!$D$2:$D$1445,DA29*38+DA30 + 2) +DE29," ")," ")</f>
        <v xml:space="preserve"> </v>
      </c>
      <c r="DE30" s="92" t="str">
        <f>IFERROR(IF(AND(DA5&lt;&gt;DA30,ISNUMBER(DD30)),INDEX('1 ubicaciones'!$I$2:$I$22,DA30 + 1) + MAX(DD30,INDEX('1 ubicaciones'!$F$2:$F$22,DA30 + 1))," ")," ")</f>
        <v xml:space="preserve"> </v>
      </c>
      <c r="DF30" s="64" t="str">
        <f>IFERROR(IF(AND(CZ30 = CZ5, CZ31 = ""), DD30 - DE5, DE30 - DE5)," ")</f>
        <v xml:space="preserve"> </v>
      </c>
      <c r="DG30" s="49" t="str">
        <f>IFERROR(IF(ISNUMBER(DA30),INDEX('1 ubicaciones'!$L$2:$L$22,DA30 + 1) + DG29," ")," ")</f>
        <v xml:space="preserve"> </v>
      </c>
      <c r="DH30" s="58" t="str">
        <f>IFERROR(IF(ISNUMBER(DA30),INDEX('1 ubicaciones'!$J$2:$J$22,DA30 + 1)," ")," ")</f>
        <v xml:space="preserve"> </v>
      </c>
      <c r="DI30" s="58" t="str">
        <f>IFERROR(IF(ISNUMBER(DA30),INDEX('1 ubicaciones'!$K$2:$K$22,DA30 + 1)," ")," ")</f>
        <v xml:space="preserve"> </v>
      </c>
      <c r="DJ30" s="58" t="str">
        <f>IFERROR(IF(ISNUMBER(DA30),IF(CZ30 = CZ5, 0, DH30 + DJ29)," ")," ")</f>
        <v xml:space="preserve"> </v>
      </c>
      <c r="DK30" s="58" t="str">
        <f>IFERROR(IF(ISNUMBER(DA30),IF(CZ31 = CZ5, 0, IF(CZ31 = "", 0, DK31 + DI31))," ")," ")</f>
        <v xml:space="preserve"> </v>
      </c>
      <c r="DL30" s="49" t="str">
        <f t="shared" si="6"/>
        <v xml:space="preserve"> </v>
      </c>
      <c r="DP30" s="23">
        <v>25</v>
      </c>
      <c r="DQ30" s="63"/>
      <c r="DR30" s="49" t="str">
        <f>IFERROR(MATCH(DQ30,'1 ubicaciones'!$B$2:$B$22, 0) - 1," ")</f>
        <v xml:space="preserve"> </v>
      </c>
      <c r="DS30" s="58" t="str">
        <f>IFERROR(IF(ISNUMBER(DR30),INDEX('2.Distancias'!$C$2:$C$1445,DR29*38+DR30 + 2) +DS29," ")," ")</f>
        <v xml:space="preserve"> </v>
      </c>
      <c r="DT30" s="64" t="str">
        <f>IFERROR(IF(ISNUMBER(DR30),'3.Vehículos'!$F$18 * INDEX('2.Distancias'!$D$2:$D$1445,DR29*38+DR30 + 2) +DT29," ")," ")</f>
        <v xml:space="preserve"> </v>
      </c>
      <c r="DU30" s="92" t="str">
        <f>IFERROR(IF(ISNUMBER(DR30),'3.Vehículos'!$F$18 * INDEX('2.Distancias'!$D$2:$D$1445,DR29*38+DR30 + 2) +DV29," ")," ")</f>
        <v xml:space="preserve"> </v>
      </c>
      <c r="DV30" s="92" t="str">
        <f>IFERROR(IF(AND(DR5&lt;&gt;DR30,ISNUMBER(DU30)),INDEX('1 ubicaciones'!$I$2:$I$22,DR30 + 1) + MAX(DU30,INDEX('1 ubicaciones'!$F$2:$F$22,DR30 + 1))," ")," ")</f>
        <v xml:space="preserve"> </v>
      </c>
      <c r="DW30" s="64" t="str">
        <f>IFERROR(IF(AND(DQ30 = DQ5, DQ31 = ""), DU30 - DV5, DV30 - DV5)," ")</f>
        <v xml:space="preserve"> </v>
      </c>
      <c r="DX30" s="49" t="str">
        <f>IFERROR(IF(ISNUMBER(DR30),INDEX('1 ubicaciones'!$L$2:$L$22,DR30 + 1) + DX29," ")," ")</f>
        <v xml:space="preserve"> </v>
      </c>
      <c r="DY30" s="58" t="str">
        <f>IFERROR(IF(ISNUMBER(DR30),INDEX('1 ubicaciones'!$J$2:$J$22,DR30 + 1)," ")," ")</f>
        <v xml:space="preserve"> </v>
      </c>
      <c r="DZ30" s="58" t="str">
        <f>IFERROR(IF(ISNUMBER(DR30),INDEX('1 ubicaciones'!$K$2:$K$22,DR30 + 1)," ")," ")</f>
        <v xml:space="preserve"> </v>
      </c>
      <c r="EA30" s="58" t="str">
        <f>IFERROR(IF(ISNUMBER(DR30),IF(DQ30 = DQ5, 0, DY30 + EA29)," ")," ")</f>
        <v xml:space="preserve"> </v>
      </c>
      <c r="EB30" s="58" t="str">
        <f>IFERROR(IF(ISNUMBER(DR30),IF(DQ31 = DQ5, 0, IF(DQ31 = "", 0, EB31 + DZ31))," ")," ")</f>
        <v xml:space="preserve"> </v>
      </c>
      <c r="EC30" s="49" t="str">
        <f t="shared" si="7"/>
        <v xml:space="preserve"> </v>
      </c>
    </row>
    <row r="31" spans="1:133" x14ac:dyDescent="0.25">
      <c r="A31" s="23">
        <v>26</v>
      </c>
      <c r="B31" s="66"/>
      <c r="C31" s="49" t="str">
        <f>IFERROR(MATCH(B31,'1 ubicaciones'!$B$2:$B$22, 0) - 1," ")</f>
        <v xml:space="preserve"> </v>
      </c>
      <c r="D31" s="58" t="str">
        <f>IFERROR(IF(ISNUMBER(C31),INDEX('2.Distancias'!$C$2:$C$1445,C30*38+C31 + 2) +D30," ")," ")</f>
        <v xml:space="preserve"> </v>
      </c>
      <c r="E31" s="64" t="str">
        <f>IFERROR(IF(ISNUMBER(C31),'3.Vehículos'!$F$2 * INDEX('2.Distancias'!$D$2:$D$1445,C30*38+C31 + 2) +E30," ")," ")</f>
        <v xml:space="preserve"> </v>
      </c>
      <c r="F31" s="92" t="str">
        <f>IFERROR(IF(ISNUMBER(C31),'3.Vehículos'!$F$2 * INDEX('2.Distancias'!$D$2:$D$1445,C30*38+C31 + 2) +G30," ")," ")</f>
        <v xml:space="preserve"> </v>
      </c>
      <c r="G31" s="92" t="str">
        <f>IFERROR(IF(AND(C5&lt;&gt;C31,ISNUMBER(F31)),INDEX('1 ubicaciones'!$I$2:$I$22,C31 + 1) + MAX(F31,INDEX('1 ubicaciones'!$F$2:$F$22,C31 + 1))," ")," ")</f>
        <v xml:space="preserve"> </v>
      </c>
      <c r="H31" s="64" t="str">
        <f>IFERROR(IF(AND(B31 = B5, B32 = ""), F31 - G5, G31 - G5)," ")</f>
        <v xml:space="preserve"> </v>
      </c>
      <c r="I31" s="49" t="str">
        <f>IFERROR(IF(ISNUMBER(C31),INDEX('1 ubicaciones'!$L$2:$L$22,C31 + 1) + I30," ")," ")</f>
        <v xml:space="preserve"> </v>
      </c>
      <c r="J31" s="58" t="str">
        <f>IFERROR(IF(ISNUMBER(C31),INDEX('1 ubicaciones'!$J$2:$J$22,C31 + 1)," ")," ")</f>
        <v xml:space="preserve"> </v>
      </c>
      <c r="K31" s="58" t="str">
        <f>IFERROR(IF(ISNUMBER(C31),INDEX('1 ubicaciones'!$K$2:$K$22,C31 + 1)," ")," ")</f>
        <v xml:space="preserve"> </v>
      </c>
      <c r="L31" s="58" t="str">
        <f>IFERROR(IF(ISNUMBER(C31),IF(B31 = B5, 0, J31 + L30)," ")," ")</f>
        <v xml:space="preserve"> </v>
      </c>
      <c r="M31" s="58" t="str">
        <f>IFERROR(IF(ISNUMBER(C31),IF(B32 = B5, 0, IF(B32 = "", 0, M32 + K32))," ")," ")</f>
        <v xml:space="preserve"> </v>
      </c>
      <c r="N31" s="49" t="str">
        <f t="shared" si="0"/>
        <v xml:space="preserve"> </v>
      </c>
      <c r="R31" s="23">
        <v>26</v>
      </c>
      <c r="S31" s="66"/>
      <c r="T31" s="49" t="str">
        <f>IFERROR(MATCH(S31,'1 ubicaciones'!$B$2:$B$22, 0) - 1," ")</f>
        <v xml:space="preserve"> </v>
      </c>
      <c r="U31" s="58" t="str">
        <f>IFERROR(IF(ISNUMBER(T31),INDEX('2.Distancias'!$C$2:$C$1445,T30*38+T31 + 2) +U30," ")," ")</f>
        <v xml:space="preserve"> </v>
      </c>
      <c r="V31" s="64" t="str">
        <f>IFERROR(IF(ISNUMBER(T31),'3.Vehículos'!$F$3 * INDEX('2.Distancias'!$D$2:$D$1445,T30*38+T31 + 2) +V30," ")," ")</f>
        <v xml:space="preserve"> </v>
      </c>
      <c r="W31" s="92" t="str">
        <f>IFERROR(IF(ISNUMBER(T31),'3.Vehículos'!$F$3 * INDEX('2.Distancias'!$D$2:$D$1445,T30*38+T31 + 2) +X30," ")," ")</f>
        <v xml:space="preserve"> </v>
      </c>
      <c r="X31" s="92" t="str">
        <f>IFERROR(IF(AND(T5&lt;&gt;T31,ISNUMBER(W31)),INDEX('1 ubicaciones'!$I$2:$I$22,T31 + 1) + MAX(W31,INDEX('1 ubicaciones'!$F$2:$F$22,T31 + 1))," ")," ")</f>
        <v xml:space="preserve"> </v>
      </c>
      <c r="Y31" s="64" t="str">
        <f>IFERROR(IF(AND(S31 = S5, S32 = ""), W31 - X5, X31 - X5)," ")</f>
        <v xml:space="preserve"> </v>
      </c>
      <c r="Z31" s="49" t="str">
        <f>IFERROR(IF(ISNUMBER(T31),INDEX('1 ubicaciones'!$L$2:$L$22,T31 + 1) + Z30," ")," ")</f>
        <v xml:space="preserve"> </v>
      </c>
      <c r="AA31" s="58" t="str">
        <f>IFERROR(IF(ISNUMBER(T31),INDEX('1 ubicaciones'!$J$2:$J$22,T31 + 1)," ")," ")</f>
        <v xml:space="preserve"> </v>
      </c>
      <c r="AB31" s="58" t="str">
        <f>IFERROR(IF(ISNUMBER(T31),INDEX('1 ubicaciones'!$K$2:$K$22,T31 + 1)," ")," ")</f>
        <v xml:space="preserve"> </v>
      </c>
      <c r="AC31" s="58" t="str">
        <f>IFERROR(IF(ISNUMBER(T31),IF(S31 = S5, 0, AA31 + AC30)," ")," ")</f>
        <v xml:space="preserve"> </v>
      </c>
      <c r="AD31" s="58" t="str">
        <f>IFERROR(IF(ISNUMBER(T31),IF(S32 = S5, 0, IF(S32 = "", 0, AD32 + AB32))," ")," ")</f>
        <v xml:space="preserve"> </v>
      </c>
      <c r="AE31" s="49" t="str">
        <f t="shared" si="1"/>
        <v xml:space="preserve"> </v>
      </c>
      <c r="AI31" s="23">
        <v>26</v>
      </c>
      <c r="AJ31" s="66"/>
      <c r="AK31" s="49" t="str">
        <f>IFERROR(MATCH(AJ31,'1 ubicaciones'!$B$2:$B$22, 0) - 1," ")</f>
        <v xml:space="preserve"> </v>
      </c>
      <c r="AL31" s="58" t="str">
        <f>IFERROR(IF(ISNUMBER(AK31),INDEX('2.Distancias'!$C$2:$C$1445,AK30*38+AK31 + 2) +AL30," ")," ")</f>
        <v xml:space="preserve"> </v>
      </c>
      <c r="AM31" s="64" t="str">
        <f>IFERROR(IF(ISNUMBER(AK31),'3.Vehículos'!$F$4 * INDEX('2.Distancias'!$D$2:$D$1445,AK30*38+AK31 + 2) +AM30," ")," ")</f>
        <v xml:space="preserve"> </v>
      </c>
      <c r="AN31" s="92" t="str">
        <f>IFERROR(IF(ISNUMBER(AK31),'3.Vehículos'!$F$4 * INDEX('2.Distancias'!$D$2:$D$1445,AK30*38+AK31 + 2) +AO30," ")," ")</f>
        <v xml:space="preserve"> </v>
      </c>
      <c r="AO31" s="92" t="str">
        <f>IFERROR(IF(AND(AK5&lt;&gt;AK31,ISNUMBER(AN31)),INDEX('1 ubicaciones'!$I$2:$I$22,AK31 + 1) + MAX(AN31,INDEX('1 ubicaciones'!$F$2:$F$22,AK31 + 1))," ")," ")</f>
        <v xml:space="preserve"> </v>
      </c>
      <c r="AP31" s="64" t="str">
        <f>IFERROR(IF(AND(AJ31 = AJ5, AJ32 = ""), AN31 - AO5, AO31 - AO5)," ")</f>
        <v xml:space="preserve"> </v>
      </c>
      <c r="AQ31" s="49" t="str">
        <f>IFERROR(IF(ISNUMBER(AK31),INDEX('1 ubicaciones'!$L$2:$L$22,AK31 + 1) + AQ30," ")," ")</f>
        <v xml:space="preserve"> </v>
      </c>
      <c r="AR31" s="58" t="str">
        <f>IFERROR(IF(ISNUMBER(AK31),INDEX('1 ubicaciones'!$J$2:$J$22,AK31 + 1)," ")," ")</f>
        <v xml:space="preserve"> </v>
      </c>
      <c r="AS31" s="58" t="str">
        <f>IFERROR(IF(ISNUMBER(AK31),INDEX('1 ubicaciones'!$K$2:$K$22,AK31 + 1)," ")," ")</f>
        <v xml:space="preserve"> </v>
      </c>
      <c r="AT31" s="58" t="str">
        <f>IFERROR(IF(ISNUMBER(AK31),IF(AJ31 = AJ5, 0, AR31 + AT30)," ")," ")</f>
        <v xml:space="preserve"> </v>
      </c>
      <c r="AU31" s="58" t="str">
        <f>IFERROR(IF(ISNUMBER(AK31),IF(AJ32 = AJ5, 0, IF(AJ32 = "", 0, AU32 + AS32))," ")," ")</f>
        <v xml:space="preserve"> </v>
      </c>
      <c r="AV31" s="49" t="str">
        <f t="shared" si="2"/>
        <v xml:space="preserve"> </v>
      </c>
      <c r="AZ31" s="23">
        <v>26</v>
      </c>
      <c r="BA31" s="66"/>
      <c r="BB31" s="49" t="str">
        <f>IFERROR(MATCH(BA31,'1 ubicaciones'!$B$2:$B$22, 0) - 1," ")</f>
        <v xml:space="preserve"> </v>
      </c>
      <c r="BC31" s="58" t="str">
        <f>IFERROR(IF(ISNUMBER(BB31),INDEX('2.Distancias'!$C$2:$C$1445,BB30*38+BB31 + 2) +BC30," ")," ")</f>
        <v xml:space="preserve"> </v>
      </c>
      <c r="BD31" s="64" t="str">
        <f>IFERROR(IF(ISNUMBER(BB31),'3.Vehículos'!$F$5 * INDEX('2.Distancias'!$D$2:$D$1445,BB30*38+BB31 + 2) +BD30," ")," ")</f>
        <v xml:space="preserve"> </v>
      </c>
      <c r="BE31" s="92" t="str">
        <f>IFERROR(IF(ISNUMBER(BB31),'3.Vehículos'!$F$5 * INDEX('2.Distancias'!$D$2:$D$1445,BB30*38+BB31 + 2) +BF30," ")," ")</f>
        <v xml:space="preserve"> </v>
      </c>
      <c r="BF31" s="92" t="str">
        <f>IFERROR(IF(AND(BB5&lt;&gt;BB31,ISNUMBER(BE31)),INDEX('1 ubicaciones'!$I$2:$I$22,BB31 + 1) + MAX(BE31,INDEX('1 ubicaciones'!$F$2:$F$22,BB31 + 1))," ")," ")</f>
        <v xml:space="preserve"> </v>
      </c>
      <c r="BG31" s="64" t="str">
        <f>IFERROR(IF(AND(BA31 = BA5, BA32 = ""), BE31 - BF5, BF31 - BF5)," ")</f>
        <v xml:space="preserve"> </v>
      </c>
      <c r="BH31" s="49" t="str">
        <f>IFERROR(IF(ISNUMBER(BB31),INDEX('1 ubicaciones'!$L$2:$L$22,BB31 + 1) + BH30," ")," ")</f>
        <v xml:space="preserve"> </v>
      </c>
      <c r="BI31" s="58" t="str">
        <f>IFERROR(IF(ISNUMBER(BB31),INDEX('1 ubicaciones'!$J$2:$J$22,BB31 + 1)," ")," ")</f>
        <v xml:space="preserve"> </v>
      </c>
      <c r="BJ31" s="58" t="str">
        <f>IFERROR(IF(ISNUMBER(BB31),INDEX('1 ubicaciones'!$K$2:$K$22,BB31 + 1)," ")," ")</f>
        <v xml:space="preserve"> </v>
      </c>
      <c r="BK31" s="58" t="str">
        <f>IFERROR(IF(ISNUMBER(BB31),IF(BA31 = BA5, 0, BI31 + BK30)," ")," ")</f>
        <v xml:space="preserve"> </v>
      </c>
      <c r="BL31" s="58" t="str">
        <f>IFERROR(IF(ISNUMBER(BB31),IF(BA32 = BA5, 0, IF(BA32 = "", 0, BL32 + BJ32))," ")," ")</f>
        <v xml:space="preserve"> </v>
      </c>
      <c r="BM31" s="49" t="str">
        <f t="shared" si="3"/>
        <v xml:space="preserve"> </v>
      </c>
      <c r="BQ31" s="23">
        <v>26</v>
      </c>
      <c r="BR31" s="66"/>
      <c r="BS31" s="49" t="str">
        <f>IFERROR(MATCH(BR31,'1 ubicaciones'!$B$2:$B$22, 0) - 1," ")</f>
        <v xml:space="preserve"> </v>
      </c>
      <c r="BT31" s="58" t="str">
        <f>IFERROR(IF(ISNUMBER(BS31),INDEX('2.Distancias'!$C$2:$C$1445,BS30*38+BS31 + 2) +BT30," ")," ")</f>
        <v xml:space="preserve"> </v>
      </c>
      <c r="BU31" s="64" t="str">
        <f>IFERROR(IF(ISNUMBER(BS31),'3.Vehículos'!$F$6 * INDEX('2.Distancias'!$D$2:$D$1445,BS30*38+BS31 + 2) +BU30," ")," ")</f>
        <v xml:space="preserve"> </v>
      </c>
      <c r="BV31" s="92" t="str">
        <f>IFERROR(IF(ISNUMBER(BS31),'3.Vehículos'!$F$6 * INDEX('2.Distancias'!$D$2:$D$1445,BS30*38+BS31 + 2) +BW30," ")," ")</f>
        <v xml:space="preserve"> </v>
      </c>
      <c r="BW31" s="92" t="str">
        <f>IFERROR(IF(AND(BS5&lt;&gt;BS31,ISNUMBER(BV31)),INDEX('1 ubicaciones'!$I$2:$I$22,BS31 + 1) + MAX(BV31,INDEX('1 ubicaciones'!$F$2:$F$22,BS31 + 1))," ")," ")</f>
        <v xml:space="preserve"> </v>
      </c>
      <c r="BX31" s="64" t="str">
        <f>IFERROR(IF(AND(BR31 = BR5, BR32 = ""), BV31 - BW5, BW31 - BW5)," ")</f>
        <v xml:space="preserve"> </v>
      </c>
      <c r="BY31" s="49" t="str">
        <f>IFERROR(IF(ISNUMBER(BS31),INDEX('1 ubicaciones'!$L$2:$L$22,BS31 + 1) + BY30," ")," ")</f>
        <v xml:space="preserve"> </v>
      </c>
      <c r="BZ31" s="58" t="str">
        <f>IFERROR(IF(ISNUMBER(BS31),INDEX('1 ubicaciones'!$J$2:$J$22,BS31 + 1)," ")," ")</f>
        <v xml:space="preserve"> </v>
      </c>
      <c r="CA31" s="58" t="str">
        <f>IFERROR(IF(ISNUMBER(BS31),INDEX('1 ubicaciones'!$K$2:$K$22,BS31 + 1)," ")," ")</f>
        <v xml:space="preserve"> </v>
      </c>
      <c r="CB31" s="58" t="str">
        <f>IFERROR(IF(ISNUMBER(BS31),IF(BR31 = BR5, 0, BZ31 + CB30)," ")," ")</f>
        <v xml:space="preserve"> </v>
      </c>
      <c r="CC31" s="58" t="str">
        <f>IFERROR(IF(ISNUMBER(BS31),IF(BR32 = BR5, 0, IF(BR32 = "", 0, CC32 + CA32))," ")," ")</f>
        <v xml:space="preserve"> </v>
      </c>
      <c r="CD31" s="49" t="str">
        <f t="shared" si="4"/>
        <v xml:space="preserve"> </v>
      </c>
      <c r="CH31" s="23">
        <v>26</v>
      </c>
      <c r="CI31" s="66"/>
      <c r="CJ31" s="49" t="str">
        <f>IFERROR(MATCH(CI31,'1 ubicaciones'!$B$2:$B$22, 0) - 1," ")</f>
        <v xml:space="preserve"> </v>
      </c>
      <c r="CK31" s="58" t="str">
        <f>IFERROR(IF(ISNUMBER(CJ31),INDEX('2.Distancias'!$C$2:$C$1445,CJ30*38+CJ31 + 2) +CK30," ")," ")</f>
        <v xml:space="preserve"> </v>
      </c>
      <c r="CL31" s="64" t="str">
        <f>IFERROR(IF(ISNUMBER(CJ31),'3.Vehículos'!$F$10 * INDEX('2.Distancias'!$D$2:$D$1445,CJ30*38+CJ31 + 2) +CL30," ")," ")</f>
        <v xml:space="preserve"> </v>
      </c>
      <c r="CM31" s="92" t="str">
        <f>IFERROR(IF(ISNUMBER(CJ31),'3.Vehículos'!$F$10 * INDEX('2.Distancias'!$D$2:$D$1445,CJ30*38+CJ31 + 2) +CN30," ")," ")</f>
        <v xml:space="preserve"> </v>
      </c>
      <c r="CN31" s="92" t="str">
        <f>IFERROR(IF(AND(CJ5&lt;&gt;CJ31,ISNUMBER(CM31)),INDEX('1 ubicaciones'!$I$2:$I$22,CJ31 + 1) + MAX(CM31,INDEX('1 ubicaciones'!$F$2:$F$22,CJ31 + 1))," ")," ")</f>
        <v xml:space="preserve"> </v>
      </c>
      <c r="CO31" s="64" t="str">
        <f>IFERROR(IF(AND(CI31 = CI5, CI32 = ""), CM31 - CN5, CN31 - CN5)," ")</f>
        <v xml:space="preserve"> </v>
      </c>
      <c r="CP31" s="49" t="str">
        <f>IFERROR(IF(ISNUMBER(CJ31),INDEX('1 ubicaciones'!$L$2:$L$22,CJ31 + 1) + CP30," ")," ")</f>
        <v xml:space="preserve"> </v>
      </c>
      <c r="CQ31" s="58" t="str">
        <f>IFERROR(IF(ISNUMBER(CJ31),INDEX('1 ubicaciones'!$J$2:$J$22,CJ31 + 1)," ")," ")</f>
        <v xml:space="preserve"> </v>
      </c>
      <c r="CR31" s="58" t="str">
        <f>IFERROR(IF(ISNUMBER(CJ31),INDEX('1 ubicaciones'!$K$2:$K$22,CJ31 + 1)," ")," ")</f>
        <v xml:space="preserve"> </v>
      </c>
      <c r="CS31" s="58" t="str">
        <f>IFERROR(IF(ISNUMBER(CJ31),IF(CI31 = CI5, 0, CQ31 + CS30)," ")," ")</f>
        <v xml:space="preserve"> </v>
      </c>
      <c r="CT31" s="58" t="str">
        <f>IFERROR(IF(ISNUMBER(CJ31),IF(CI32 = CI5, 0, IF(CI32 = "", 0, CT32 + CR32))," ")," ")</f>
        <v xml:space="preserve"> </v>
      </c>
      <c r="CU31" s="49" t="str">
        <f t="shared" si="5"/>
        <v xml:space="preserve"> </v>
      </c>
      <c r="CY31" s="23">
        <v>26</v>
      </c>
      <c r="CZ31" s="66"/>
      <c r="DA31" s="49" t="str">
        <f>IFERROR(MATCH(CZ31,'1 ubicaciones'!$B$2:$B$22, 0) - 1," ")</f>
        <v xml:space="preserve"> </v>
      </c>
      <c r="DB31" s="58" t="str">
        <f>IFERROR(IF(ISNUMBER(DA31),INDEX('2.Distancias'!$C$2:$C$1445,DA30*38+DA31 + 2) +DB30," ")," ")</f>
        <v xml:space="preserve"> </v>
      </c>
      <c r="DC31" s="64" t="str">
        <f>IFERROR(IF(ISNUMBER(DA31),'3.Vehículos'!$F$11 * INDEX('2.Distancias'!$D$2:$D$1445,DA30*38+DA31 + 2) +DC30," ")," ")</f>
        <v xml:space="preserve"> </v>
      </c>
      <c r="DD31" s="92" t="str">
        <f>IFERROR(IF(ISNUMBER(DA31),'3.Vehículos'!$F$11 * INDEX('2.Distancias'!$D$2:$D$1445,DA30*38+DA31 + 2) +DE30," ")," ")</f>
        <v xml:space="preserve"> </v>
      </c>
      <c r="DE31" s="92" t="str">
        <f>IFERROR(IF(AND(DA5&lt;&gt;DA31,ISNUMBER(DD31)),INDEX('1 ubicaciones'!$I$2:$I$22,DA31 + 1) + MAX(DD31,INDEX('1 ubicaciones'!$F$2:$F$22,DA31 + 1))," ")," ")</f>
        <v xml:space="preserve"> </v>
      </c>
      <c r="DF31" s="64" t="str">
        <f>IFERROR(IF(AND(CZ31 = CZ5, CZ32 = ""), DD31 - DE5, DE31 - DE5)," ")</f>
        <v xml:space="preserve"> </v>
      </c>
      <c r="DG31" s="49" t="str">
        <f>IFERROR(IF(ISNUMBER(DA31),INDEX('1 ubicaciones'!$L$2:$L$22,DA31 + 1) + DG30," ")," ")</f>
        <v xml:space="preserve"> </v>
      </c>
      <c r="DH31" s="58" t="str">
        <f>IFERROR(IF(ISNUMBER(DA31),INDEX('1 ubicaciones'!$J$2:$J$22,DA31 + 1)," ")," ")</f>
        <v xml:space="preserve"> </v>
      </c>
      <c r="DI31" s="58" t="str">
        <f>IFERROR(IF(ISNUMBER(DA31),INDEX('1 ubicaciones'!$K$2:$K$22,DA31 + 1)," ")," ")</f>
        <v xml:space="preserve"> </v>
      </c>
      <c r="DJ31" s="58" t="str">
        <f>IFERROR(IF(ISNUMBER(DA31),IF(CZ31 = CZ5, 0, DH31 + DJ30)," ")," ")</f>
        <v xml:space="preserve"> </v>
      </c>
      <c r="DK31" s="58" t="str">
        <f>IFERROR(IF(ISNUMBER(DA31),IF(CZ32 = CZ5, 0, IF(CZ32 = "", 0, DK32 + DI32))," ")," ")</f>
        <v xml:space="preserve"> </v>
      </c>
      <c r="DL31" s="49" t="str">
        <f t="shared" si="6"/>
        <v xml:space="preserve"> </v>
      </c>
      <c r="DP31" s="23">
        <v>26</v>
      </c>
      <c r="DQ31" s="66"/>
      <c r="DR31" s="49" t="str">
        <f>IFERROR(MATCH(DQ31,'1 ubicaciones'!$B$2:$B$22, 0) - 1," ")</f>
        <v xml:space="preserve"> </v>
      </c>
      <c r="DS31" s="58" t="str">
        <f>IFERROR(IF(ISNUMBER(DR31),INDEX('2.Distancias'!$C$2:$C$1445,DR30*38+DR31 + 2) +DS30," ")," ")</f>
        <v xml:space="preserve"> </v>
      </c>
      <c r="DT31" s="64" t="str">
        <f>IFERROR(IF(ISNUMBER(DR31),'3.Vehículos'!$F$18 * INDEX('2.Distancias'!$D$2:$D$1445,DR30*38+DR31 + 2) +DT30," ")," ")</f>
        <v xml:space="preserve"> </v>
      </c>
      <c r="DU31" s="92" t="str">
        <f>IFERROR(IF(ISNUMBER(DR31),'3.Vehículos'!$F$18 * INDEX('2.Distancias'!$D$2:$D$1445,DR30*38+DR31 + 2) +DV30," ")," ")</f>
        <v xml:space="preserve"> </v>
      </c>
      <c r="DV31" s="92" t="str">
        <f>IFERROR(IF(AND(DR5&lt;&gt;DR31,ISNUMBER(DU31)),INDEX('1 ubicaciones'!$I$2:$I$22,DR31 + 1) + MAX(DU31,INDEX('1 ubicaciones'!$F$2:$F$22,DR31 + 1))," ")," ")</f>
        <v xml:space="preserve"> </v>
      </c>
      <c r="DW31" s="64" t="str">
        <f>IFERROR(IF(AND(DQ31 = DQ5, DQ32 = ""), DU31 - DV5, DV31 - DV5)," ")</f>
        <v xml:space="preserve"> </v>
      </c>
      <c r="DX31" s="49" t="str">
        <f>IFERROR(IF(ISNUMBER(DR31),INDEX('1 ubicaciones'!$L$2:$L$22,DR31 + 1) + DX30," ")," ")</f>
        <v xml:space="preserve"> </v>
      </c>
      <c r="DY31" s="58" t="str">
        <f>IFERROR(IF(ISNUMBER(DR31),INDEX('1 ubicaciones'!$J$2:$J$22,DR31 + 1)," ")," ")</f>
        <v xml:space="preserve"> </v>
      </c>
      <c r="DZ31" s="58" t="str">
        <f>IFERROR(IF(ISNUMBER(DR31),INDEX('1 ubicaciones'!$K$2:$K$22,DR31 + 1)," ")," ")</f>
        <v xml:space="preserve"> </v>
      </c>
      <c r="EA31" s="58" t="str">
        <f>IFERROR(IF(ISNUMBER(DR31),IF(DQ31 = DQ5, 0, DY31 + EA30)," ")," ")</f>
        <v xml:space="preserve"> </v>
      </c>
      <c r="EB31" s="58" t="str">
        <f>IFERROR(IF(ISNUMBER(DR31),IF(DQ32 = DQ5, 0, IF(DQ32 = "", 0, EB32 + DZ32))," ")," ")</f>
        <v xml:space="preserve"> </v>
      </c>
      <c r="EC31" s="49" t="str">
        <f t="shared" si="7"/>
        <v xml:space="preserve"> </v>
      </c>
    </row>
    <row r="32" spans="1:133" x14ac:dyDescent="0.25">
      <c r="A32" s="23">
        <v>27</v>
      </c>
      <c r="B32" s="63"/>
      <c r="C32" s="49" t="str">
        <f>IFERROR(MATCH(B32,'1 ubicaciones'!$B$2:$B$22, 0) - 1," ")</f>
        <v xml:space="preserve"> </v>
      </c>
      <c r="D32" s="58" t="str">
        <f>IFERROR(IF(ISNUMBER(C32),INDEX('2.Distancias'!$C$2:$C$1445,C31*38+C32 + 2) +D31," ")," ")</f>
        <v xml:space="preserve"> </v>
      </c>
      <c r="E32" s="64" t="str">
        <f>IFERROR(IF(ISNUMBER(C32),'3.Vehículos'!$F$2 * INDEX('2.Distancias'!$D$2:$D$1445,C31*38+C32 + 2) +E31," ")," ")</f>
        <v xml:space="preserve"> </v>
      </c>
      <c r="F32" s="92" t="str">
        <f>IFERROR(IF(ISNUMBER(C32),'3.Vehículos'!$F$2 * INDEX('2.Distancias'!$D$2:$D$1445,C31*38+C32 + 2) +G31," ")," ")</f>
        <v xml:space="preserve"> </v>
      </c>
      <c r="G32" s="92" t="str">
        <f>IFERROR(IF(AND(C5&lt;&gt;C32,ISNUMBER(F32)),INDEX('1 ubicaciones'!$I$2:$I$22,C32 + 1) + MAX(F32,INDEX('1 ubicaciones'!$F$2:$F$22,C32 + 1))," ")," ")</f>
        <v xml:space="preserve"> </v>
      </c>
      <c r="H32" s="64" t="str">
        <f>IFERROR(IF(AND(B32 = B5, B33 = ""), F32 - G5, G32 - G5)," ")</f>
        <v xml:space="preserve"> </v>
      </c>
      <c r="I32" s="49" t="str">
        <f>IFERROR(IF(ISNUMBER(C32),INDEX('1 ubicaciones'!$L$2:$L$22,C32 + 1) + I31," ")," ")</f>
        <v xml:space="preserve"> </v>
      </c>
      <c r="J32" s="58" t="str">
        <f>IFERROR(IF(ISNUMBER(C32),INDEX('1 ubicaciones'!$J$2:$J$22,C32 + 1)," ")," ")</f>
        <v xml:space="preserve"> </v>
      </c>
      <c r="K32" s="58" t="str">
        <f>IFERROR(IF(ISNUMBER(C32),INDEX('1 ubicaciones'!$K$2:$K$22,C32 + 1)," ")," ")</f>
        <v xml:space="preserve"> </v>
      </c>
      <c r="L32" s="58" t="str">
        <f>IFERROR(IF(ISNUMBER(C32),IF(B32 = B5, 0, J32 + L31)," ")," ")</f>
        <v xml:space="preserve"> </v>
      </c>
      <c r="M32" s="58" t="str">
        <f>IFERROR(IF(ISNUMBER(C32),IF(B33 = B5, 0, IF(B33 = "", 0, M33 + K33))," ")," ")</f>
        <v xml:space="preserve"> </v>
      </c>
      <c r="N32" s="49" t="str">
        <f t="shared" si="0"/>
        <v xml:space="preserve"> </v>
      </c>
      <c r="R32" s="23">
        <v>27</v>
      </c>
      <c r="S32" s="63"/>
      <c r="T32" s="49" t="str">
        <f>IFERROR(MATCH(S32,'1 ubicaciones'!$B$2:$B$22, 0) - 1," ")</f>
        <v xml:space="preserve"> </v>
      </c>
      <c r="U32" s="58" t="str">
        <f>IFERROR(IF(ISNUMBER(T32),INDEX('2.Distancias'!$C$2:$C$1445,T31*38+T32 + 2) +U31," ")," ")</f>
        <v xml:space="preserve"> </v>
      </c>
      <c r="V32" s="64" t="str">
        <f>IFERROR(IF(ISNUMBER(T32),'3.Vehículos'!$F$3 * INDEX('2.Distancias'!$D$2:$D$1445,T31*38+T32 + 2) +V31," ")," ")</f>
        <v xml:space="preserve"> </v>
      </c>
      <c r="W32" s="92" t="str">
        <f>IFERROR(IF(ISNUMBER(T32),'3.Vehículos'!$F$3 * INDEX('2.Distancias'!$D$2:$D$1445,T31*38+T32 + 2) +X31," ")," ")</f>
        <v xml:space="preserve"> </v>
      </c>
      <c r="X32" s="92" t="str">
        <f>IFERROR(IF(AND(T5&lt;&gt;T32,ISNUMBER(W32)),INDEX('1 ubicaciones'!$I$2:$I$22,T32 + 1) + MAX(W32,INDEX('1 ubicaciones'!$F$2:$F$22,T32 + 1))," ")," ")</f>
        <v xml:space="preserve"> </v>
      </c>
      <c r="Y32" s="64" t="str">
        <f>IFERROR(IF(AND(S32 = S5, S33 = ""), W32 - X5, X32 - X5)," ")</f>
        <v xml:space="preserve"> </v>
      </c>
      <c r="Z32" s="49" t="str">
        <f>IFERROR(IF(ISNUMBER(T32),INDEX('1 ubicaciones'!$L$2:$L$22,T32 + 1) + Z31," ")," ")</f>
        <v xml:space="preserve"> </v>
      </c>
      <c r="AA32" s="58" t="str">
        <f>IFERROR(IF(ISNUMBER(T32),INDEX('1 ubicaciones'!$J$2:$J$22,T32 + 1)," ")," ")</f>
        <v xml:space="preserve"> </v>
      </c>
      <c r="AB32" s="58" t="str">
        <f>IFERROR(IF(ISNUMBER(T32),INDEX('1 ubicaciones'!$K$2:$K$22,T32 + 1)," ")," ")</f>
        <v xml:space="preserve"> </v>
      </c>
      <c r="AC32" s="58" t="str">
        <f>IFERROR(IF(ISNUMBER(T32),IF(S32 = S5, 0, AA32 + AC31)," ")," ")</f>
        <v xml:space="preserve"> </v>
      </c>
      <c r="AD32" s="58" t="str">
        <f>IFERROR(IF(ISNUMBER(T32),IF(S33 = S5, 0, IF(S33 = "", 0, AD33 + AB33))," ")," ")</f>
        <v xml:space="preserve"> </v>
      </c>
      <c r="AE32" s="49" t="str">
        <f t="shared" si="1"/>
        <v xml:space="preserve"> </v>
      </c>
      <c r="AI32" s="23">
        <v>27</v>
      </c>
      <c r="AJ32" s="63"/>
      <c r="AK32" s="49" t="str">
        <f>IFERROR(MATCH(AJ32,'1 ubicaciones'!$B$2:$B$22, 0) - 1," ")</f>
        <v xml:space="preserve"> </v>
      </c>
      <c r="AL32" s="58" t="str">
        <f>IFERROR(IF(ISNUMBER(AK32),INDEX('2.Distancias'!$C$2:$C$1445,AK31*38+AK32 + 2) +AL31," ")," ")</f>
        <v xml:space="preserve"> </v>
      </c>
      <c r="AM32" s="64" t="str">
        <f>IFERROR(IF(ISNUMBER(AK32),'3.Vehículos'!$F$4 * INDEX('2.Distancias'!$D$2:$D$1445,AK31*38+AK32 + 2) +AM31," ")," ")</f>
        <v xml:space="preserve"> </v>
      </c>
      <c r="AN32" s="92" t="str">
        <f>IFERROR(IF(ISNUMBER(AK32),'3.Vehículos'!$F$4 * INDEX('2.Distancias'!$D$2:$D$1445,AK31*38+AK32 + 2) +AO31," ")," ")</f>
        <v xml:space="preserve"> </v>
      </c>
      <c r="AO32" s="92" t="str">
        <f>IFERROR(IF(AND(AK5&lt;&gt;AK32,ISNUMBER(AN32)),INDEX('1 ubicaciones'!$I$2:$I$22,AK32 + 1) + MAX(AN32,INDEX('1 ubicaciones'!$F$2:$F$22,AK32 + 1))," ")," ")</f>
        <v xml:space="preserve"> </v>
      </c>
      <c r="AP32" s="64" t="str">
        <f>IFERROR(IF(AND(AJ32 = AJ5, AJ33 = ""), AN32 - AO5, AO32 - AO5)," ")</f>
        <v xml:space="preserve"> </v>
      </c>
      <c r="AQ32" s="49" t="str">
        <f>IFERROR(IF(ISNUMBER(AK32),INDEX('1 ubicaciones'!$L$2:$L$22,AK32 + 1) + AQ31," ")," ")</f>
        <v xml:space="preserve"> </v>
      </c>
      <c r="AR32" s="58" t="str">
        <f>IFERROR(IF(ISNUMBER(AK32),INDEX('1 ubicaciones'!$J$2:$J$22,AK32 + 1)," ")," ")</f>
        <v xml:space="preserve"> </v>
      </c>
      <c r="AS32" s="58" t="str">
        <f>IFERROR(IF(ISNUMBER(AK32),INDEX('1 ubicaciones'!$K$2:$K$22,AK32 + 1)," ")," ")</f>
        <v xml:space="preserve"> </v>
      </c>
      <c r="AT32" s="58" t="str">
        <f>IFERROR(IF(ISNUMBER(AK32),IF(AJ32 = AJ5, 0, AR32 + AT31)," ")," ")</f>
        <v xml:space="preserve"> </v>
      </c>
      <c r="AU32" s="58" t="str">
        <f>IFERROR(IF(ISNUMBER(AK32),IF(AJ33 = AJ5, 0, IF(AJ33 = "", 0, AU33 + AS33))," ")," ")</f>
        <v xml:space="preserve"> </v>
      </c>
      <c r="AV32" s="49" t="str">
        <f t="shared" si="2"/>
        <v xml:space="preserve"> </v>
      </c>
      <c r="AZ32" s="23">
        <v>27</v>
      </c>
      <c r="BA32" s="63"/>
      <c r="BB32" s="49" t="str">
        <f>IFERROR(MATCH(BA32,'1 ubicaciones'!$B$2:$B$22, 0) - 1," ")</f>
        <v xml:space="preserve"> </v>
      </c>
      <c r="BC32" s="58" t="str">
        <f>IFERROR(IF(ISNUMBER(BB32),INDEX('2.Distancias'!$C$2:$C$1445,BB31*38+BB32 + 2) +BC31," ")," ")</f>
        <v xml:space="preserve"> </v>
      </c>
      <c r="BD32" s="64" t="str">
        <f>IFERROR(IF(ISNUMBER(BB32),'3.Vehículos'!$F$5 * INDEX('2.Distancias'!$D$2:$D$1445,BB31*38+BB32 + 2) +BD31," ")," ")</f>
        <v xml:space="preserve"> </v>
      </c>
      <c r="BE32" s="92" t="str">
        <f>IFERROR(IF(ISNUMBER(BB32),'3.Vehículos'!$F$5 * INDEX('2.Distancias'!$D$2:$D$1445,BB31*38+BB32 + 2) +BF31," ")," ")</f>
        <v xml:space="preserve"> </v>
      </c>
      <c r="BF32" s="92" t="str">
        <f>IFERROR(IF(AND(BB5&lt;&gt;BB32,ISNUMBER(BE32)),INDEX('1 ubicaciones'!$I$2:$I$22,BB32 + 1) + MAX(BE32,INDEX('1 ubicaciones'!$F$2:$F$22,BB32 + 1))," ")," ")</f>
        <v xml:space="preserve"> </v>
      </c>
      <c r="BG32" s="64" t="str">
        <f>IFERROR(IF(AND(BA32 = BA5, BA33 = ""), BE32 - BF5, BF32 - BF5)," ")</f>
        <v xml:space="preserve"> </v>
      </c>
      <c r="BH32" s="49" t="str">
        <f>IFERROR(IF(ISNUMBER(BB32),INDEX('1 ubicaciones'!$L$2:$L$22,BB32 + 1) + BH31," ")," ")</f>
        <v xml:space="preserve"> </v>
      </c>
      <c r="BI32" s="58" t="str">
        <f>IFERROR(IF(ISNUMBER(BB32),INDEX('1 ubicaciones'!$J$2:$J$22,BB32 + 1)," ")," ")</f>
        <v xml:space="preserve"> </v>
      </c>
      <c r="BJ32" s="58" t="str">
        <f>IFERROR(IF(ISNUMBER(BB32),INDEX('1 ubicaciones'!$K$2:$K$22,BB32 + 1)," ")," ")</f>
        <v xml:space="preserve"> </v>
      </c>
      <c r="BK32" s="58" t="str">
        <f>IFERROR(IF(ISNUMBER(BB32),IF(BA32 = BA5, 0, BI32 + BK31)," ")," ")</f>
        <v xml:space="preserve"> </v>
      </c>
      <c r="BL32" s="58" t="str">
        <f>IFERROR(IF(ISNUMBER(BB32),IF(BA33 = BA5, 0, IF(BA33 = "", 0, BL33 + BJ33))," ")," ")</f>
        <v xml:space="preserve"> </v>
      </c>
      <c r="BM32" s="49" t="str">
        <f t="shared" si="3"/>
        <v xml:space="preserve"> </v>
      </c>
      <c r="BQ32" s="23">
        <v>27</v>
      </c>
      <c r="BR32" s="63"/>
      <c r="BS32" s="49" t="str">
        <f>IFERROR(MATCH(BR32,'1 ubicaciones'!$B$2:$B$22, 0) - 1," ")</f>
        <v xml:space="preserve"> </v>
      </c>
      <c r="BT32" s="58" t="str">
        <f>IFERROR(IF(ISNUMBER(BS32),INDEX('2.Distancias'!$C$2:$C$1445,BS31*38+BS32 + 2) +BT31," ")," ")</f>
        <v xml:space="preserve"> </v>
      </c>
      <c r="BU32" s="64" t="str">
        <f>IFERROR(IF(ISNUMBER(BS32),'3.Vehículos'!$F$6 * INDEX('2.Distancias'!$D$2:$D$1445,BS31*38+BS32 + 2) +BU31," ")," ")</f>
        <v xml:space="preserve"> </v>
      </c>
      <c r="BV32" s="92" t="str">
        <f>IFERROR(IF(ISNUMBER(BS32),'3.Vehículos'!$F$6 * INDEX('2.Distancias'!$D$2:$D$1445,BS31*38+BS32 + 2) +BW31," ")," ")</f>
        <v xml:space="preserve"> </v>
      </c>
      <c r="BW32" s="92" t="str">
        <f>IFERROR(IF(AND(BS5&lt;&gt;BS32,ISNUMBER(BV32)),INDEX('1 ubicaciones'!$I$2:$I$22,BS32 + 1) + MAX(BV32,INDEX('1 ubicaciones'!$F$2:$F$22,BS32 + 1))," ")," ")</f>
        <v xml:space="preserve"> </v>
      </c>
      <c r="BX32" s="64" t="str">
        <f>IFERROR(IF(AND(BR32 = BR5, BR33 = ""), BV32 - BW5, BW32 - BW5)," ")</f>
        <v xml:space="preserve"> </v>
      </c>
      <c r="BY32" s="49" t="str">
        <f>IFERROR(IF(ISNUMBER(BS32),INDEX('1 ubicaciones'!$L$2:$L$22,BS32 + 1) + BY31," ")," ")</f>
        <v xml:space="preserve"> </v>
      </c>
      <c r="BZ32" s="58" t="str">
        <f>IFERROR(IF(ISNUMBER(BS32),INDEX('1 ubicaciones'!$J$2:$J$22,BS32 + 1)," ")," ")</f>
        <v xml:space="preserve"> </v>
      </c>
      <c r="CA32" s="58" t="str">
        <f>IFERROR(IF(ISNUMBER(BS32),INDEX('1 ubicaciones'!$K$2:$K$22,BS32 + 1)," ")," ")</f>
        <v xml:space="preserve"> </v>
      </c>
      <c r="CB32" s="58" t="str">
        <f>IFERROR(IF(ISNUMBER(BS32),IF(BR32 = BR5, 0, BZ32 + CB31)," ")," ")</f>
        <v xml:space="preserve"> </v>
      </c>
      <c r="CC32" s="58" t="str">
        <f>IFERROR(IF(ISNUMBER(BS32),IF(BR33 = BR5, 0, IF(BR33 = "", 0, CC33 + CA33))," ")," ")</f>
        <v xml:space="preserve"> </v>
      </c>
      <c r="CD32" s="49" t="str">
        <f t="shared" si="4"/>
        <v xml:space="preserve"> </v>
      </c>
      <c r="CH32" s="23">
        <v>27</v>
      </c>
      <c r="CI32" s="63"/>
      <c r="CJ32" s="49" t="str">
        <f>IFERROR(MATCH(CI32,'1 ubicaciones'!$B$2:$B$22, 0) - 1," ")</f>
        <v xml:space="preserve"> </v>
      </c>
      <c r="CK32" s="58" t="str">
        <f>IFERROR(IF(ISNUMBER(CJ32),INDEX('2.Distancias'!$C$2:$C$1445,CJ31*38+CJ32 + 2) +CK31," ")," ")</f>
        <v xml:space="preserve"> </v>
      </c>
      <c r="CL32" s="64" t="str">
        <f>IFERROR(IF(ISNUMBER(CJ32),'3.Vehículos'!$F$10 * INDEX('2.Distancias'!$D$2:$D$1445,CJ31*38+CJ32 + 2) +CL31," ")," ")</f>
        <v xml:space="preserve"> </v>
      </c>
      <c r="CM32" s="92" t="str">
        <f>IFERROR(IF(ISNUMBER(CJ32),'3.Vehículos'!$F$10 * INDEX('2.Distancias'!$D$2:$D$1445,CJ31*38+CJ32 + 2) +CN31," ")," ")</f>
        <v xml:space="preserve"> </v>
      </c>
      <c r="CN32" s="92" t="str">
        <f>IFERROR(IF(AND(CJ5&lt;&gt;CJ32,ISNUMBER(CM32)),INDEX('1 ubicaciones'!$I$2:$I$22,CJ32 + 1) + MAX(CM32,INDEX('1 ubicaciones'!$F$2:$F$22,CJ32 + 1))," ")," ")</f>
        <v xml:space="preserve"> </v>
      </c>
      <c r="CO32" s="64" t="str">
        <f>IFERROR(IF(AND(CI32 = CI5, CI33 = ""), CM32 - CN5, CN32 - CN5)," ")</f>
        <v xml:space="preserve"> </v>
      </c>
      <c r="CP32" s="49" t="str">
        <f>IFERROR(IF(ISNUMBER(CJ32),INDEX('1 ubicaciones'!$L$2:$L$22,CJ32 + 1) + CP31," ")," ")</f>
        <v xml:space="preserve"> </v>
      </c>
      <c r="CQ32" s="58" t="str">
        <f>IFERROR(IF(ISNUMBER(CJ32),INDEX('1 ubicaciones'!$J$2:$J$22,CJ32 + 1)," ")," ")</f>
        <v xml:space="preserve"> </v>
      </c>
      <c r="CR32" s="58" t="str">
        <f>IFERROR(IF(ISNUMBER(CJ32),INDEX('1 ubicaciones'!$K$2:$K$22,CJ32 + 1)," ")," ")</f>
        <v xml:space="preserve"> </v>
      </c>
      <c r="CS32" s="58" t="str">
        <f>IFERROR(IF(ISNUMBER(CJ32),IF(CI32 = CI5, 0, CQ32 + CS31)," ")," ")</f>
        <v xml:space="preserve"> </v>
      </c>
      <c r="CT32" s="58" t="str">
        <f>IFERROR(IF(ISNUMBER(CJ32),IF(CI33 = CI5, 0, IF(CI33 = "", 0, CT33 + CR33))," ")," ")</f>
        <v xml:space="preserve"> </v>
      </c>
      <c r="CU32" s="49" t="str">
        <f t="shared" si="5"/>
        <v xml:space="preserve"> </v>
      </c>
      <c r="CY32" s="23">
        <v>27</v>
      </c>
      <c r="CZ32" s="63"/>
      <c r="DA32" s="49" t="str">
        <f>IFERROR(MATCH(CZ32,'1 ubicaciones'!$B$2:$B$22, 0) - 1," ")</f>
        <v xml:space="preserve"> </v>
      </c>
      <c r="DB32" s="58" t="str">
        <f>IFERROR(IF(ISNUMBER(DA32),INDEX('2.Distancias'!$C$2:$C$1445,DA31*38+DA32 + 2) +DB31," ")," ")</f>
        <v xml:space="preserve"> </v>
      </c>
      <c r="DC32" s="64" t="str">
        <f>IFERROR(IF(ISNUMBER(DA32),'3.Vehículos'!$F$11 * INDEX('2.Distancias'!$D$2:$D$1445,DA31*38+DA32 + 2) +DC31," ")," ")</f>
        <v xml:space="preserve"> </v>
      </c>
      <c r="DD32" s="92" t="str">
        <f>IFERROR(IF(ISNUMBER(DA32),'3.Vehículos'!$F$11 * INDEX('2.Distancias'!$D$2:$D$1445,DA31*38+DA32 + 2) +DE31," ")," ")</f>
        <v xml:space="preserve"> </v>
      </c>
      <c r="DE32" s="92" t="str">
        <f>IFERROR(IF(AND(DA5&lt;&gt;DA32,ISNUMBER(DD32)),INDEX('1 ubicaciones'!$I$2:$I$22,DA32 + 1) + MAX(DD32,INDEX('1 ubicaciones'!$F$2:$F$22,DA32 + 1))," ")," ")</f>
        <v xml:space="preserve"> </v>
      </c>
      <c r="DF32" s="64" t="str">
        <f>IFERROR(IF(AND(CZ32 = CZ5, CZ33 = ""), DD32 - DE5, DE32 - DE5)," ")</f>
        <v xml:space="preserve"> </v>
      </c>
      <c r="DG32" s="49" t="str">
        <f>IFERROR(IF(ISNUMBER(DA32),INDEX('1 ubicaciones'!$L$2:$L$22,DA32 + 1) + DG31," ")," ")</f>
        <v xml:space="preserve"> </v>
      </c>
      <c r="DH32" s="58" t="str">
        <f>IFERROR(IF(ISNUMBER(DA32),INDEX('1 ubicaciones'!$J$2:$J$22,DA32 + 1)," ")," ")</f>
        <v xml:space="preserve"> </v>
      </c>
      <c r="DI32" s="58" t="str">
        <f>IFERROR(IF(ISNUMBER(DA32),INDEX('1 ubicaciones'!$K$2:$K$22,DA32 + 1)," ")," ")</f>
        <v xml:space="preserve"> </v>
      </c>
      <c r="DJ32" s="58" t="str">
        <f>IFERROR(IF(ISNUMBER(DA32),IF(CZ32 = CZ5, 0, DH32 + DJ31)," ")," ")</f>
        <v xml:space="preserve"> </v>
      </c>
      <c r="DK32" s="58" t="str">
        <f>IFERROR(IF(ISNUMBER(DA32),IF(CZ33 = CZ5, 0, IF(CZ33 = "", 0, DK33 + DI33))," ")," ")</f>
        <v xml:space="preserve"> </v>
      </c>
      <c r="DL32" s="49" t="str">
        <f t="shared" si="6"/>
        <v xml:space="preserve"> </v>
      </c>
      <c r="DP32" s="23">
        <v>27</v>
      </c>
      <c r="DQ32" s="63"/>
      <c r="DR32" s="49" t="str">
        <f>IFERROR(MATCH(DQ32,'1 ubicaciones'!$B$2:$B$22, 0) - 1," ")</f>
        <v xml:space="preserve"> </v>
      </c>
      <c r="DS32" s="58" t="str">
        <f>IFERROR(IF(ISNUMBER(DR32),INDEX('2.Distancias'!$C$2:$C$1445,DR31*38+DR32 + 2) +DS31," ")," ")</f>
        <v xml:space="preserve"> </v>
      </c>
      <c r="DT32" s="64" t="str">
        <f>IFERROR(IF(ISNUMBER(DR32),'3.Vehículos'!$F$18 * INDEX('2.Distancias'!$D$2:$D$1445,DR31*38+DR32 + 2) +DT31," ")," ")</f>
        <v xml:space="preserve"> </v>
      </c>
      <c r="DU32" s="92" t="str">
        <f>IFERROR(IF(ISNUMBER(DR32),'3.Vehículos'!$F$18 * INDEX('2.Distancias'!$D$2:$D$1445,DR31*38+DR32 + 2) +DV31," ")," ")</f>
        <v xml:space="preserve"> </v>
      </c>
      <c r="DV32" s="92" t="str">
        <f>IFERROR(IF(AND(DR5&lt;&gt;DR32,ISNUMBER(DU32)),INDEX('1 ubicaciones'!$I$2:$I$22,DR32 + 1) + MAX(DU32,INDEX('1 ubicaciones'!$F$2:$F$22,DR32 + 1))," ")," ")</f>
        <v xml:space="preserve"> </v>
      </c>
      <c r="DW32" s="64" t="str">
        <f>IFERROR(IF(AND(DQ32 = DQ5, DQ33 = ""), DU32 - DV5, DV32 - DV5)," ")</f>
        <v xml:space="preserve"> </v>
      </c>
      <c r="DX32" s="49" t="str">
        <f>IFERROR(IF(ISNUMBER(DR32),INDEX('1 ubicaciones'!$L$2:$L$22,DR32 + 1) + DX31," ")," ")</f>
        <v xml:space="preserve"> </v>
      </c>
      <c r="DY32" s="58" t="str">
        <f>IFERROR(IF(ISNUMBER(DR32),INDEX('1 ubicaciones'!$J$2:$J$22,DR32 + 1)," ")," ")</f>
        <v xml:space="preserve"> </v>
      </c>
      <c r="DZ32" s="58" t="str">
        <f>IFERROR(IF(ISNUMBER(DR32),INDEX('1 ubicaciones'!$K$2:$K$22,DR32 + 1)," ")," ")</f>
        <v xml:space="preserve"> </v>
      </c>
      <c r="EA32" s="58" t="str">
        <f>IFERROR(IF(ISNUMBER(DR32),IF(DQ32 = DQ5, 0, DY32 + EA31)," ")," ")</f>
        <v xml:space="preserve"> </v>
      </c>
      <c r="EB32" s="58" t="str">
        <f>IFERROR(IF(ISNUMBER(DR32),IF(DQ33 = DQ5, 0, IF(DQ33 = "", 0, EB33 + DZ33))," ")," ")</f>
        <v xml:space="preserve"> </v>
      </c>
      <c r="EC32" s="49" t="str">
        <f t="shared" si="7"/>
        <v xml:space="preserve"> </v>
      </c>
    </row>
    <row r="33" spans="1:133" x14ac:dyDescent="0.25">
      <c r="A33" s="23">
        <v>28</v>
      </c>
      <c r="B33" s="66"/>
      <c r="C33" s="49" t="str">
        <f>IFERROR(MATCH(B33,'1 ubicaciones'!$B$2:$B$22, 0) - 1," ")</f>
        <v xml:space="preserve"> </v>
      </c>
      <c r="D33" s="58" t="str">
        <f>IFERROR(IF(ISNUMBER(C33),INDEX('2.Distancias'!$C$2:$C$1445,C32*38+C33 + 2) +D32," ")," ")</f>
        <v xml:space="preserve"> </v>
      </c>
      <c r="E33" s="64" t="str">
        <f>IFERROR(IF(ISNUMBER(C33),'3.Vehículos'!$F$2 * INDEX('2.Distancias'!$D$2:$D$1445,C32*38+C33 + 2) +E32," ")," ")</f>
        <v xml:space="preserve"> </v>
      </c>
      <c r="F33" s="92" t="str">
        <f>IFERROR(IF(ISNUMBER(C33),'3.Vehículos'!$F$2 * INDEX('2.Distancias'!$D$2:$D$1445,C32*38+C33 + 2) +G32," ")," ")</f>
        <v xml:space="preserve"> </v>
      </c>
      <c r="G33" s="92" t="str">
        <f>IFERROR(IF(AND(C5&lt;&gt;C33,ISNUMBER(F33)),INDEX('1 ubicaciones'!$I$2:$I$22,C33 + 1) + MAX(F33,INDEX('1 ubicaciones'!$F$2:$F$22,C33 + 1))," ")," ")</f>
        <v xml:space="preserve"> </v>
      </c>
      <c r="H33" s="64" t="str">
        <f>IFERROR(IF(AND(B33 = B5, B34 = ""), F33 - G5, G33 - G5)," ")</f>
        <v xml:space="preserve"> </v>
      </c>
      <c r="I33" s="49" t="str">
        <f>IFERROR(IF(ISNUMBER(C33),INDEX('1 ubicaciones'!$L$2:$L$22,C33 + 1) + I32," ")," ")</f>
        <v xml:space="preserve"> </v>
      </c>
      <c r="J33" s="58" t="str">
        <f>IFERROR(IF(ISNUMBER(C33),INDEX('1 ubicaciones'!$J$2:$J$22,C33 + 1)," ")," ")</f>
        <v xml:space="preserve"> </v>
      </c>
      <c r="K33" s="58" t="str">
        <f>IFERROR(IF(ISNUMBER(C33),INDEX('1 ubicaciones'!$K$2:$K$22,C33 + 1)," ")," ")</f>
        <v xml:space="preserve"> </v>
      </c>
      <c r="L33" s="58" t="str">
        <f>IFERROR(IF(ISNUMBER(C33),IF(B33 = B5, 0, J33 + L32)," ")," ")</f>
        <v xml:space="preserve"> </v>
      </c>
      <c r="M33" s="58" t="str">
        <f>IFERROR(IF(ISNUMBER(C33),IF(B34 = B5, 0, IF(B34 = "", 0, M34 + K34))," ")," ")</f>
        <v xml:space="preserve"> </v>
      </c>
      <c r="N33" s="49" t="str">
        <f t="shared" si="0"/>
        <v xml:space="preserve"> </v>
      </c>
      <c r="R33" s="23">
        <v>28</v>
      </c>
      <c r="S33" s="66"/>
      <c r="T33" s="49" t="str">
        <f>IFERROR(MATCH(S33,'1 ubicaciones'!$B$2:$B$22, 0) - 1," ")</f>
        <v xml:space="preserve"> </v>
      </c>
      <c r="U33" s="58" t="str">
        <f>IFERROR(IF(ISNUMBER(T33),INDEX('2.Distancias'!$C$2:$C$1445,T32*38+T33 + 2) +U32," ")," ")</f>
        <v xml:space="preserve"> </v>
      </c>
      <c r="V33" s="64" t="str">
        <f>IFERROR(IF(ISNUMBER(T33),'3.Vehículos'!$F$3 * INDEX('2.Distancias'!$D$2:$D$1445,T32*38+T33 + 2) +V32," ")," ")</f>
        <v xml:space="preserve"> </v>
      </c>
      <c r="W33" s="92" t="str">
        <f>IFERROR(IF(ISNUMBER(T33),'3.Vehículos'!$F$3 * INDEX('2.Distancias'!$D$2:$D$1445,T32*38+T33 + 2) +X32," ")," ")</f>
        <v xml:space="preserve"> </v>
      </c>
      <c r="X33" s="92" t="str">
        <f>IFERROR(IF(AND(T5&lt;&gt;T33,ISNUMBER(W33)),INDEX('1 ubicaciones'!$I$2:$I$22,T33 + 1) + MAX(W33,INDEX('1 ubicaciones'!$F$2:$F$22,T33 + 1))," ")," ")</f>
        <v xml:space="preserve"> </v>
      </c>
      <c r="Y33" s="64" t="str">
        <f>IFERROR(IF(AND(S33 = S5, S34 = ""), W33 - X5, X33 - X5)," ")</f>
        <v xml:space="preserve"> </v>
      </c>
      <c r="Z33" s="49" t="str">
        <f>IFERROR(IF(ISNUMBER(T33),INDEX('1 ubicaciones'!$L$2:$L$22,T33 + 1) + Z32," ")," ")</f>
        <v xml:space="preserve"> </v>
      </c>
      <c r="AA33" s="58" t="str">
        <f>IFERROR(IF(ISNUMBER(T33),INDEX('1 ubicaciones'!$J$2:$J$22,T33 + 1)," ")," ")</f>
        <v xml:space="preserve"> </v>
      </c>
      <c r="AB33" s="58" t="str">
        <f>IFERROR(IF(ISNUMBER(T33),INDEX('1 ubicaciones'!$K$2:$K$22,T33 + 1)," ")," ")</f>
        <v xml:space="preserve"> </v>
      </c>
      <c r="AC33" s="58" t="str">
        <f>IFERROR(IF(ISNUMBER(T33),IF(S33 = S5, 0, AA33 + AC32)," ")," ")</f>
        <v xml:space="preserve"> </v>
      </c>
      <c r="AD33" s="58" t="str">
        <f>IFERROR(IF(ISNUMBER(T33),IF(S34 = S5, 0, IF(S34 = "", 0, AD34 + AB34))," ")," ")</f>
        <v xml:space="preserve"> </v>
      </c>
      <c r="AE33" s="49" t="str">
        <f t="shared" si="1"/>
        <v xml:space="preserve"> </v>
      </c>
      <c r="AI33" s="23">
        <v>28</v>
      </c>
      <c r="AJ33" s="66"/>
      <c r="AK33" s="49" t="str">
        <f>IFERROR(MATCH(AJ33,'1 ubicaciones'!$B$2:$B$22, 0) - 1," ")</f>
        <v xml:space="preserve"> </v>
      </c>
      <c r="AL33" s="58" t="str">
        <f>IFERROR(IF(ISNUMBER(AK33),INDEX('2.Distancias'!$C$2:$C$1445,AK32*38+AK33 + 2) +AL32," ")," ")</f>
        <v xml:space="preserve"> </v>
      </c>
      <c r="AM33" s="64" t="str">
        <f>IFERROR(IF(ISNUMBER(AK33),'3.Vehículos'!$F$4 * INDEX('2.Distancias'!$D$2:$D$1445,AK32*38+AK33 + 2) +AM32," ")," ")</f>
        <v xml:space="preserve"> </v>
      </c>
      <c r="AN33" s="92" t="str">
        <f>IFERROR(IF(ISNUMBER(AK33),'3.Vehículos'!$F$4 * INDEX('2.Distancias'!$D$2:$D$1445,AK32*38+AK33 + 2) +AO32," ")," ")</f>
        <v xml:space="preserve"> </v>
      </c>
      <c r="AO33" s="92" t="str">
        <f>IFERROR(IF(AND(AK5&lt;&gt;AK33,ISNUMBER(AN33)),INDEX('1 ubicaciones'!$I$2:$I$22,AK33 + 1) + MAX(AN33,INDEX('1 ubicaciones'!$F$2:$F$22,AK33 + 1))," ")," ")</f>
        <v xml:space="preserve"> </v>
      </c>
      <c r="AP33" s="64" t="str">
        <f>IFERROR(IF(AND(AJ33 = AJ5, AJ34 = ""), AN33 - AO5, AO33 - AO5)," ")</f>
        <v xml:space="preserve"> </v>
      </c>
      <c r="AQ33" s="49" t="str">
        <f>IFERROR(IF(ISNUMBER(AK33),INDEX('1 ubicaciones'!$L$2:$L$22,AK33 + 1) + AQ32," ")," ")</f>
        <v xml:space="preserve"> </v>
      </c>
      <c r="AR33" s="58" t="str">
        <f>IFERROR(IF(ISNUMBER(AK33),INDEX('1 ubicaciones'!$J$2:$J$22,AK33 + 1)," ")," ")</f>
        <v xml:space="preserve"> </v>
      </c>
      <c r="AS33" s="58" t="str">
        <f>IFERROR(IF(ISNUMBER(AK33),INDEX('1 ubicaciones'!$K$2:$K$22,AK33 + 1)," ")," ")</f>
        <v xml:space="preserve"> </v>
      </c>
      <c r="AT33" s="58" t="str">
        <f>IFERROR(IF(ISNUMBER(AK33),IF(AJ33 = AJ5, 0, AR33 + AT32)," ")," ")</f>
        <v xml:space="preserve"> </v>
      </c>
      <c r="AU33" s="58" t="str">
        <f>IFERROR(IF(ISNUMBER(AK33),IF(AJ34 = AJ5, 0, IF(AJ34 = "", 0, AU34 + AS34))," ")," ")</f>
        <v xml:space="preserve"> </v>
      </c>
      <c r="AV33" s="49" t="str">
        <f t="shared" si="2"/>
        <v xml:space="preserve"> </v>
      </c>
      <c r="AZ33" s="23">
        <v>28</v>
      </c>
      <c r="BA33" s="66"/>
      <c r="BB33" s="49" t="str">
        <f>IFERROR(MATCH(BA33,'1 ubicaciones'!$B$2:$B$22, 0) - 1," ")</f>
        <v xml:space="preserve"> </v>
      </c>
      <c r="BC33" s="58" t="str">
        <f>IFERROR(IF(ISNUMBER(BB33),INDEX('2.Distancias'!$C$2:$C$1445,BB32*38+BB33 + 2) +BC32," ")," ")</f>
        <v xml:space="preserve"> </v>
      </c>
      <c r="BD33" s="64" t="str">
        <f>IFERROR(IF(ISNUMBER(BB33),'3.Vehículos'!$F$5 * INDEX('2.Distancias'!$D$2:$D$1445,BB32*38+BB33 + 2) +BD32," ")," ")</f>
        <v xml:space="preserve"> </v>
      </c>
      <c r="BE33" s="92" t="str">
        <f>IFERROR(IF(ISNUMBER(BB33),'3.Vehículos'!$F$5 * INDEX('2.Distancias'!$D$2:$D$1445,BB32*38+BB33 + 2) +BF32," ")," ")</f>
        <v xml:space="preserve"> </v>
      </c>
      <c r="BF33" s="92" t="str">
        <f>IFERROR(IF(AND(BB5&lt;&gt;BB33,ISNUMBER(BE33)),INDEX('1 ubicaciones'!$I$2:$I$22,BB33 + 1) + MAX(BE33,INDEX('1 ubicaciones'!$F$2:$F$22,BB33 + 1))," ")," ")</f>
        <v xml:space="preserve"> </v>
      </c>
      <c r="BG33" s="64" t="str">
        <f>IFERROR(IF(AND(BA33 = BA5, BA34 = ""), BE33 - BF5, BF33 - BF5)," ")</f>
        <v xml:space="preserve"> </v>
      </c>
      <c r="BH33" s="49" t="str">
        <f>IFERROR(IF(ISNUMBER(BB33),INDEX('1 ubicaciones'!$L$2:$L$22,BB33 + 1) + BH32," ")," ")</f>
        <v xml:space="preserve"> </v>
      </c>
      <c r="BI33" s="58" t="str">
        <f>IFERROR(IF(ISNUMBER(BB33),INDEX('1 ubicaciones'!$J$2:$J$22,BB33 + 1)," ")," ")</f>
        <v xml:space="preserve"> </v>
      </c>
      <c r="BJ33" s="58" t="str">
        <f>IFERROR(IF(ISNUMBER(BB33),INDEX('1 ubicaciones'!$K$2:$K$22,BB33 + 1)," ")," ")</f>
        <v xml:space="preserve"> </v>
      </c>
      <c r="BK33" s="58" t="str">
        <f>IFERROR(IF(ISNUMBER(BB33),IF(BA33 = BA5, 0, BI33 + BK32)," ")," ")</f>
        <v xml:space="preserve"> </v>
      </c>
      <c r="BL33" s="58" t="str">
        <f>IFERROR(IF(ISNUMBER(BB33),IF(BA34 = BA5, 0, IF(BA34 = "", 0, BL34 + BJ34))," ")," ")</f>
        <v xml:space="preserve"> </v>
      </c>
      <c r="BM33" s="49" t="str">
        <f t="shared" si="3"/>
        <v xml:space="preserve"> </v>
      </c>
      <c r="BQ33" s="23">
        <v>28</v>
      </c>
      <c r="BR33" s="66"/>
      <c r="BS33" s="49" t="str">
        <f>IFERROR(MATCH(BR33,'1 ubicaciones'!$B$2:$B$22, 0) - 1," ")</f>
        <v xml:space="preserve"> </v>
      </c>
      <c r="BT33" s="58" t="str">
        <f>IFERROR(IF(ISNUMBER(BS33),INDEX('2.Distancias'!$C$2:$C$1445,BS32*38+BS33 + 2) +BT32," ")," ")</f>
        <v xml:space="preserve"> </v>
      </c>
      <c r="BU33" s="64" t="str">
        <f>IFERROR(IF(ISNUMBER(BS33),'3.Vehículos'!$F$6 * INDEX('2.Distancias'!$D$2:$D$1445,BS32*38+BS33 + 2) +BU32," ")," ")</f>
        <v xml:space="preserve"> </v>
      </c>
      <c r="BV33" s="92" t="str">
        <f>IFERROR(IF(ISNUMBER(BS33),'3.Vehículos'!$F$6 * INDEX('2.Distancias'!$D$2:$D$1445,BS32*38+BS33 + 2) +BW32," ")," ")</f>
        <v xml:space="preserve"> </v>
      </c>
      <c r="BW33" s="92" t="str">
        <f>IFERROR(IF(AND(BS5&lt;&gt;BS33,ISNUMBER(BV33)),INDEX('1 ubicaciones'!$I$2:$I$22,BS33 + 1) + MAX(BV33,INDEX('1 ubicaciones'!$F$2:$F$22,BS33 + 1))," ")," ")</f>
        <v xml:space="preserve"> </v>
      </c>
      <c r="BX33" s="64" t="str">
        <f>IFERROR(IF(AND(BR33 = BR5, BR34 = ""), BV33 - BW5, BW33 - BW5)," ")</f>
        <v xml:space="preserve"> </v>
      </c>
      <c r="BY33" s="49" t="str">
        <f>IFERROR(IF(ISNUMBER(BS33),INDEX('1 ubicaciones'!$L$2:$L$22,BS33 + 1) + BY32," ")," ")</f>
        <v xml:space="preserve"> </v>
      </c>
      <c r="BZ33" s="58" t="str">
        <f>IFERROR(IF(ISNUMBER(BS33),INDEX('1 ubicaciones'!$J$2:$J$22,BS33 + 1)," ")," ")</f>
        <v xml:space="preserve"> </v>
      </c>
      <c r="CA33" s="58" t="str">
        <f>IFERROR(IF(ISNUMBER(BS33),INDEX('1 ubicaciones'!$K$2:$K$22,BS33 + 1)," ")," ")</f>
        <v xml:space="preserve"> </v>
      </c>
      <c r="CB33" s="58" t="str">
        <f>IFERROR(IF(ISNUMBER(BS33),IF(BR33 = BR5, 0, BZ33 + CB32)," ")," ")</f>
        <v xml:space="preserve"> </v>
      </c>
      <c r="CC33" s="58" t="str">
        <f>IFERROR(IF(ISNUMBER(BS33),IF(BR34 = BR5, 0, IF(BR34 = "", 0, CC34 + CA34))," ")," ")</f>
        <v xml:space="preserve"> </v>
      </c>
      <c r="CD33" s="49" t="str">
        <f t="shared" si="4"/>
        <v xml:space="preserve"> </v>
      </c>
      <c r="CH33" s="23">
        <v>28</v>
      </c>
      <c r="CI33" s="66"/>
      <c r="CJ33" s="49" t="str">
        <f>IFERROR(MATCH(CI33,'1 ubicaciones'!$B$2:$B$22, 0) - 1," ")</f>
        <v xml:space="preserve"> </v>
      </c>
      <c r="CK33" s="58" t="str">
        <f>IFERROR(IF(ISNUMBER(CJ33),INDEX('2.Distancias'!$C$2:$C$1445,CJ32*38+CJ33 + 2) +CK32," ")," ")</f>
        <v xml:space="preserve"> </v>
      </c>
      <c r="CL33" s="64" t="str">
        <f>IFERROR(IF(ISNUMBER(CJ33),'3.Vehículos'!$F$10 * INDEX('2.Distancias'!$D$2:$D$1445,CJ32*38+CJ33 + 2) +CL32," ")," ")</f>
        <v xml:space="preserve"> </v>
      </c>
      <c r="CM33" s="92" t="str">
        <f>IFERROR(IF(ISNUMBER(CJ33),'3.Vehículos'!$F$10 * INDEX('2.Distancias'!$D$2:$D$1445,CJ32*38+CJ33 + 2) +CN32," ")," ")</f>
        <v xml:space="preserve"> </v>
      </c>
      <c r="CN33" s="92" t="str">
        <f>IFERROR(IF(AND(CJ5&lt;&gt;CJ33,ISNUMBER(CM33)),INDEX('1 ubicaciones'!$I$2:$I$22,CJ33 + 1) + MAX(CM33,INDEX('1 ubicaciones'!$F$2:$F$22,CJ33 + 1))," ")," ")</f>
        <v xml:space="preserve"> </v>
      </c>
      <c r="CO33" s="64" t="str">
        <f>IFERROR(IF(AND(CI33 = CI5, CI34 = ""), CM33 - CN5, CN33 - CN5)," ")</f>
        <v xml:space="preserve"> </v>
      </c>
      <c r="CP33" s="49" t="str">
        <f>IFERROR(IF(ISNUMBER(CJ33),INDEX('1 ubicaciones'!$L$2:$L$22,CJ33 + 1) + CP32," ")," ")</f>
        <v xml:space="preserve"> </v>
      </c>
      <c r="CQ33" s="58" t="str">
        <f>IFERROR(IF(ISNUMBER(CJ33),INDEX('1 ubicaciones'!$J$2:$J$22,CJ33 + 1)," ")," ")</f>
        <v xml:space="preserve"> </v>
      </c>
      <c r="CR33" s="58" t="str">
        <f>IFERROR(IF(ISNUMBER(CJ33),INDEX('1 ubicaciones'!$K$2:$K$22,CJ33 + 1)," ")," ")</f>
        <v xml:space="preserve"> </v>
      </c>
      <c r="CS33" s="58" t="str">
        <f>IFERROR(IF(ISNUMBER(CJ33),IF(CI33 = CI5, 0, CQ33 + CS32)," ")," ")</f>
        <v xml:space="preserve"> </v>
      </c>
      <c r="CT33" s="58" t="str">
        <f>IFERROR(IF(ISNUMBER(CJ33),IF(CI34 = CI5, 0, IF(CI34 = "", 0, CT34 + CR34))," ")," ")</f>
        <v xml:space="preserve"> </v>
      </c>
      <c r="CU33" s="49" t="str">
        <f t="shared" si="5"/>
        <v xml:space="preserve"> </v>
      </c>
      <c r="CY33" s="23">
        <v>28</v>
      </c>
      <c r="CZ33" s="66"/>
      <c r="DA33" s="49" t="str">
        <f>IFERROR(MATCH(CZ33,'1 ubicaciones'!$B$2:$B$22, 0) - 1," ")</f>
        <v xml:space="preserve"> </v>
      </c>
      <c r="DB33" s="58" t="str">
        <f>IFERROR(IF(ISNUMBER(DA33),INDEX('2.Distancias'!$C$2:$C$1445,DA32*38+DA33 + 2) +DB32," ")," ")</f>
        <v xml:space="preserve"> </v>
      </c>
      <c r="DC33" s="64" t="str">
        <f>IFERROR(IF(ISNUMBER(DA33),'3.Vehículos'!$F$11 * INDEX('2.Distancias'!$D$2:$D$1445,DA32*38+DA33 + 2) +DC32," ")," ")</f>
        <v xml:space="preserve"> </v>
      </c>
      <c r="DD33" s="92" t="str">
        <f>IFERROR(IF(ISNUMBER(DA33),'3.Vehículos'!$F$11 * INDEX('2.Distancias'!$D$2:$D$1445,DA32*38+DA33 + 2) +DE32," ")," ")</f>
        <v xml:space="preserve"> </v>
      </c>
      <c r="DE33" s="92" t="str">
        <f>IFERROR(IF(AND(DA5&lt;&gt;DA33,ISNUMBER(DD33)),INDEX('1 ubicaciones'!$I$2:$I$22,DA33 + 1) + MAX(DD33,INDEX('1 ubicaciones'!$F$2:$F$22,DA33 + 1))," ")," ")</f>
        <v xml:space="preserve"> </v>
      </c>
      <c r="DF33" s="64" t="str">
        <f>IFERROR(IF(AND(CZ33 = CZ5, CZ34 = ""), DD33 - DE5, DE33 - DE5)," ")</f>
        <v xml:space="preserve"> </v>
      </c>
      <c r="DG33" s="49" t="str">
        <f>IFERROR(IF(ISNUMBER(DA33),INDEX('1 ubicaciones'!$L$2:$L$22,DA33 + 1) + DG32," ")," ")</f>
        <v xml:space="preserve"> </v>
      </c>
      <c r="DH33" s="58" t="str">
        <f>IFERROR(IF(ISNUMBER(DA33),INDEX('1 ubicaciones'!$J$2:$J$22,DA33 + 1)," ")," ")</f>
        <v xml:space="preserve"> </v>
      </c>
      <c r="DI33" s="58" t="str">
        <f>IFERROR(IF(ISNUMBER(DA33),INDEX('1 ubicaciones'!$K$2:$K$22,DA33 + 1)," ")," ")</f>
        <v xml:space="preserve"> </v>
      </c>
      <c r="DJ33" s="58" t="str">
        <f>IFERROR(IF(ISNUMBER(DA33),IF(CZ33 = CZ5, 0, DH33 + DJ32)," ")," ")</f>
        <v xml:space="preserve"> </v>
      </c>
      <c r="DK33" s="58" t="str">
        <f>IFERROR(IF(ISNUMBER(DA33),IF(CZ34 = CZ5, 0, IF(CZ34 = "", 0, DK34 + DI34))," ")," ")</f>
        <v xml:space="preserve"> </v>
      </c>
      <c r="DL33" s="49" t="str">
        <f t="shared" si="6"/>
        <v xml:space="preserve"> </v>
      </c>
      <c r="DP33" s="23">
        <v>28</v>
      </c>
      <c r="DQ33" s="66"/>
      <c r="DR33" s="49" t="str">
        <f>IFERROR(MATCH(DQ33,'1 ubicaciones'!$B$2:$B$22, 0) - 1," ")</f>
        <v xml:space="preserve"> </v>
      </c>
      <c r="DS33" s="58" t="str">
        <f>IFERROR(IF(ISNUMBER(DR33),INDEX('2.Distancias'!$C$2:$C$1445,DR32*38+DR33 + 2) +DS32," ")," ")</f>
        <v xml:space="preserve"> </v>
      </c>
      <c r="DT33" s="64" t="str">
        <f>IFERROR(IF(ISNUMBER(DR33),'3.Vehículos'!$F$18 * INDEX('2.Distancias'!$D$2:$D$1445,DR32*38+DR33 + 2) +DT32," ")," ")</f>
        <v xml:space="preserve"> </v>
      </c>
      <c r="DU33" s="92" t="str">
        <f>IFERROR(IF(ISNUMBER(DR33),'3.Vehículos'!$F$18 * INDEX('2.Distancias'!$D$2:$D$1445,DR32*38+DR33 + 2) +DV32," ")," ")</f>
        <v xml:space="preserve"> </v>
      </c>
      <c r="DV33" s="92" t="str">
        <f>IFERROR(IF(AND(DR5&lt;&gt;DR33,ISNUMBER(DU33)),INDEX('1 ubicaciones'!$I$2:$I$22,DR33 + 1) + MAX(DU33,INDEX('1 ubicaciones'!$F$2:$F$22,DR33 + 1))," ")," ")</f>
        <v xml:space="preserve"> </v>
      </c>
      <c r="DW33" s="64" t="str">
        <f>IFERROR(IF(AND(DQ33 = DQ5, DQ34 = ""), DU33 - DV5, DV33 - DV5)," ")</f>
        <v xml:space="preserve"> </v>
      </c>
      <c r="DX33" s="49" t="str">
        <f>IFERROR(IF(ISNUMBER(DR33),INDEX('1 ubicaciones'!$L$2:$L$22,DR33 + 1) + DX32," ")," ")</f>
        <v xml:space="preserve"> </v>
      </c>
      <c r="DY33" s="58" t="str">
        <f>IFERROR(IF(ISNUMBER(DR33),INDEX('1 ubicaciones'!$J$2:$J$22,DR33 + 1)," ")," ")</f>
        <v xml:space="preserve"> </v>
      </c>
      <c r="DZ33" s="58" t="str">
        <f>IFERROR(IF(ISNUMBER(DR33),INDEX('1 ubicaciones'!$K$2:$K$22,DR33 + 1)," ")," ")</f>
        <v xml:space="preserve"> </v>
      </c>
      <c r="EA33" s="58" t="str">
        <f>IFERROR(IF(ISNUMBER(DR33),IF(DQ33 = DQ5, 0, DY33 + EA32)," ")," ")</f>
        <v xml:space="preserve"> </v>
      </c>
      <c r="EB33" s="58" t="str">
        <f>IFERROR(IF(ISNUMBER(DR33),IF(DQ34 = DQ5, 0, IF(DQ34 = "", 0, EB34 + DZ34))," ")," ")</f>
        <v xml:space="preserve"> </v>
      </c>
      <c r="EC33" s="49" t="str">
        <f t="shared" si="7"/>
        <v xml:space="preserve"> </v>
      </c>
    </row>
    <row r="34" spans="1:133" x14ac:dyDescent="0.25">
      <c r="A34" s="23">
        <v>29</v>
      </c>
      <c r="B34" s="63"/>
      <c r="C34" s="49" t="str">
        <f>IFERROR(MATCH(B34,'1 ubicaciones'!$B$2:$B$22, 0) - 1," ")</f>
        <v xml:space="preserve"> </v>
      </c>
      <c r="D34" s="58" t="str">
        <f>IFERROR(IF(ISNUMBER(C34),INDEX('2.Distancias'!$C$2:$C$1445,C33*38+C34 + 2) +D33," ")," ")</f>
        <v xml:space="preserve"> </v>
      </c>
      <c r="E34" s="64" t="str">
        <f>IFERROR(IF(ISNUMBER(C34),'3.Vehículos'!$F$2 * INDEX('2.Distancias'!$D$2:$D$1445,C33*38+C34 + 2) +E33," ")," ")</f>
        <v xml:space="preserve"> </v>
      </c>
      <c r="F34" s="92" t="str">
        <f>IFERROR(IF(ISNUMBER(C34),'3.Vehículos'!$F$2 * INDEX('2.Distancias'!$D$2:$D$1445,C33*38+C34 + 2) +G33," ")," ")</f>
        <v xml:space="preserve"> </v>
      </c>
      <c r="G34" s="92" t="str">
        <f>IFERROR(IF(AND(C5&lt;&gt;C34,ISNUMBER(F34)),INDEX('1 ubicaciones'!$I$2:$I$22,C34 + 1) + MAX(F34,INDEX('1 ubicaciones'!$F$2:$F$22,C34 + 1))," ")," ")</f>
        <v xml:space="preserve"> </v>
      </c>
      <c r="H34" s="64" t="str">
        <f>IFERROR(IF(AND(B34 = B5, B35 = ""), F34 - G5, G34 - G5)," ")</f>
        <v xml:space="preserve"> </v>
      </c>
      <c r="I34" s="49" t="str">
        <f>IFERROR(IF(ISNUMBER(C34),INDEX('1 ubicaciones'!$L$2:$L$22,C34 + 1) + I33," ")," ")</f>
        <v xml:space="preserve"> </v>
      </c>
      <c r="J34" s="58" t="str">
        <f>IFERROR(IF(ISNUMBER(C34),INDEX('1 ubicaciones'!$J$2:$J$22,C34 + 1)," ")," ")</f>
        <v xml:space="preserve"> </v>
      </c>
      <c r="K34" s="58" t="str">
        <f>IFERROR(IF(ISNUMBER(C34),INDEX('1 ubicaciones'!$K$2:$K$22,C34 + 1)," ")," ")</f>
        <v xml:space="preserve"> </v>
      </c>
      <c r="L34" s="58" t="str">
        <f>IFERROR(IF(ISNUMBER(C34),IF(B34 = B5, 0, J34 + L33)," ")," ")</f>
        <v xml:space="preserve"> </v>
      </c>
      <c r="M34" s="58" t="str">
        <f>IFERROR(IF(ISNUMBER(C34),IF(B35 = B5, 0, IF(B35 = "", 0, M35 + K35))," ")," ")</f>
        <v xml:space="preserve"> </v>
      </c>
      <c r="N34" s="49" t="str">
        <f t="shared" si="0"/>
        <v xml:space="preserve"> </v>
      </c>
      <c r="R34" s="23">
        <v>29</v>
      </c>
      <c r="S34" s="63"/>
      <c r="T34" s="49" t="str">
        <f>IFERROR(MATCH(S34,'1 ubicaciones'!$B$2:$B$22, 0) - 1," ")</f>
        <v xml:space="preserve"> </v>
      </c>
      <c r="U34" s="58" t="str">
        <f>IFERROR(IF(ISNUMBER(T34),INDEX('2.Distancias'!$C$2:$C$1445,T33*38+T34 + 2) +U33," ")," ")</f>
        <v xml:space="preserve"> </v>
      </c>
      <c r="V34" s="64" t="str">
        <f>IFERROR(IF(ISNUMBER(T34),'3.Vehículos'!$F$3 * INDEX('2.Distancias'!$D$2:$D$1445,T33*38+T34 + 2) +V33," ")," ")</f>
        <v xml:space="preserve"> </v>
      </c>
      <c r="W34" s="92" t="str">
        <f>IFERROR(IF(ISNUMBER(T34),'3.Vehículos'!$F$3 * INDEX('2.Distancias'!$D$2:$D$1445,T33*38+T34 + 2) +X33," ")," ")</f>
        <v xml:space="preserve"> </v>
      </c>
      <c r="X34" s="92" t="str">
        <f>IFERROR(IF(AND(T5&lt;&gt;T34,ISNUMBER(W34)),INDEX('1 ubicaciones'!$I$2:$I$22,T34 + 1) + MAX(W34,INDEX('1 ubicaciones'!$F$2:$F$22,T34 + 1))," ")," ")</f>
        <v xml:space="preserve"> </v>
      </c>
      <c r="Y34" s="64" t="str">
        <f>IFERROR(IF(AND(S34 = S5, S35 = ""), W34 - X5, X34 - X5)," ")</f>
        <v xml:space="preserve"> </v>
      </c>
      <c r="Z34" s="49" t="str">
        <f>IFERROR(IF(ISNUMBER(T34),INDEX('1 ubicaciones'!$L$2:$L$22,T34 + 1) + Z33," ")," ")</f>
        <v xml:space="preserve"> </v>
      </c>
      <c r="AA34" s="58" t="str">
        <f>IFERROR(IF(ISNUMBER(T34),INDEX('1 ubicaciones'!$J$2:$J$22,T34 + 1)," ")," ")</f>
        <v xml:space="preserve"> </v>
      </c>
      <c r="AB34" s="58" t="str">
        <f>IFERROR(IF(ISNUMBER(T34),INDEX('1 ubicaciones'!$K$2:$K$22,T34 + 1)," ")," ")</f>
        <v xml:space="preserve"> </v>
      </c>
      <c r="AC34" s="58" t="str">
        <f>IFERROR(IF(ISNUMBER(T34),IF(S34 = S5, 0, AA34 + AC33)," ")," ")</f>
        <v xml:space="preserve"> </v>
      </c>
      <c r="AD34" s="58" t="str">
        <f>IFERROR(IF(ISNUMBER(T34),IF(S35 = S5, 0, IF(S35 = "", 0, AD35 + AB35))," ")," ")</f>
        <v xml:space="preserve"> </v>
      </c>
      <c r="AE34" s="49" t="str">
        <f t="shared" si="1"/>
        <v xml:space="preserve"> </v>
      </c>
      <c r="AI34" s="23">
        <v>29</v>
      </c>
      <c r="AJ34" s="63"/>
      <c r="AK34" s="49" t="str">
        <f>IFERROR(MATCH(AJ34,'1 ubicaciones'!$B$2:$B$22, 0) - 1," ")</f>
        <v xml:space="preserve"> </v>
      </c>
      <c r="AL34" s="58" t="str">
        <f>IFERROR(IF(ISNUMBER(AK34),INDEX('2.Distancias'!$C$2:$C$1445,AK33*38+AK34 + 2) +AL33," ")," ")</f>
        <v xml:space="preserve"> </v>
      </c>
      <c r="AM34" s="64" t="str">
        <f>IFERROR(IF(ISNUMBER(AK34),'3.Vehículos'!$F$4 * INDEX('2.Distancias'!$D$2:$D$1445,AK33*38+AK34 + 2) +AM33," ")," ")</f>
        <v xml:space="preserve"> </v>
      </c>
      <c r="AN34" s="92" t="str">
        <f>IFERROR(IF(ISNUMBER(AK34),'3.Vehículos'!$F$4 * INDEX('2.Distancias'!$D$2:$D$1445,AK33*38+AK34 + 2) +AO33," ")," ")</f>
        <v xml:space="preserve"> </v>
      </c>
      <c r="AO34" s="92" t="str">
        <f>IFERROR(IF(AND(AK5&lt;&gt;AK34,ISNUMBER(AN34)),INDEX('1 ubicaciones'!$I$2:$I$22,AK34 + 1) + MAX(AN34,INDEX('1 ubicaciones'!$F$2:$F$22,AK34 + 1))," ")," ")</f>
        <v xml:space="preserve"> </v>
      </c>
      <c r="AP34" s="64" t="str">
        <f>IFERROR(IF(AND(AJ34 = AJ5, AJ35 = ""), AN34 - AO5, AO34 - AO5)," ")</f>
        <v xml:space="preserve"> </v>
      </c>
      <c r="AQ34" s="49" t="str">
        <f>IFERROR(IF(ISNUMBER(AK34),INDEX('1 ubicaciones'!$L$2:$L$22,AK34 + 1) + AQ33," ")," ")</f>
        <v xml:space="preserve"> </v>
      </c>
      <c r="AR34" s="58" t="str">
        <f>IFERROR(IF(ISNUMBER(AK34),INDEX('1 ubicaciones'!$J$2:$J$22,AK34 + 1)," ")," ")</f>
        <v xml:space="preserve"> </v>
      </c>
      <c r="AS34" s="58" t="str">
        <f>IFERROR(IF(ISNUMBER(AK34),INDEX('1 ubicaciones'!$K$2:$K$22,AK34 + 1)," ")," ")</f>
        <v xml:space="preserve"> </v>
      </c>
      <c r="AT34" s="58" t="str">
        <f>IFERROR(IF(ISNUMBER(AK34),IF(AJ34 = AJ5, 0, AR34 + AT33)," ")," ")</f>
        <v xml:space="preserve"> </v>
      </c>
      <c r="AU34" s="58" t="str">
        <f>IFERROR(IF(ISNUMBER(AK34),IF(AJ35 = AJ5, 0, IF(AJ35 = "", 0, AU35 + AS35))," ")," ")</f>
        <v xml:space="preserve"> </v>
      </c>
      <c r="AV34" s="49" t="str">
        <f t="shared" si="2"/>
        <v xml:space="preserve"> </v>
      </c>
      <c r="AZ34" s="23">
        <v>29</v>
      </c>
      <c r="BA34" s="63"/>
      <c r="BB34" s="49" t="str">
        <f>IFERROR(MATCH(BA34,'1 ubicaciones'!$B$2:$B$22, 0) - 1," ")</f>
        <v xml:space="preserve"> </v>
      </c>
      <c r="BC34" s="58" t="str">
        <f>IFERROR(IF(ISNUMBER(BB34),INDEX('2.Distancias'!$C$2:$C$1445,BB33*38+BB34 + 2) +BC33," ")," ")</f>
        <v xml:space="preserve"> </v>
      </c>
      <c r="BD34" s="64" t="str">
        <f>IFERROR(IF(ISNUMBER(BB34),'3.Vehículos'!$F$5 * INDEX('2.Distancias'!$D$2:$D$1445,BB33*38+BB34 + 2) +BD33," ")," ")</f>
        <v xml:space="preserve"> </v>
      </c>
      <c r="BE34" s="92" t="str">
        <f>IFERROR(IF(ISNUMBER(BB34),'3.Vehículos'!$F$5 * INDEX('2.Distancias'!$D$2:$D$1445,BB33*38+BB34 + 2) +BF33," ")," ")</f>
        <v xml:space="preserve"> </v>
      </c>
      <c r="BF34" s="92" t="str">
        <f>IFERROR(IF(AND(BB5&lt;&gt;BB34,ISNUMBER(BE34)),INDEX('1 ubicaciones'!$I$2:$I$22,BB34 + 1) + MAX(BE34,INDEX('1 ubicaciones'!$F$2:$F$22,BB34 + 1))," ")," ")</f>
        <v xml:space="preserve"> </v>
      </c>
      <c r="BG34" s="64" t="str">
        <f>IFERROR(IF(AND(BA34 = BA5, BA35 = ""), BE34 - BF5, BF34 - BF5)," ")</f>
        <v xml:space="preserve"> </v>
      </c>
      <c r="BH34" s="49" t="str">
        <f>IFERROR(IF(ISNUMBER(BB34),INDEX('1 ubicaciones'!$L$2:$L$22,BB34 + 1) + BH33," ")," ")</f>
        <v xml:space="preserve"> </v>
      </c>
      <c r="BI34" s="58" t="str">
        <f>IFERROR(IF(ISNUMBER(BB34),INDEX('1 ubicaciones'!$J$2:$J$22,BB34 + 1)," ")," ")</f>
        <v xml:space="preserve"> </v>
      </c>
      <c r="BJ34" s="58" t="str">
        <f>IFERROR(IF(ISNUMBER(BB34),INDEX('1 ubicaciones'!$K$2:$K$22,BB34 + 1)," ")," ")</f>
        <v xml:space="preserve"> </v>
      </c>
      <c r="BK34" s="58" t="str">
        <f>IFERROR(IF(ISNUMBER(BB34),IF(BA34 = BA5, 0, BI34 + BK33)," ")," ")</f>
        <v xml:space="preserve"> </v>
      </c>
      <c r="BL34" s="58" t="str">
        <f>IFERROR(IF(ISNUMBER(BB34),IF(BA35 = BA5, 0, IF(BA35 = "", 0, BL35 + BJ35))," ")," ")</f>
        <v xml:space="preserve"> </v>
      </c>
      <c r="BM34" s="49" t="str">
        <f t="shared" si="3"/>
        <v xml:space="preserve"> </v>
      </c>
      <c r="BQ34" s="23">
        <v>29</v>
      </c>
      <c r="BR34" s="63"/>
      <c r="BS34" s="49" t="str">
        <f>IFERROR(MATCH(BR34,'1 ubicaciones'!$B$2:$B$22, 0) - 1," ")</f>
        <v xml:space="preserve"> </v>
      </c>
      <c r="BT34" s="58" t="str">
        <f>IFERROR(IF(ISNUMBER(BS34),INDEX('2.Distancias'!$C$2:$C$1445,BS33*38+BS34 + 2) +BT33," ")," ")</f>
        <v xml:space="preserve"> </v>
      </c>
      <c r="BU34" s="64" t="str">
        <f>IFERROR(IF(ISNUMBER(BS34),'3.Vehículos'!$F$6 * INDEX('2.Distancias'!$D$2:$D$1445,BS33*38+BS34 + 2) +BU33," ")," ")</f>
        <v xml:space="preserve"> </v>
      </c>
      <c r="BV34" s="92" t="str">
        <f>IFERROR(IF(ISNUMBER(BS34),'3.Vehículos'!$F$6 * INDEX('2.Distancias'!$D$2:$D$1445,BS33*38+BS34 + 2) +BW33," ")," ")</f>
        <v xml:space="preserve"> </v>
      </c>
      <c r="BW34" s="92" t="str">
        <f>IFERROR(IF(AND(BS5&lt;&gt;BS34,ISNUMBER(BV34)),INDEX('1 ubicaciones'!$I$2:$I$22,BS34 + 1) + MAX(BV34,INDEX('1 ubicaciones'!$F$2:$F$22,BS34 + 1))," ")," ")</f>
        <v xml:space="preserve"> </v>
      </c>
      <c r="BX34" s="64" t="str">
        <f>IFERROR(IF(AND(BR34 = BR5, BR35 = ""), BV34 - BW5, BW34 - BW5)," ")</f>
        <v xml:space="preserve"> </v>
      </c>
      <c r="BY34" s="49" t="str">
        <f>IFERROR(IF(ISNUMBER(BS34),INDEX('1 ubicaciones'!$L$2:$L$22,BS34 + 1) + BY33," ")," ")</f>
        <v xml:space="preserve"> </v>
      </c>
      <c r="BZ34" s="58" t="str">
        <f>IFERROR(IF(ISNUMBER(BS34),INDEX('1 ubicaciones'!$J$2:$J$22,BS34 + 1)," ")," ")</f>
        <v xml:space="preserve"> </v>
      </c>
      <c r="CA34" s="58" t="str">
        <f>IFERROR(IF(ISNUMBER(BS34),INDEX('1 ubicaciones'!$K$2:$K$22,BS34 + 1)," ")," ")</f>
        <v xml:space="preserve"> </v>
      </c>
      <c r="CB34" s="58" t="str">
        <f>IFERROR(IF(ISNUMBER(BS34),IF(BR34 = BR5, 0, BZ34 + CB33)," ")," ")</f>
        <v xml:space="preserve"> </v>
      </c>
      <c r="CC34" s="58" t="str">
        <f>IFERROR(IF(ISNUMBER(BS34),IF(BR35 = BR5, 0, IF(BR35 = "", 0, CC35 + CA35))," ")," ")</f>
        <v xml:space="preserve"> </v>
      </c>
      <c r="CD34" s="49" t="str">
        <f t="shared" si="4"/>
        <v xml:space="preserve"> </v>
      </c>
      <c r="CH34" s="23">
        <v>29</v>
      </c>
      <c r="CI34" s="63"/>
      <c r="CJ34" s="49" t="str">
        <f>IFERROR(MATCH(CI34,'1 ubicaciones'!$B$2:$B$22, 0) - 1," ")</f>
        <v xml:space="preserve"> </v>
      </c>
      <c r="CK34" s="58" t="str">
        <f>IFERROR(IF(ISNUMBER(CJ34),INDEX('2.Distancias'!$C$2:$C$1445,CJ33*38+CJ34 + 2) +CK33," ")," ")</f>
        <v xml:space="preserve"> </v>
      </c>
      <c r="CL34" s="64" t="str">
        <f>IFERROR(IF(ISNUMBER(CJ34),'3.Vehículos'!$F$10 * INDEX('2.Distancias'!$D$2:$D$1445,CJ33*38+CJ34 + 2) +CL33," ")," ")</f>
        <v xml:space="preserve"> </v>
      </c>
      <c r="CM34" s="92" t="str">
        <f>IFERROR(IF(ISNUMBER(CJ34),'3.Vehículos'!$F$10 * INDEX('2.Distancias'!$D$2:$D$1445,CJ33*38+CJ34 + 2) +CN33," ")," ")</f>
        <v xml:space="preserve"> </v>
      </c>
      <c r="CN34" s="92" t="str">
        <f>IFERROR(IF(AND(CJ5&lt;&gt;CJ34,ISNUMBER(CM34)),INDEX('1 ubicaciones'!$I$2:$I$22,CJ34 + 1) + MAX(CM34,INDEX('1 ubicaciones'!$F$2:$F$22,CJ34 + 1))," ")," ")</f>
        <v xml:space="preserve"> </v>
      </c>
      <c r="CO34" s="64" t="str">
        <f>IFERROR(IF(AND(CI34 = CI5, CI35 = ""), CM34 - CN5, CN34 - CN5)," ")</f>
        <v xml:space="preserve"> </v>
      </c>
      <c r="CP34" s="49" t="str">
        <f>IFERROR(IF(ISNUMBER(CJ34),INDEX('1 ubicaciones'!$L$2:$L$22,CJ34 + 1) + CP33," ")," ")</f>
        <v xml:space="preserve"> </v>
      </c>
      <c r="CQ34" s="58" t="str">
        <f>IFERROR(IF(ISNUMBER(CJ34),INDEX('1 ubicaciones'!$J$2:$J$22,CJ34 + 1)," ")," ")</f>
        <v xml:space="preserve"> </v>
      </c>
      <c r="CR34" s="58" t="str">
        <f>IFERROR(IF(ISNUMBER(CJ34),INDEX('1 ubicaciones'!$K$2:$K$22,CJ34 + 1)," ")," ")</f>
        <v xml:space="preserve"> </v>
      </c>
      <c r="CS34" s="58" t="str">
        <f>IFERROR(IF(ISNUMBER(CJ34),IF(CI34 = CI5, 0, CQ34 + CS33)," ")," ")</f>
        <v xml:space="preserve"> </v>
      </c>
      <c r="CT34" s="58" t="str">
        <f>IFERROR(IF(ISNUMBER(CJ34),IF(CI35 = CI5, 0, IF(CI35 = "", 0, CT35 + CR35))," ")," ")</f>
        <v xml:space="preserve"> </v>
      </c>
      <c r="CU34" s="49" t="str">
        <f t="shared" si="5"/>
        <v xml:space="preserve"> </v>
      </c>
      <c r="CY34" s="23">
        <v>29</v>
      </c>
      <c r="CZ34" s="63"/>
      <c r="DA34" s="49" t="str">
        <f>IFERROR(MATCH(CZ34,'1 ubicaciones'!$B$2:$B$22, 0) - 1," ")</f>
        <v xml:space="preserve"> </v>
      </c>
      <c r="DB34" s="58" t="str">
        <f>IFERROR(IF(ISNUMBER(DA34),INDEX('2.Distancias'!$C$2:$C$1445,DA33*38+DA34 + 2) +DB33," ")," ")</f>
        <v xml:space="preserve"> </v>
      </c>
      <c r="DC34" s="64" t="str">
        <f>IFERROR(IF(ISNUMBER(DA34),'3.Vehículos'!$F$11 * INDEX('2.Distancias'!$D$2:$D$1445,DA33*38+DA34 + 2) +DC33," ")," ")</f>
        <v xml:space="preserve"> </v>
      </c>
      <c r="DD34" s="92" t="str">
        <f>IFERROR(IF(ISNUMBER(DA34),'3.Vehículos'!$F$11 * INDEX('2.Distancias'!$D$2:$D$1445,DA33*38+DA34 + 2) +DE33," ")," ")</f>
        <v xml:space="preserve"> </v>
      </c>
      <c r="DE34" s="92" t="str">
        <f>IFERROR(IF(AND(DA5&lt;&gt;DA34,ISNUMBER(DD34)),INDEX('1 ubicaciones'!$I$2:$I$22,DA34 + 1) + MAX(DD34,INDEX('1 ubicaciones'!$F$2:$F$22,DA34 + 1))," ")," ")</f>
        <v xml:space="preserve"> </v>
      </c>
      <c r="DF34" s="64" t="str">
        <f>IFERROR(IF(AND(CZ34 = CZ5, CZ35 = ""), DD34 - DE5, DE34 - DE5)," ")</f>
        <v xml:space="preserve"> </v>
      </c>
      <c r="DG34" s="49" t="str">
        <f>IFERROR(IF(ISNUMBER(DA34),INDEX('1 ubicaciones'!$L$2:$L$22,DA34 + 1) + DG33," ")," ")</f>
        <v xml:space="preserve"> </v>
      </c>
      <c r="DH34" s="58" t="str">
        <f>IFERROR(IF(ISNUMBER(DA34),INDEX('1 ubicaciones'!$J$2:$J$22,DA34 + 1)," ")," ")</f>
        <v xml:space="preserve"> </v>
      </c>
      <c r="DI34" s="58" t="str">
        <f>IFERROR(IF(ISNUMBER(DA34),INDEX('1 ubicaciones'!$K$2:$K$22,DA34 + 1)," ")," ")</f>
        <v xml:space="preserve"> </v>
      </c>
      <c r="DJ34" s="58" t="str">
        <f>IFERROR(IF(ISNUMBER(DA34),IF(CZ34 = CZ5, 0, DH34 + DJ33)," ")," ")</f>
        <v xml:space="preserve"> </v>
      </c>
      <c r="DK34" s="58" t="str">
        <f>IFERROR(IF(ISNUMBER(DA34),IF(CZ35 = CZ5, 0, IF(CZ35 = "", 0, DK35 + DI35))," ")," ")</f>
        <v xml:space="preserve"> </v>
      </c>
      <c r="DL34" s="49" t="str">
        <f t="shared" si="6"/>
        <v xml:space="preserve"> </v>
      </c>
      <c r="DP34" s="23">
        <v>29</v>
      </c>
      <c r="DQ34" s="63"/>
      <c r="DR34" s="49" t="str">
        <f>IFERROR(MATCH(DQ34,'1 ubicaciones'!$B$2:$B$22, 0) - 1," ")</f>
        <v xml:space="preserve"> </v>
      </c>
      <c r="DS34" s="58" t="str">
        <f>IFERROR(IF(ISNUMBER(DR34),INDEX('2.Distancias'!$C$2:$C$1445,DR33*38+DR34 + 2) +DS33," ")," ")</f>
        <v xml:space="preserve"> </v>
      </c>
      <c r="DT34" s="64" t="str">
        <f>IFERROR(IF(ISNUMBER(DR34),'3.Vehículos'!$F$18 * INDEX('2.Distancias'!$D$2:$D$1445,DR33*38+DR34 + 2) +DT33," ")," ")</f>
        <v xml:space="preserve"> </v>
      </c>
      <c r="DU34" s="92" t="str">
        <f>IFERROR(IF(ISNUMBER(DR34),'3.Vehículos'!$F$18 * INDEX('2.Distancias'!$D$2:$D$1445,DR33*38+DR34 + 2) +DV33," ")," ")</f>
        <v xml:space="preserve"> </v>
      </c>
      <c r="DV34" s="92" t="str">
        <f>IFERROR(IF(AND(DR5&lt;&gt;DR34,ISNUMBER(DU34)),INDEX('1 ubicaciones'!$I$2:$I$22,DR34 + 1) + MAX(DU34,INDEX('1 ubicaciones'!$F$2:$F$22,DR34 + 1))," ")," ")</f>
        <v xml:space="preserve"> </v>
      </c>
      <c r="DW34" s="64" t="str">
        <f>IFERROR(IF(AND(DQ34 = DQ5, DQ35 = ""), DU34 - DV5, DV34 - DV5)," ")</f>
        <v xml:space="preserve"> </v>
      </c>
      <c r="DX34" s="49" t="str">
        <f>IFERROR(IF(ISNUMBER(DR34),INDEX('1 ubicaciones'!$L$2:$L$22,DR34 + 1) + DX33," ")," ")</f>
        <v xml:space="preserve"> </v>
      </c>
      <c r="DY34" s="58" t="str">
        <f>IFERROR(IF(ISNUMBER(DR34),INDEX('1 ubicaciones'!$J$2:$J$22,DR34 + 1)," ")," ")</f>
        <v xml:space="preserve"> </v>
      </c>
      <c r="DZ34" s="58" t="str">
        <f>IFERROR(IF(ISNUMBER(DR34),INDEX('1 ubicaciones'!$K$2:$K$22,DR34 + 1)," ")," ")</f>
        <v xml:space="preserve"> </v>
      </c>
      <c r="EA34" s="58" t="str">
        <f>IFERROR(IF(ISNUMBER(DR34),IF(DQ34 = DQ5, 0, DY34 + EA33)," ")," ")</f>
        <v xml:space="preserve"> </v>
      </c>
      <c r="EB34" s="58" t="str">
        <f>IFERROR(IF(ISNUMBER(DR34),IF(DQ35 = DQ5, 0, IF(DQ35 = "", 0, EB35 + DZ35))," ")," ")</f>
        <v xml:space="preserve"> </v>
      </c>
      <c r="EC34" s="49" t="str">
        <f t="shared" si="7"/>
        <v xml:space="preserve"> </v>
      </c>
    </row>
    <row r="35" spans="1:133" x14ac:dyDescent="0.25">
      <c r="A35" s="23">
        <v>30</v>
      </c>
      <c r="B35" s="66"/>
      <c r="C35" s="49" t="str">
        <f>IFERROR(MATCH(B35,'1 ubicaciones'!$B$2:$B$22, 0) - 1," ")</f>
        <v xml:space="preserve"> </v>
      </c>
      <c r="D35" s="58" t="str">
        <f>IFERROR(IF(ISNUMBER(C35),INDEX('2.Distancias'!$C$2:$C$1445,C34*38+C35 + 2) +D34," ")," ")</f>
        <v xml:space="preserve"> </v>
      </c>
      <c r="E35" s="64" t="str">
        <f>IFERROR(IF(ISNUMBER(C35),'3.Vehículos'!$F$2 * INDEX('2.Distancias'!$D$2:$D$1445,C34*38+C35 + 2) +E34," ")," ")</f>
        <v xml:space="preserve"> </v>
      </c>
      <c r="F35" s="92" t="str">
        <f>IFERROR(IF(ISNUMBER(C35),'3.Vehículos'!$F$2 * INDEX('2.Distancias'!$D$2:$D$1445,C34*38+C35 + 2) +G34," ")," ")</f>
        <v xml:space="preserve"> </v>
      </c>
      <c r="G35" s="92" t="str">
        <f>IFERROR(IF(AND(C5&lt;&gt;C35,ISNUMBER(F35)),INDEX('1 ubicaciones'!$I$2:$I$22,C35 + 1) + MAX(F35,INDEX('1 ubicaciones'!$F$2:$F$22,C35 + 1))," ")," ")</f>
        <v xml:space="preserve"> </v>
      </c>
      <c r="H35" s="64" t="str">
        <f>IFERROR(IF(AND(B35 = B5, B36 = ""), F35 - G5, G35 - G5)," ")</f>
        <v xml:space="preserve"> </v>
      </c>
      <c r="I35" s="49" t="str">
        <f>IFERROR(IF(ISNUMBER(C35),INDEX('1 ubicaciones'!$L$2:$L$22,C35 + 1) + I34," ")," ")</f>
        <v xml:space="preserve"> </v>
      </c>
      <c r="J35" s="58" t="str">
        <f>IFERROR(IF(ISNUMBER(C35),INDEX('1 ubicaciones'!$J$2:$J$22,C35 + 1)," ")," ")</f>
        <v xml:space="preserve"> </v>
      </c>
      <c r="K35" s="58" t="str">
        <f>IFERROR(IF(ISNUMBER(C35),INDEX('1 ubicaciones'!$K$2:$K$22,C35 + 1)," ")," ")</f>
        <v xml:space="preserve"> </v>
      </c>
      <c r="L35" s="58" t="str">
        <f>IFERROR(IF(ISNUMBER(C35),IF(B35 = B5, 0, J35 + L34)," ")," ")</f>
        <v xml:space="preserve"> </v>
      </c>
      <c r="M35" s="58" t="str">
        <f>IFERROR(IF(ISNUMBER(C35),IF(B36 = B5, 0, IF(B36 = "", 0, M36 + K36))," ")," ")</f>
        <v xml:space="preserve"> </v>
      </c>
      <c r="N35" s="49" t="str">
        <f t="shared" si="0"/>
        <v xml:space="preserve"> </v>
      </c>
      <c r="R35" s="23">
        <v>30</v>
      </c>
      <c r="S35" s="66"/>
      <c r="T35" s="49" t="str">
        <f>IFERROR(MATCH(S35,'1 ubicaciones'!$B$2:$B$22, 0) - 1," ")</f>
        <v xml:space="preserve"> </v>
      </c>
      <c r="U35" s="58" t="str">
        <f>IFERROR(IF(ISNUMBER(T35),INDEX('2.Distancias'!$C$2:$C$1445,T34*38+T35 + 2) +U34," ")," ")</f>
        <v xml:space="preserve"> </v>
      </c>
      <c r="V35" s="64" t="str">
        <f>IFERROR(IF(ISNUMBER(T35),'3.Vehículos'!$F$3 * INDEX('2.Distancias'!$D$2:$D$1445,T34*38+T35 + 2) +V34," ")," ")</f>
        <v xml:space="preserve"> </v>
      </c>
      <c r="W35" s="92" t="str">
        <f>IFERROR(IF(ISNUMBER(T35),'3.Vehículos'!$F$3 * INDEX('2.Distancias'!$D$2:$D$1445,T34*38+T35 + 2) +X34," ")," ")</f>
        <v xml:space="preserve"> </v>
      </c>
      <c r="X35" s="92" t="str">
        <f>IFERROR(IF(AND(T5&lt;&gt;T35,ISNUMBER(W35)),INDEX('1 ubicaciones'!$I$2:$I$22,T35 + 1) + MAX(W35,INDEX('1 ubicaciones'!$F$2:$F$22,T35 + 1))," ")," ")</f>
        <v xml:space="preserve"> </v>
      </c>
      <c r="Y35" s="64" t="str">
        <f>IFERROR(IF(AND(S35 = S5, S36 = ""), W35 - X5, X35 - X5)," ")</f>
        <v xml:space="preserve"> </v>
      </c>
      <c r="Z35" s="49" t="str">
        <f>IFERROR(IF(ISNUMBER(T35),INDEX('1 ubicaciones'!$L$2:$L$22,T35 + 1) + Z34," ")," ")</f>
        <v xml:space="preserve"> </v>
      </c>
      <c r="AA35" s="58" t="str">
        <f>IFERROR(IF(ISNUMBER(T35),INDEX('1 ubicaciones'!$J$2:$J$22,T35 + 1)," ")," ")</f>
        <v xml:space="preserve"> </v>
      </c>
      <c r="AB35" s="58" t="str">
        <f>IFERROR(IF(ISNUMBER(T35),INDEX('1 ubicaciones'!$K$2:$K$22,T35 + 1)," ")," ")</f>
        <v xml:space="preserve"> </v>
      </c>
      <c r="AC35" s="58" t="str">
        <f>IFERROR(IF(ISNUMBER(T35),IF(S35 = S5, 0, AA35 + AC34)," ")," ")</f>
        <v xml:space="preserve"> </v>
      </c>
      <c r="AD35" s="58" t="str">
        <f>IFERROR(IF(ISNUMBER(T35),IF(S36 = S5, 0, IF(S36 = "", 0, AD36 + AB36))," ")," ")</f>
        <v xml:space="preserve"> </v>
      </c>
      <c r="AE35" s="49" t="str">
        <f t="shared" si="1"/>
        <v xml:space="preserve"> </v>
      </c>
      <c r="AI35" s="23">
        <v>30</v>
      </c>
      <c r="AJ35" s="66"/>
      <c r="AK35" s="49" t="str">
        <f>IFERROR(MATCH(AJ35,'1 ubicaciones'!$B$2:$B$22, 0) - 1," ")</f>
        <v xml:space="preserve"> </v>
      </c>
      <c r="AL35" s="58" t="str">
        <f>IFERROR(IF(ISNUMBER(AK35),INDEX('2.Distancias'!$C$2:$C$1445,AK34*38+AK35 + 2) +AL34," ")," ")</f>
        <v xml:space="preserve"> </v>
      </c>
      <c r="AM35" s="64" t="str">
        <f>IFERROR(IF(ISNUMBER(AK35),'3.Vehículos'!$F$4 * INDEX('2.Distancias'!$D$2:$D$1445,AK34*38+AK35 + 2) +AM34," ")," ")</f>
        <v xml:space="preserve"> </v>
      </c>
      <c r="AN35" s="92" t="str">
        <f>IFERROR(IF(ISNUMBER(AK35),'3.Vehículos'!$F$4 * INDEX('2.Distancias'!$D$2:$D$1445,AK34*38+AK35 + 2) +AO34," ")," ")</f>
        <v xml:space="preserve"> </v>
      </c>
      <c r="AO35" s="92" t="str">
        <f>IFERROR(IF(AND(AK5&lt;&gt;AK35,ISNUMBER(AN35)),INDEX('1 ubicaciones'!$I$2:$I$22,AK35 + 1) + MAX(AN35,INDEX('1 ubicaciones'!$F$2:$F$22,AK35 + 1))," ")," ")</f>
        <v xml:space="preserve"> </v>
      </c>
      <c r="AP35" s="64" t="str">
        <f>IFERROR(IF(AND(AJ35 = AJ5, AJ36 = ""), AN35 - AO5, AO35 - AO5)," ")</f>
        <v xml:space="preserve"> </v>
      </c>
      <c r="AQ35" s="49" t="str">
        <f>IFERROR(IF(ISNUMBER(AK35),INDEX('1 ubicaciones'!$L$2:$L$22,AK35 + 1) + AQ34," ")," ")</f>
        <v xml:space="preserve"> </v>
      </c>
      <c r="AR35" s="58" t="str">
        <f>IFERROR(IF(ISNUMBER(AK35),INDEX('1 ubicaciones'!$J$2:$J$22,AK35 + 1)," ")," ")</f>
        <v xml:space="preserve"> </v>
      </c>
      <c r="AS35" s="58" t="str">
        <f>IFERROR(IF(ISNUMBER(AK35),INDEX('1 ubicaciones'!$K$2:$K$22,AK35 + 1)," ")," ")</f>
        <v xml:space="preserve"> </v>
      </c>
      <c r="AT35" s="58" t="str">
        <f>IFERROR(IF(ISNUMBER(AK35),IF(AJ35 = AJ5, 0, AR35 + AT34)," ")," ")</f>
        <v xml:space="preserve"> </v>
      </c>
      <c r="AU35" s="58" t="str">
        <f>IFERROR(IF(ISNUMBER(AK35),IF(AJ36 = AJ5, 0, IF(AJ36 = "", 0, AU36 + AS36))," ")," ")</f>
        <v xml:space="preserve"> </v>
      </c>
      <c r="AV35" s="49" t="str">
        <f t="shared" si="2"/>
        <v xml:space="preserve"> </v>
      </c>
      <c r="AZ35" s="23">
        <v>30</v>
      </c>
      <c r="BA35" s="66"/>
      <c r="BB35" s="49" t="str">
        <f>IFERROR(MATCH(BA35,'1 ubicaciones'!$B$2:$B$22, 0) - 1," ")</f>
        <v xml:space="preserve"> </v>
      </c>
      <c r="BC35" s="58" t="str">
        <f>IFERROR(IF(ISNUMBER(BB35),INDEX('2.Distancias'!$C$2:$C$1445,BB34*38+BB35 + 2) +BC34," ")," ")</f>
        <v xml:space="preserve"> </v>
      </c>
      <c r="BD35" s="64" t="str">
        <f>IFERROR(IF(ISNUMBER(BB35),'3.Vehículos'!$F$5 * INDEX('2.Distancias'!$D$2:$D$1445,BB34*38+BB35 + 2) +BD34," ")," ")</f>
        <v xml:space="preserve"> </v>
      </c>
      <c r="BE35" s="92" t="str">
        <f>IFERROR(IF(ISNUMBER(BB35),'3.Vehículos'!$F$5 * INDEX('2.Distancias'!$D$2:$D$1445,BB34*38+BB35 + 2) +BF34," ")," ")</f>
        <v xml:space="preserve"> </v>
      </c>
      <c r="BF35" s="92" t="str">
        <f>IFERROR(IF(AND(BB5&lt;&gt;BB35,ISNUMBER(BE35)),INDEX('1 ubicaciones'!$I$2:$I$22,BB35 + 1) + MAX(BE35,INDEX('1 ubicaciones'!$F$2:$F$22,BB35 + 1))," ")," ")</f>
        <v xml:space="preserve"> </v>
      </c>
      <c r="BG35" s="64" t="str">
        <f>IFERROR(IF(AND(BA35 = BA5, BA36 = ""), BE35 - BF5, BF35 - BF5)," ")</f>
        <v xml:space="preserve"> </v>
      </c>
      <c r="BH35" s="49" t="str">
        <f>IFERROR(IF(ISNUMBER(BB35),INDEX('1 ubicaciones'!$L$2:$L$22,BB35 + 1) + BH34," ")," ")</f>
        <v xml:space="preserve"> </v>
      </c>
      <c r="BI35" s="58" t="str">
        <f>IFERROR(IF(ISNUMBER(BB35),INDEX('1 ubicaciones'!$J$2:$J$22,BB35 + 1)," ")," ")</f>
        <v xml:space="preserve"> </v>
      </c>
      <c r="BJ35" s="58" t="str">
        <f>IFERROR(IF(ISNUMBER(BB35),INDEX('1 ubicaciones'!$K$2:$K$22,BB35 + 1)," ")," ")</f>
        <v xml:space="preserve"> </v>
      </c>
      <c r="BK35" s="58" t="str">
        <f>IFERROR(IF(ISNUMBER(BB35),IF(BA35 = BA5, 0, BI35 + BK34)," ")," ")</f>
        <v xml:space="preserve"> </v>
      </c>
      <c r="BL35" s="58" t="str">
        <f>IFERROR(IF(ISNUMBER(BB35),IF(BA36 = BA5, 0, IF(BA36 = "", 0, BL36 + BJ36))," ")," ")</f>
        <v xml:space="preserve"> </v>
      </c>
      <c r="BM35" s="49" t="str">
        <f t="shared" si="3"/>
        <v xml:space="preserve"> </v>
      </c>
      <c r="BQ35" s="23">
        <v>30</v>
      </c>
      <c r="BR35" s="66"/>
      <c r="BS35" s="49" t="str">
        <f>IFERROR(MATCH(BR35,'1 ubicaciones'!$B$2:$B$22, 0) - 1," ")</f>
        <v xml:space="preserve"> </v>
      </c>
      <c r="BT35" s="58" t="str">
        <f>IFERROR(IF(ISNUMBER(BS35),INDEX('2.Distancias'!$C$2:$C$1445,BS34*38+BS35 + 2) +BT34," ")," ")</f>
        <v xml:space="preserve"> </v>
      </c>
      <c r="BU35" s="64" t="str">
        <f>IFERROR(IF(ISNUMBER(BS35),'3.Vehículos'!$F$6 * INDEX('2.Distancias'!$D$2:$D$1445,BS34*38+BS35 + 2) +BU34," ")," ")</f>
        <v xml:space="preserve"> </v>
      </c>
      <c r="BV35" s="92" t="str">
        <f>IFERROR(IF(ISNUMBER(BS35),'3.Vehículos'!$F$6 * INDEX('2.Distancias'!$D$2:$D$1445,BS34*38+BS35 + 2) +BW34," ")," ")</f>
        <v xml:space="preserve"> </v>
      </c>
      <c r="BW35" s="92" t="str">
        <f>IFERROR(IF(AND(BS5&lt;&gt;BS35,ISNUMBER(BV35)),INDEX('1 ubicaciones'!$I$2:$I$22,BS35 + 1) + MAX(BV35,INDEX('1 ubicaciones'!$F$2:$F$22,BS35 + 1))," ")," ")</f>
        <v xml:space="preserve"> </v>
      </c>
      <c r="BX35" s="64" t="str">
        <f>IFERROR(IF(AND(BR35 = BR5, BR36 = ""), BV35 - BW5, BW35 - BW5)," ")</f>
        <v xml:space="preserve"> </v>
      </c>
      <c r="BY35" s="49" t="str">
        <f>IFERROR(IF(ISNUMBER(BS35),INDEX('1 ubicaciones'!$L$2:$L$22,BS35 + 1) + BY34," ")," ")</f>
        <v xml:space="preserve"> </v>
      </c>
      <c r="BZ35" s="58" t="str">
        <f>IFERROR(IF(ISNUMBER(BS35),INDEX('1 ubicaciones'!$J$2:$J$22,BS35 + 1)," ")," ")</f>
        <v xml:space="preserve"> </v>
      </c>
      <c r="CA35" s="58" t="str">
        <f>IFERROR(IF(ISNUMBER(BS35),INDEX('1 ubicaciones'!$K$2:$K$22,BS35 + 1)," ")," ")</f>
        <v xml:space="preserve"> </v>
      </c>
      <c r="CB35" s="58" t="str">
        <f>IFERROR(IF(ISNUMBER(BS35),IF(BR35 = BR5, 0, BZ35 + CB34)," ")," ")</f>
        <v xml:space="preserve"> </v>
      </c>
      <c r="CC35" s="58" t="str">
        <f>IFERROR(IF(ISNUMBER(BS35),IF(BR36 = BR5, 0, IF(BR36 = "", 0, CC36 + CA36))," ")," ")</f>
        <v xml:space="preserve"> </v>
      </c>
      <c r="CD35" s="49" t="str">
        <f t="shared" si="4"/>
        <v xml:space="preserve"> </v>
      </c>
      <c r="CH35" s="23">
        <v>30</v>
      </c>
      <c r="CI35" s="66"/>
      <c r="CJ35" s="49" t="str">
        <f>IFERROR(MATCH(CI35,'1 ubicaciones'!$B$2:$B$22, 0) - 1," ")</f>
        <v xml:space="preserve"> </v>
      </c>
      <c r="CK35" s="58" t="str">
        <f>IFERROR(IF(ISNUMBER(CJ35),INDEX('2.Distancias'!$C$2:$C$1445,CJ34*38+CJ35 + 2) +CK34," ")," ")</f>
        <v xml:space="preserve"> </v>
      </c>
      <c r="CL35" s="64" t="str">
        <f>IFERROR(IF(ISNUMBER(CJ35),'3.Vehículos'!$F$10 * INDEX('2.Distancias'!$D$2:$D$1445,CJ34*38+CJ35 + 2) +CL34," ")," ")</f>
        <v xml:space="preserve"> </v>
      </c>
      <c r="CM35" s="92" t="str">
        <f>IFERROR(IF(ISNUMBER(CJ35),'3.Vehículos'!$F$10 * INDEX('2.Distancias'!$D$2:$D$1445,CJ34*38+CJ35 + 2) +CN34," ")," ")</f>
        <v xml:space="preserve"> </v>
      </c>
      <c r="CN35" s="92" t="str">
        <f>IFERROR(IF(AND(CJ5&lt;&gt;CJ35,ISNUMBER(CM35)),INDEX('1 ubicaciones'!$I$2:$I$22,CJ35 + 1) + MAX(CM35,INDEX('1 ubicaciones'!$F$2:$F$22,CJ35 + 1))," ")," ")</f>
        <v xml:space="preserve"> </v>
      </c>
      <c r="CO35" s="64" t="str">
        <f>IFERROR(IF(AND(CI35 = CI5, CI36 = ""), CM35 - CN5, CN35 - CN5)," ")</f>
        <v xml:space="preserve"> </v>
      </c>
      <c r="CP35" s="49" t="str">
        <f>IFERROR(IF(ISNUMBER(CJ35),INDEX('1 ubicaciones'!$L$2:$L$22,CJ35 + 1) + CP34," ")," ")</f>
        <v xml:space="preserve"> </v>
      </c>
      <c r="CQ35" s="58" t="str">
        <f>IFERROR(IF(ISNUMBER(CJ35),INDEX('1 ubicaciones'!$J$2:$J$22,CJ35 + 1)," ")," ")</f>
        <v xml:space="preserve"> </v>
      </c>
      <c r="CR35" s="58" t="str">
        <f>IFERROR(IF(ISNUMBER(CJ35),INDEX('1 ubicaciones'!$K$2:$K$22,CJ35 + 1)," ")," ")</f>
        <v xml:space="preserve"> </v>
      </c>
      <c r="CS35" s="58" t="str">
        <f>IFERROR(IF(ISNUMBER(CJ35),IF(CI35 = CI5, 0, CQ35 + CS34)," ")," ")</f>
        <v xml:space="preserve"> </v>
      </c>
      <c r="CT35" s="58" t="str">
        <f>IFERROR(IF(ISNUMBER(CJ35),IF(CI36 = CI5, 0, IF(CI36 = "", 0, CT36 + CR36))," ")," ")</f>
        <v xml:space="preserve"> </v>
      </c>
      <c r="CU35" s="49" t="str">
        <f t="shared" si="5"/>
        <v xml:space="preserve"> </v>
      </c>
      <c r="CY35" s="23">
        <v>30</v>
      </c>
      <c r="CZ35" s="66"/>
      <c r="DA35" s="49" t="str">
        <f>IFERROR(MATCH(CZ35,'1 ubicaciones'!$B$2:$B$22, 0) - 1," ")</f>
        <v xml:space="preserve"> </v>
      </c>
      <c r="DB35" s="58" t="str">
        <f>IFERROR(IF(ISNUMBER(DA35),INDEX('2.Distancias'!$C$2:$C$1445,DA34*38+DA35 + 2) +DB34," ")," ")</f>
        <v xml:space="preserve"> </v>
      </c>
      <c r="DC35" s="64" t="str">
        <f>IFERROR(IF(ISNUMBER(DA35),'3.Vehículos'!$F$11 * INDEX('2.Distancias'!$D$2:$D$1445,DA34*38+DA35 + 2) +DC34," ")," ")</f>
        <v xml:space="preserve"> </v>
      </c>
      <c r="DD35" s="92" t="str">
        <f>IFERROR(IF(ISNUMBER(DA35),'3.Vehículos'!$F$11 * INDEX('2.Distancias'!$D$2:$D$1445,DA34*38+DA35 + 2) +DE34," ")," ")</f>
        <v xml:space="preserve"> </v>
      </c>
      <c r="DE35" s="92" t="str">
        <f>IFERROR(IF(AND(DA5&lt;&gt;DA35,ISNUMBER(DD35)),INDEX('1 ubicaciones'!$I$2:$I$22,DA35 + 1) + MAX(DD35,INDEX('1 ubicaciones'!$F$2:$F$22,DA35 + 1))," ")," ")</f>
        <v xml:space="preserve"> </v>
      </c>
      <c r="DF35" s="64" t="str">
        <f>IFERROR(IF(AND(CZ35 = CZ5, CZ36 = ""), DD35 - DE5, DE35 - DE5)," ")</f>
        <v xml:space="preserve"> </v>
      </c>
      <c r="DG35" s="49" t="str">
        <f>IFERROR(IF(ISNUMBER(DA35),INDEX('1 ubicaciones'!$L$2:$L$22,DA35 + 1) + DG34," ")," ")</f>
        <v xml:space="preserve"> </v>
      </c>
      <c r="DH35" s="58" t="str">
        <f>IFERROR(IF(ISNUMBER(DA35),INDEX('1 ubicaciones'!$J$2:$J$22,DA35 + 1)," ")," ")</f>
        <v xml:space="preserve"> </v>
      </c>
      <c r="DI35" s="58" t="str">
        <f>IFERROR(IF(ISNUMBER(DA35),INDEX('1 ubicaciones'!$K$2:$K$22,DA35 + 1)," ")," ")</f>
        <v xml:space="preserve"> </v>
      </c>
      <c r="DJ35" s="58" t="str">
        <f>IFERROR(IF(ISNUMBER(DA35),IF(CZ35 = CZ5, 0, DH35 + DJ34)," ")," ")</f>
        <v xml:space="preserve"> </v>
      </c>
      <c r="DK35" s="58" t="str">
        <f>IFERROR(IF(ISNUMBER(DA35),IF(CZ36 = CZ5, 0, IF(CZ36 = "", 0, DK36 + DI36))," ")," ")</f>
        <v xml:space="preserve"> </v>
      </c>
      <c r="DL35" s="49" t="str">
        <f t="shared" si="6"/>
        <v xml:space="preserve"> </v>
      </c>
      <c r="DP35" s="23">
        <v>30</v>
      </c>
      <c r="DQ35" s="66"/>
      <c r="DR35" s="49" t="str">
        <f>IFERROR(MATCH(DQ35,'1 ubicaciones'!$B$2:$B$22, 0) - 1," ")</f>
        <v xml:space="preserve"> </v>
      </c>
      <c r="DS35" s="58" t="str">
        <f>IFERROR(IF(ISNUMBER(DR35),INDEX('2.Distancias'!$C$2:$C$1445,DR34*38+DR35 + 2) +DS34," ")," ")</f>
        <v xml:space="preserve"> </v>
      </c>
      <c r="DT35" s="64" t="str">
        <f>IFERROR(IF(ISNUMBER(DR35),'3.Vehículos'!$F$18 * INDEX('2.Distancias'!$D$2:$D$1445,DR34*38+DR35 + 2) +DT34," ")," ")</f>
        <v xml:space="preserve"> </v>
      </c>
      <c r="DU35" s="92" t="str">
        <f>IFERROR(IF(ISNUMBER(DR35),'3.Vehículos'!$F$18 * INDEX('2.Distancias'!$D$2:$D$1445,DR34*38+DR35 + 2) +DV34," ")," ")</f>
        <v xml:space="preserve"> </v>
      </c>
      <c r="DV35" s="92" t="str">
        <f>IFERROR(IF(AND(DR5&lt;&gt;DR35,ISNUMBER(DU35)),INDEX('1 ubicaciones'!$I$2:$I$22,DR35 + 1) + MAX(DU35,INDEX('1 ubicaciones'!$F$2:$F$22,DR35 + 1))," ")," ")</f>
        <v xml:space="preserve"> </v>
      </c>
      <c r="DW35" s="64" t="str">
        <f>IFERROR(IF(AND(DQ35 = DQ5, DQ36 = ""), DU35 - DV5, DV35 - DV5)," ")</f>
        <v xml:space="preserve"> </v>
      </c>
      <c r="DX35" s="49" t="str">
        <f>IFERROR(IF(ISNUMBER(DR35),INDEX('1 ubicaciones'!$L$2:$L$22,DR35 + 1) + DX34," ")," ")</f>
        <v xml:space="preserve"> </v>
      </c>
      <c r="DY35" s="58" t="str">
        <f>IFERROR(IF(ISNUMBER(DR35),INDEX('1 ubicaciones'!$J$2:$J$22,DR35 + 1)," ")," ")</f>
        <v xml:space="preserve"> </v>
      </c>
      <c r="DZ35" s="58" t="str">
        <f>IFERROR(IF(ISNUMBER(DR35),INDEX('1 ubicaciones'!$K$2:$K$22,DR35 + 1)," ")," ")</f>
        <v xml:space="preserve"> </v>
      </c>
      <c r="EA35" s="58" t="str">
        <f>IFERROR(IF(ISNUMBER(DR35),IF(DQ35 = DQ5, 0, DY35 + EA34)," ")," ")</f>
        <v xml:space="preserve"> </v>
      </c>
      <c r="EB35" s="58" t="str">
        <f>IFERROR(IF(ISNUMBER(DR35),IF(DQ36 = DQ5, 0, IF(DQ36 = "", 0, EB36 + DZ36))," ")," ")</f>
        <v xml:space="preserve"> </v>
      </c>
      <c r="EC35" s="49" t="str">
        <f t="shared" si="7"/>
        <v xml:space="preserve"> </v>
      </c>
    </row>
    <row r="36" spans="1:133" x14ac:dyDescent="0.25">
      <c r="A36" s="23">
        <v>31</v>
      </c>
      <c r="B36" s="63"/>
      <c r="C36" s="49" t="str">
        <f>IFERROR(MATCH(B36,'1 ubicaciones'!$B$2:$B$22, 0) - 1," ")</f>
        <v xml:space="preserve"> </v>
      </c>
      <c r="D36" s="58" t="str">
        <f>IFERROR(IF(ISNUMBER(C36),INDEX('2.Distancias'!$C$2:$C$1445,C35*38+C36 + 2) +D35," ")," ")</f>
        <v xml:space="preserve"> </v>
      </c>
      <c r="E36" s="64" t="str">
        <f>IFERROR(IF(ISNUMBER(C36),'3.Vehículos'!$F$2 * INDEX('2.Distancias'!$D$2:$D$1445,C35*38+C36 + 2) +E35," ")," ")</f>
        <v xml:space="preserve"> </v>
      </c>
      <c r="F36" s="92" t="str">
        <f>IFERROR(IF(ISNUMBER(C36),'3.Vehículos'!$F$2 * INDEX('2.Distancias'!$D$2:$D$1445,C35*38+C36 + 2) +G35," ")," ")</f>
        <v xml:space="preserve"> </v>
      </c>
      <c r="G36" s="92" t="str">
        <f>IFERROR(IF(AND(C5&lt;&gt;C36,ISNUMBER(F36)),INDEX('1 ubicaciones'!$I$2:$I$22,C36 + 1) + MAX(F36,INDEX('1 ubicaciones'!$F$2:$F$22,C36 + 1))," ")," ")</f>
        <v xml:space="preserve"> </v>
      </c>
      <c r="H36" s="64" t="str">
        <f>IFERROR(IF(AND(B36 = B5, B37 = ""), F36 - G5, G36 - G5)," ")</f>
        <v xml:space="preserve"> </v>
      </c>
      <c r="I36" s="49" t="str">
        <f>IFERROR(IF(ISNUMBER(C36),INDEX('1 ubicaciones'!$L$2:$L$22,C36 + 1) + I35," ")," ")</f>
        <v xml:space="preserve"> </v>
      </c>
      <c r="J36" s="58" t="str">
        <f>IFERROR(IF(ISNUMBER(C36),INDEX('1 ubicaciones'!$J$2:$J$22,C36 + 1)," ")," ")</f>
        <v xml:space="preserve"> </v>
      </c>
      <c r="K36" s="58" t="str">
        <f>IFERROR(IF(ISNUMBER(C36),INDEX('1 ubicaciones'!$K$2:$K$22,C36 + 1)," ")," ")</f>
        <v xml:space="preserve"> </v>
      </c>
      <c r="L36" s="58" t="str">
        <f>IFERROR(IF(ISNUMBER(C36),IF(B36 = B5, 0, J36 + L35)," ")," ")</f>
        <v xml:space="preserve"> </v>
      </c>
      <c r="M36" s="58" t="str">
        <f>IFERROR(IF(ISNUMBER(C36),IF(B37 = B5, 0, IF(B37 = "", 0, M37 + K37))," ")," ")</f>
        <v xml:space="preserve"> </v>
      </c>
      <c r="N36" s="49" t="str">
        <f t="shared" si="0"/>
        <v xml:space="preserve"> </v>
      </c>
      <c r="R36" s="23">
        <v>31</v>
      </c>
      <c r="S36" s="63"/>
      <c r="T36" s="49" t="str">
        <f>IFERROR(MATCH(S36,'1 ubicaciones'!$B$2:$B$22, 0) - 1," ")</f>
        <v xml:space="preserve"> </v>
      </c>
      <c r="U36" s="58" t="str">
        <f>IFERROR(IF(ISNUMBER(T36),INDEX('2.Distancias'!$C$2:$C$1445,T35*38+T36 + 2) +U35," ")," ")</f>
        <v xml:space="preserve"> </v>
      </c>
      <c r="V36" s="64" t="str">
        <f>IFERROR(IF(ISNUMBER(T36),'3.Vehículos'!$F$3 * INDEX('2.Distancias'!$D$2:$D$1445,T35*38+T36 + 2) +V35," ")," ")</f>
        <v xml:space="preserve"> </v>
      </c>
      <c r="W36" s="92" t="str">
        <f>IFERROR(IF(ISNUMBER(T36),'3.Vehículos'!$F$3 * INDEX('2.Distancias'!$D$2:$D$1445,T35*38+T36 + 2) +X35," ")," ")</f>
        <v xml:space="preserve"> </v>
      </c>
      <c r="X36" s="92" t="str">
        <f>IFERROR(IF(AND(T5&lt;&gt;T36,ISNUMBER(W36)),INDEX('1 ubicaciones'!$I$2:$I$22,T36 + 1) + MAX(W36,INDEX('1 ubicaciones'!$F$2:$F$22,T36 + 1))," ")," ")</f>
        <v xml:space="preserve"> </v>
      </c>
      <c r="Y36" s="64" t="str">
        <f>IFERROR(IF(AND(S36 = S5, S37 = ""), W36 - X5, X36 - X5)," ")</f>
        <v xml:space="preserve"> </v>
      </c>
      <c r="Z36" s="49" t="str">
        <f>IFERROR(IF(ISNUMBER(T36),INDEX('1 ubicaciones'!$L$2:$L$22,T36 + 1) + Z35," ")," ")</f>
        <v xml:space="preserve"> </v>
      </c>
      <c r="AA36" s="58" t="str">
        <f>IFERROR(IF(ISNUMBER(T36),INDEX('1 ubicaciones'!$J$2:$J$22,T36 + 1)," ")," ")</f>
        <v xml:space="preserve"> </v>
      </c>
      <c r="AB36" s="58" t="str">
        <f>IFERROR(IF(ISNUMBER(T36),INDEX('1 ubicaciones'!$K$2:$K$22,T36 + 1)," ")," ")</f>
        <v xml:space="preserve"> </v>
      </c>
      <c r="AC36" s="58" t="str">
        <f>IFERROR(IF(ISNUMBER(T36),IF(S36 = S5, 0, AA36 + AC35)," ")," ")</f>
        <v xml:space="preserve"> </v>
      </c>
      <c r="AD36" s="58" t="str">
        <f>IFERROR(IF(ISNUMBER(T36),IF(S37 = S5, 0, IF(S37 = "", 0, AD37 + AB37))," ")," ")</f>
        <v xml:space="preserve"> </v>
      </c>
      <c r="AE36" s="49" t="str">
        <f t="shared" si="1"/>
        <v xml:space="preserve"> </v>
      </c>
      <c r="AI36" s="23">
        <v>31</v>
      </c>
      <c r="AJ36" s="63"/>
      <c r="AK36" s="49" t="str">
        <f>IFERROR(MATCH(AJ36,'1 ubicaciones'!$B$2:$B$22, 0) - 1," ")</f>
        <v xml:space="preserve"> </v>
      </c>
      <c r="AL36" s="58" t="str">
        <f>IFERROR(IF(ISNUMBER(AK36),INDEX('2.Distancias'!$C$2:$C$1445,AK35*38+AK36 + 2) +AL35," ")," ")</f>
        <v xml:space="preserve"> </v>
      </c>
      <c r="AM36" s="64" t="str">
        <f>IFERROR(IF(ISNUMBER(AK36),'3.Vehículos'!$F$4 * INDEX('2.Distancias'!$D$2:$D$1445,AK35*38+AK36 + 2) +AM35," ")," ")</f>
        <v xml:space="preserve"> </v>
      </c>
      <c r="AN36" s="92" t="str">
        <f>IFERROR(IF(ISNUMBER(AK36),'3.Vehículos'!$F$4 * INDEX('2.Distancias'!$D$2:$D$1445,AK35*38+AK36 + 2) +AO35," ")," ")</f>
        <v xml:space="preserve"> </v>
      </c>
      <c r="AO36" s="92" t="str">
        <f>IFERROR(IF(AND(AK5&lt;&gt;AK36,ISNUMBER(AN36)),INDEX('1 ubicaciones'!$I$2:$I$22,AK36 + 1) + MAX(AN36,INDEX('1 ubicaciones'!$F$2:$F$22,AK36 + 1))," ")," ")</f>
        <v xml:space="preserve"> </v>
      </c>
      <c r="AP36" s="64" t="str">
        <f>IFERROR(IF(AND(AJ36 = AJ5, AJ37 = ""), AN36 - AO5, AO36 - AO5)," ")</f>
        <v xml:space="preserve"> </v>
      </c>
      <c r="AQ36" s="49" t="str">
        <f>IFERROR(IF(ISNUMBER(AK36),INDEX('1 ubicaciones'!$L$2:$L$22,AK36 + 1) + AQ35," ")," ")</f>
        <v xml:space="preserve"> </v>
      </c>
      <c r="AR36" s="58" t="str">
        <f>IFERROR(IF(ISNUMBER(AK36),INDEX('1 ubicaciones'!$J$2:$J$22,AK36 + 1)," ")," ")</f>
        <v xml:space="preserve"> </v>
      </c>
      <c r="AS36" s="58" t="str">
        <f>IFERROR(IF(ISNUMBER(AK36),INDEX('1 ubicaciones'!$K$2:$K$22,AK36 + 1)," ")," ")</f>
        <v xml:space="preserve"> </v>
      </c>
      <c r="AT36" s="58" t="str">
        <f>IFERROR(IF(ISNUMBER(AK36),IF(AJ36 = AJ5, 0, AR36 + AT35)," ")," ")</f>
        <v xml:space="preserve"> </v>
      </c>
      <c r="AU36" s="58" t="str">
        <f>IFERROR(IF(ISNUMBER(AK36),IF(AJ37 = AJ5, 0, IF(AJ37 = "", 0, AU37 + AS37))," ")," ")</f>
        <v xml:space="preserve"> </v>
      </c>
      <c r="AV36" s="49" t="str">
        <f t="shared" si="2"/>
        <v xml:space="preserve"> </v>
      </c>
      <c r="AZ36" s="23">
        <v>31</v>
      </c>
      <c r="BA36" s="63"/>
      <c r="BB36" s="49" t="str">
        <f>IFERROR(MATCH(BA36,'1 ubicaciones'!$B$2:$B$22, 0) - 1," ")</f>
        <v xml:space="preserve"> </v>
      </c>
      <c r="BC36" s="58" t="str">
        <f>IFERROR(IF(ISNUMBER(BB36),INDEX('2.Distancias'!$C$2:$C$1445,BB35*38+BB36 + 2) +BC35," ")," ")</f>
        <v xml:space="preserve"> </v>
      </c>
      <c r="BD36" s="64" t="str">
        <f>IFERROR(IF(ISNUMBER(BB36),'3.Vehículos'!$F$5 * INDEX('2.Distancias'!$D$2:$D$1445,BB35*38+BB36 + 2) +BD35," ")," ")</f>
        <v xml:space="preserve"> </v>
      </c>
      <c r="BE36" s="92" t="str">
        <f>IFERROR(IF(ISNUMBER(BB36),'3.Vehículos'!$F$5 * INDEX('2.Distancias'!$D$2:$D$1445,BB35*38+BB36 + 2) +BF35," ")," ")</f>
        <v xml:space="preserve"> </v>
      </c>
      <c r="BF36" s="92" t="str">
        <f>IFERROR(IF(AND(BB5&lt;&gt;BB36,ISNUMBER(BE36)),INDEX('1 ubicaciones'!$I$2:$I$22,BB36 + 1) + MAX(BE36,INDEX('1 ubicaciones'!$F$2:$F$22,BB36 + 1))," ")," ")</f>
        <v xml:space="preserve"> </v>
      </c>
      <c r="BG36" s="64" t="str">
        <f>IFERROR(IF(AND(BA36 = BA5, BA37 = ""), BE36 - BF5, BF36 - BF5)," ")</f>
        <v xml:space="preserve"> </v>
      </c>
      <c r="BH36" s="49" t="str">
        <f>IFERROR(IF(ISNUMBER(BB36),INDEX('1 ubicaciones'!$L$2:$L$22,BB36 + 1) + BH35," ")," ")</f>
        <v xml:space="preserve"> </v>
      </c>
      <c r="BI36" s="58" t="str">
        <f>IFERROR(IF(ISNUMBER(BB36),INDEX('1 ubicaciones'!$J$2:$J$22,BB36 + 1)," ")," ")</f>
        <v xml:space="preserve"> </v>
      </c>
      <c r="BJ36" s="58" t="str">
        <f>IFERROR(IF(ISNUMBER(BB36),INDEX('1 ubicaciones'!$K$2:$K$22,BB36 + 1)," ")," ")</f>
        <v xml:space="preserve"> </v>
      </c>
      <c r="BK36" s="58" t="str">
        <f>IFERROR(IF(ISNUMBER(BB36),IF(BA36 = BA5, 0, BI36 + BK35)," ")," ")</f>
        <v xml:space="preserve"> </v>
      </c>
      <c r="BL36" s="58" t="str">
        <f>IFERROR(IF(ISNUMBER(BB36),IF(BA37 = BA5, 0, IF(BA37 = "", 0, BL37 + BJ37))," ")," ")</f>
        <v xml:space="preserve"> </v>
      </c>
      <c r="BM36" s="49" t="str">
        <f t="shared" si="3"/>
        <v xml:space="preserve"> </v>
      </c>
      <c r="BQ36" s="23">
        <v>31</v>
      </c>
      <c r="BR36" s="63"/>
      <c r="BS36" s="49" t="str">
        <f>IFERROR(MATCH(BR36,'1 ubicaciones'!$B$2:$B$22, 0) - 1," ")</f>
        <v xml:space="preserve"> </v>
      </c>
      <c r="BT36" s="58" t="str">
        <f>IFERROR(IF(ISNUMBER(BS36),INDEX('2.Distancias'!$C$2:$C$1445,BS35*38+BS36 + 2) +BT35," ")," ")</f>
        <v xml:space="preserve"> </v>
      </c>
      <c r="BU36" s="64" t="str">
        <f>IFERROR(IF(ISNUMBER(BS36),'3.Vehículos'!$F$6 * INDEX('2.Distancias'!$D$2:$D$1445,BS35*38+BS36 + 2) +BU35," ")," ")</f>
        <v xml:space="preserve"> </v>
      </c>
      <c r="BV36" s="92" t="str">
        <f>IFERROR(IF(ISNUMBER(BS36),'3.Vehículos'!$F$6 * INDEX('2.Distancias'!$D$2:$D$1445,BS35*38+BS36 + 2) +BW35," ")," ")</f>
        <v xml:space="preserve"> </v>
      </c>
      <c r="BW36" s="92" t="str">
        <f>IFERROR(IF(AND(BS5&lt;&gt;BS36,ISNUMBER(BV36)),INDEX('1 ubicaciones'!$I$2:$I$22,BS36 + 1) + MAX(BV36,INDEX('1 ubicaciones'!$F$2:$F$22,BS36 + 1))," ")," ")</f>
        <v xml:space="preserve"> </v>
      </c>
      <c r="BX36" s="64" t="str">
        <f>IFERROR(IF(AND(BR36 = BR5, BR37 = ""), BV36 - BW5, BW36 - BW5)," ")</f>
        <v xml:space="preserve"> </v>
      </c>
      <c r="BY36" s="49" t="str">
        <f>IFERROR(IF(ISNUMBER(BS36),INDEX('1 ubicaciones'!$L$2:$L$22,BS36 + 1) + BY35," ")," ")</f>
        <v xml:space="preserve"> </v>
      </c>
      <c r="BZ36" s="58" t="str">
        <f>IFERROR(IF(ISNUMBER(BS36),INDEX('1 ubicaciones'!$J$2:$J$22,BS36 + 1)," ")," ")</f>
        <v xml:space="preserve"> </v>
      </c>
      <c r="CA36" s="58" t="str">
        <f>IFERROR(IF(ISNUMBER(BS36),INDEX('1 ubicaciones'!$K$2:$K$22,BS36 + 1)," ")," ")</f>
        <v xml:space="preserve"> </v>
      </c>
      <c r="CB36" s="58" t="str">
        <f>IFERROR(IF(ISNUMBER(BS36),IF(BR36 = BR5, 0, BZ36 + CB35)," ")," ")</f>
        <v xml:space="preserve"> </v>
      </c>
      <c r="CC36" s="58" t="str">
        <f>IFERROR(IF(ISNUMBER(BS36),IF(BR37 = BR5, 0, IF(BR37 = "", 0, CC37 + CA37))," ")," ")</f>
        <v xml:space="preserve"> </v>
      </c>
      <c r="CD36" s="49" t="str">
        <f t="shared" si="4"/>
        <v xml:space="preserve"> </v>
      </c>
      <c r="CH36" s="23">
        <v>31</v>
      </c>
      <c r="CI36" s="63"/>
      <c r="CJ36" s="49" t="str">
        <f>IFERROR(MATCH(CI36,'1 ubicaciones'!$B$2:$B$22, 0) - 1," ")</f>
        <v xml:space="preserve"> </v>
      </c>
      <c r="CK36" s="58" t="str">
        <f>IFERROR(IF(ISNUMBER(CJ36),INDEX('2.Distancias'!$C$2:$C$1445,CJ35*38+CJ36 + 2) +CK35," ")," ")</f>
        <v xml:space="preserve"> </v>
      </c>
      <c r="CL36" s="64" t="str">
        <f>IFERROR(IF(ISNUMBER(CJ36),'3.Vehículos'!$F$10 * INDEX('2.Distancias'!$D$2:$D$1445,CJ35*38+CJ36 + 2) +CL35," ")," ")</f>
        <v xml:space="preserve"> </v>
      </c>
      <c r="CM36" s="92" t="str">
        <f>IFERROR(IF(ISNUMBER(CJ36),'3.Vehículos'!$F$10 * INDEX('2.Distancias'!$D$2:$D$1445,CJ35*38+CJ36 + 2) +CN35," ")," ")</f>
        <v xml:space="preserve"> </v>
      </c>
      <c r="CN36" s="92" t="str">
        <f>IFERROR(IF(AND(CJ5&lt;&gt;CJ36,ISNUMBER(CM36)),INDEX('1 ubicaciones'!$I$2:$I$22,CJ36 + 1) + MAX(CM36,INDEX('1 ubicaciones'!$F$2:$F$22,CJ36 + 1))," ")," ")</f>
        <v xml:space="preserve"> </v>
      </c>
      <c r="CO36" s="64" t="str">
        <f>IFERROR(IF(AND(CI36 = CI5, CI37 = ""), CM36 - CN5, CN36 - CN5)," ")</f>
        <v xml:space="preserve"> </v>
      </c>
      <c r="CP36" s="49" t="str">
        <f>IFERROR(IF(ISNUMBER(CJ36),INDEX('1 ubicaciones'!$L$2:$L$22,CJ36 + 1) + CP35," ")," ")</f>
        <v xml:space="preserve"> </v>
      </c>
      <c r="CQ36" s="58" t="str">
        <f>IFERROR(IF(ISNUMBER(CJ36),INDEX('1 ubicaciones'!$J$2:$J$22,CJ36 + 1)," ")," ")</f>
        <v xml:space="preserve"> </v>
      </c>
      <c r="CR36" s="58" t="str">
        <f>IFERROR(IF(ISNUMBER(CJ36),INDEX('1 ubicaciones'!$K$2:$K$22,CJ36 + 1)," ")," ")</f>
        <v xml:space="preserve"> </v>
      </c>
      <c r="CS36" s="58" t="str">
        <f>IFERROR(IF(ISNUMBER(CJ36),IF(CI36 = CI5, 0, CQ36 + CS35)," ")," ")</f>
        <v xml:space="preserve"> </v>
      </c>
      <c r="CT36" s="58" t="str">
        <f>IFERROR(IF(ISNUMBER(CJ36),IF(CI37 = CI5, 0, IF(CI37 = "", 0, CT37 + CR37))," ")," ")</f>
        <v xml:space="preserve"> </v>
      </c>
      <c r="CU36" s="49" t="str">
        <f t="shared" si="5"/>
        <v xml:space="preserve"> </v>
      </c>
      <c r="CY36" s="23">
        <v>31</v>
      </c>
      <c r="CZ36" s="63"/>
      <c r="DA36" s="49" t="str">
        <f>IFERROR(MATCH(CZ36,'1 ubicaciones'!$B$2:$B$22, 0) - 1," ")</f>
        <v xml:space="preserve"> </v>
      </c>
      <c r="DB36" s="58" t="str">
        <f>IFERROR(IF(ISNUMBER(DA36),INDEX('2.Distancias'!$C$2:$C$1445,DA35*38+DA36 + 2) +DB35," ")," ")</f>
        <v xml:space="preserve"> </v>
      </c>
      <c r="DC36" s="64" t="str">
        <f>IFERROR(IF(ISNUMBER(DA36),'3.Vehículos'!$F$11 * INDEX('2.Distancias'!$D$2:$D$1445,DA35*38+DA36 + 2) +DC35," ")," ")</f>
        <v xml:space="preserve"> </v>
      </c>
      <c r="DD36" s="92" t="str">
        <f>IFERROR(IF(ISNUMBER(DA36),'3.Vehículos'!$F$11 * INDEX('2.Distancias'!$D$2:$D$1445,DA35*38+DA36 + 2) +DE35," ")," ")</f>
        <v xml:space="preserve"> </v>
      </c>
      <c r="DE36" s="92" t="str">
        <f>IFERROR(IF(AND(DA5&lt;&gt;DA36,ISNUMBER(DD36)),INDEX('1 ubicaciones'!$I$2:$I$22,DA36 + 1) + MAX(DD36,INDEX('1 ubicaciones'!$F$2:$F$22,DA36 + 1))," ")," ")</f>
        <v xml:space="preserve"> </v>
      </c>
      <c r="DF36" s="64" t="str">
        <f>IFERROR(IF(AND(CZ36 = CZ5, CZ37 = ""), DD36 - DE5, DE36 - DE5)," ")</f>
        <v xml:space="preserve"> </v>
      </c>
      <c r="DG36" s="49" t="str">
        <f>IFERROR(IF(ISNUMBER(DA36),INDEX('1 ubicaciones'!$L$2:$L$22,DA36 + 1) + DG35," ")," ")</f>
        <v xml:space="preserve"> </v>
      </c>
      <c r="DH36" s="58" t="str">
        <f>IFERROR(IF(ISNUMBER(DA36),INDEX('1 ubicaciones'!$J$2:$J$22,DA36 + 1)," ")," ")</f>
        <v xml:space="preserve"> </v>
      </c>
      <c r="DI36" s="58" t="str">
        <f>IFERROR(IF(ISNUMBER(DA36),INDEX('1 ubicaciones'!$K$2:$K$22,DA36 + 1)," ")," ")</f>
        <v xml:space="preserve"> </v>
      </c>
      <c r="DJ36" s="58" t="str">
        <f>IFERROR(IF(ISNUMBER(DA36),IF(CZ36 = CZ5, 0, DH36 + DJ35)," ")," ")</f>
        <v xml:space="preserve"> </v>
      </c>
      <c r="DK36" s="58" t="str">
        <f>IFERROR(IF(ISNUMBER(DA36),IF(CZ37 = CZ5, 0, IF(CZ37 = "", 0, DK37 + DI37))," ")," ")</f>
        <v xml:space="preserve"> </v>
      </c>
      <c r="DL36" s="49" t="str">
        <f t="shared" si="6"/>
        <v xml:space="preserve"> </v>
      </c>
      <c r="DP36" s="23">
        <v>31</v>
      </c>
      <c r="DQ36" s="63"/>
      <c r="DR36" s="49" t="str">
        <f>IFERROR(MATCH(DQ36,'1 ubicaciones'!$B$2:$B$22, 0) - 1," ")</f>
        <v xml:space="preserve"> </v>
      </c>
      <c r="DS36" s="58" t="str">
        <f>IFERROR(IF(ISNUMBER(DR36),INDEX('2.Distancias'!$C$2:$C$1445,DR35*38+DR36 + 2) +DS35," ")," ")</f>
        <v xml:space="preserve"> </v>
      </c>
      <c r="DT36" s="64" t="str">
        <f>IFERROR(IF(ISNUMBER(DR36),'3.Vehículos'!$F$18 * INDEX('2.Distancias'!$D$2:$D$1445,DR35*38+DR36 + 2) +DT35," ")," ")</f>
        <v xml:space="preserve"> </v>
      </c>
      <c r="DU36" s="92" t="str">
        <f>IFERROR(IF(ISNUMBER(DR36),'3.Vehículos'!$F$18 * INDEX('2.Distancias'!$D$2:$D$1445,DR35*38+DR36 + 2) +DV35," ")," ")</f>
        <v xml:space="preserve"> </v>
      </c>
      <c r="DV36" s="92" t="str">
        <f>IFERROR(IF(AND(DR5&lt;&gt;DR36,ISNUMBER(DU36)),INDEX('1 ubicaciones'!$I$2:$I$22,DR36 + 1) + MAX(DU36,INDEX('1 ubicaciones'!$F$2:$F$22,DR36 + 1))," ")," ")</f>
        <v xml:space="preserve"> </v>
      </c>
      <c r="DW36" s="64" t="str">
        <f>IFERROR(IF(AND(DQ36 = DQ5, DQ37 = ""), DU36 - DV5, DV36 - DV5)," ")</f>
        <v xml:space="preserve"> </v>
      </c>
      <c r="DX36" s="49" t="str">
        <f>IFERROR(IF(ISNUMBER(DR36),INDEX('1 ubicaciones'!$L$2:$L$22,DR36 + 1) + DX35," ")," ")</f>
        <v xml:space="preserve"> </v>
      </c>
      <c r="DY36" s="58" t="str">
        <f>IFERROR(IF(ISNUMBER(DR36),INDEX('1 ubicaciones'!$J$2:$J$22,DR36 + 1)," ")," ")</f>
        <v xml:space="preserve"> </v>
      </c>
      <c r="DZ36" s="58" t="str">
        <f>IFERROR(IF(ISNUMBER(DR36),INDEX('1 ubicaciones'!$K$2:$K$22,DR36 + 1)," ")," ")</f>
        <v xml:space="preserve"> </v>
      </c>
      <c r="EA36" s="58" t="str">
        <f>IFERROR(IF(ISNUMBER(DR36),IF(DQ36 = DQ5, 0, DY36 + EA35)," ")," ")</f>
        <v xml:space="preserve"> </v>
      </c>
      <c r="EB36" s="58" t="str">
        <f>IFERROR(IF(ISNUMBER(DR36),IF(DQ37 = DQ5, 0, IF(DQ37 = "", 0, EB37 + DZ37))," ")," ")</f>
        <v xml:space="preserve"> </v>
      </c>
      <c r="EC36" s="49" t="str">
        <f t="shared" si="7"/>
        <v xml:space="preserve"> </v>
      </c>
    </row>
    <row r="37" spans="1:133" x14ac:dyDescent="0.25">
      <c r="A37" s="23">
        <v>32</v>
      </c>
      <c r="B37" s="66"/>
      <c r="C37" s="49" t="str">
        <f>IFERROR(MATCH(B37,'1 ubicaciones'!$B$2:$B$22, 0) - 1," ")</f>
        <v xml:space="preserve"> </v>
      </c>
      <c r="D37" s="58" t="str">
        <f>IFERROR(IF(ISNUMBER(C37),INDEX('2.Distancias'!$C$2:$C$1445,C36*38+C37 + 2) +D36," ")," ")</f>
        <v xml:space="preserve"> </v>
      </c>
      <c r="E37" s="64" t="str">
        <f>IFERROR(IF(ISNUMBER(C37),'3.Vehículos'!$F$2 * INDEX('2.Distancias'!$D$2:$D$1445,C36*38+C37 + 2) +E36," ")," ")</f>
        <v xml:space="preserve"> </v>
      </c>
      <c r="F37" s="92" t="str">
        <f>IFERROR(IF(ISNUMBER(C37),'3.Vehículos'!$F$2 * INDEX('2.Distancias'!$D$2:$D$1445,C36*38+C37 + 2) +G36," ")," ")</f>
        <v xml:space="preserve"> </v>
      </c>
      <c r="G37" s="92" t="str">
        <f>IFERROR(IF(AND(C5&lt;&gt;C37,ISNUMBER(F37)),INDEX('1 ubicaciones'!$I$2:$I$22,C37 + 1) + MAX(F37,INDEX('1 ubicaciones'!$F$2:$F$22,C37 + 1))," ")," ")</f>
        <v xml:space="preserve"> </v>
      </c>
      <c r="H37" s="64" t="str">
        <f>IFERROR(IF(AND(B37 = B5, B38 = ""), F37 - G5, G37 - G5)," ")</f>
        <v xml:space="preserve"> </v>
      </c>
      <c r="I37" s="49" t="str">
        <f>IFERROR(IF(ISNUMBER(C37),INDEX('1 ubicaciones'!$L$2:$L$22,C37 + 1) + I36," ")," ")</f>
        <v xml:space="preserve"> </v>
      </c>
      <c r="J37" s="58" t="str">
        <f>IFERROR(IF(ISNUMBER(C37),INDEX('1 ubicaciones'!$J$2:$J$22,C37 + 1)," ")," ")</f>
        <v xml:space="preserve"> </v>
      </c>
      <c r="K37" s="58" t="str">
        <f>IFERROR(IF(ISNUMBER(C37),INDEX('1 ubicaciones'!$K$2:$K$22,C37 + 1)," ")," ")</f>
        <v xml:space="preserve"> </v>
      </c>
      <c r="L37" s="58" t="str">
        <f>IFERROR(IF(ISNUMBER(C37),IF(B37 = B5, 0, J37 + L36)," ")," ")</f>
        <v xml:space="preserve"> </v>
      </c>
      <c r="M37" s="58" t="str">
        <f>IFERROR(IF(ISNUMBER(C37),IF(B38 = B5, 0, IF(B38 = "", 0, M38 + K38))," ")," ")</f>
        <v xml:space="preserve"> </v>
      </c>
      <c r="N37" s="49" t="str">
        <f t="shared" si="0"/>
        <v xml:space="preserve"> </v>
      </c>
      <c r="R37" s="23">
        <v>32</v>
      </c>
      <c r="S37" s="66"/>
      <c r="T37" s="49" t="str">
        <f>IFERROR(MATCH(S37,'1 ubicaciones'!$B$2:$B$22, 0) - 1," ")</f>
        <v xml:space="preserve"> </v>
      </c>
      <c r="U37" s="58" t="str">
        <f>IFERROR(IF(ISNUMBER(T37),INDEX('2.Distancias'!$C$2:$C$1445,T36*38+T37 + 2) +U36," ")," ")</f>
        <v xml:space="preserve"> </v>
      </c>
      <c r="V37" s="64" t="str">
        <f>IFERROR(IF(ISNUMBER(T37),'3.Vehículos'!$F$3 * INDEX('2.Distancias'!$D$2:$D$1445,T36*38+T37 + 2) +V36," ")," ")</f>
        <v xml:space="preserve"> </v>
      </c>
      <c r="W37" s="92" t="str">
        <f>IFERROR(IF(ISNUMBER(T37),'3.Vehículos'!$F$3 * INDEX('2.Distancias'!$D$2:$D$1445,T36*38+T37 + 2) +X36," ")," ")</f>
        <v xml:space="preserve"> </v>
      </c>
      <c r="X37" s="92" t="str">
        <f>IFERROR(IF(AND(T5&lt;&gt;T37,ISNUMBER(W37)),INDEX('1 ubicaciones'!$I$2:$I$22,T37 + 1) + MAX(W37,INDEX('1 ubicaciones'!$F$2:$F$22,T37 + 1))," ")," ")</f>
        <v xml:space="preserve"> </v>
      </c>
      <c r="Y37" s="64" t="str">
        <f>IFERROR(IF(AND(S37 = S5, S38 = ""), W37 - X5, X37 - X5)," ")</f>
        <v xml:space="preserve"> </v>
      </c>
      <c r="Z37" s="49" t="str">
        <f>IFERROR(IF(ISNUMBER(T37),INDEX('1 ubicaciones'!$L$2:$L$22,T37 + 1) + Z36," ")," ")</f>
        <v xml:space="preserve"> </v>
      </c>
      <c r="AA37" s="58" t="str">
        <f>IFERROR(IF(ISNUMBER(T37),INDEX('1 ubicaciones'!$J$2:$J$22,T37 + 1)," ")," ")</f>
        <v xml:space="preserve"> </v>
      </c>
      <c r="AB37" s="58" t="str">
        <f>IFERROR(IF(ISNUMBER(T37),INDEX('1 ubicaciones'!$K$2:$K$22,T37 + 1)," ")," ")</f>
        <v xml:space="preserve"> </v>
      </c>
      <c r="AC37" s="58" t="str">
        <f>IFERROR(IF(ISNUMBER(T37),IF(S37 = S5, 0, AA37 + AC36)," ")," ")</f>
        <v xml:space="preserve"> </v>
      </c>
      <c r="AD37" s="58" t="str">
        <f>IFERROR(IF(ISNUMBER(T37),IF(S38 = S5, 0, IF(S38 = "", 0, AD38 + AB38))," ")," ")</f>
        <v xml:space="preserve"> </v>
      </c>
      <c r="AE37" s="49" t="str">
        <f t="shared" si="1"/>
        <v xml:space="preserve"> </v>
      </c>
      <c r="AI37" s="23">
        <v>32</v>
      </c>
      <c r="AJ37" s="66"/>
      <c r="AK37" s="49" t="str">
        <f>IFERROR(MATCH(AJ37,'1 ubicaciones'!$B$2:$B$22, 0) - 1," ")</f>
        <v xml:space="preserve"> </v>
      </c>
      <c r="AL37" s="58" t="str">
        <f>IFERROR(IF(ISNUMBER(AK37),INDEX('2.Distancias'!$C$2:$C$1445,AK36*38+AK37 + 2) +AL36," ")," ")</f>
        <v xml:space="preserve"> </v>
      </c>
      <c r="AM37" s="64" t="str">
        <f>IFERROR(IF(ISNUMBER(AK37),'3.Vehículos'!$F$4 * INDEX('2.Distancias'!$D$2:$D$1445,AK36*38+AK37 + 2) +AM36," ")," ")</f>
        <v xml:space="preserve"> </v>
      </c>
      <c r="AN37" s="92" t="str">
        <f>IFERROR(IF(ISNUMBER(AK37),'3.Vehículos'!$F$4 * INDEX('2.Distancias'!$D$2:$D$1445,AK36*38+AK37 + 2) +AO36," ")," ")</f>
        <v xml:space="preserve"> </v>
      </c>
      <c r="AO37" s="92" t="str">
        <f>IFERROR(IF(AND(AK5&lt;&gt;AK37,ISNUMBER(AN37)),INDEX('1 ubicaciones'!$I$2:$I$22,AK37 + 1) + MAX(AN37,INDEX('1 ubicaciones'!$F$2:$F$22,AK37 + 1))," ")," ")</f>
        <v xml:space="preserve"> </v>
      </c>
      <c r="AP37" s="64" t="str">
        <f>IFERROR(IF(AND(AJ37 = AJ5, AJ38 = ""), AN37 - AO5, AO37 - AO5)," ")</f>
        <v xml:space="preserve"> </v>
      </c>
      <c r="AQ37" s="49" t="str">
        <f>IFERROR(IF(ISNUMBER(AK37),INDEX('1 ubicaciones'!$L$2:$L$22,AK37 + 1) + AQ36," ")," ")</f>
        <v xml:space="preserve"> </v>
      </c>
      <c r="AR37" s="58" t="str">
        <f>IFERROR(IF(ISNUMBER(AK37),INDEX('1 ubicaciones'!$J$2:$J$22,AK37 + 1)," ")," ")</f>
        <v xml:space="preserve"> </v>
      </c>
      <c r="AS37" s="58" t="str">
        <f>IFERROR(IF(ISNUMBER(AK37),INDEX('1 ubicaciones'!$K$2:$K$22,AK37 + 1)," ")," ")</f>
        <v xml:space="preserve"> </v>
      </c>
      <c r="AT37" s="58" t="str">
        <f>IFERROR(IF(ISNUMBER(AK37),IF(AJ37 = AJ5, 0, AR37 + AT36)," ")," ")</f>
        <v xml:space="preserve"> </v>
      </c>
      <c r="AU37" s="58" t="str">
        <f>IFERROR(IF(ISNUMBER(AK37),IF(AJ38 = AJ5, 0, IF(AJ38 = "", 0, AU38 + AS38))," ")," ")</f>
        <v xml:space="preserve"> </v>
      </c>
      <c r="AV37" s="49" t="str">
        <f t="shared" si="2"/>
        <v xml:space="preserve"> </v>
      </c>
      <c r="AZ37" s="23">
        <v>32</v>
      </c>
      <c r="BA37" s="66"/>
      <c r="BB37" s="49" t="str">
        <f>IFERROR(MATCH(BA37,'1 ubicaciones'!$B$2:$B$22, 0) - 1," ")</f>
        <v xml:space="preserve"> </v>
      </c>
      <c r="BC37" s="58" t="str">
        <f>IFERROR(IF(ISNUMBER(BB37),INDEX('2.Distancias'!$C$2:$C$1445,BB36*38+BB37 + 2) +BC36," ")," ")</f>
        <v xml:space="preserve"> </v>
      </c>
      <c r="BD37" s="64" t="str">
        <f>IFERROR(IF(ISNUMBER(BB37),'3.Vehículos'!$F$5 * INDEX('2.Distancias'!$D$2:$D$1445,BB36*38+BB37 + 2) +BD36," ")," ")</f>
        <v xml:space="preserve"> </v>
      </c>
      <c r="BE37" s="92" t="str">
        <f>IFERROR(IF(ISNUMBER(BB37),'3.Vehículos'!$F$5 * INDEX('2.Distancias'!$D$2:$D$1445,BB36*38+BB37 + 2) +BF36," ")," ")</f>
        <v xml:space="preserve"> </v>
      </c>
      <c r="BF37" s="92" t="str">
        <f>IFERROR(IF(AND(BB5&lt;&gt;BB37,ISNUMBER(BE37)),INDEX('1 ubicaciones'!$I$2:$I$22,BB37 + 1) + MAX(BE37,INDEX('1 ubicaciones'!$F$2:$F$22,BB37 + 1))," ")," ")</f>
        <v xml:space="preserve"> </v>
      </c>
      <c r="BG37" s="64" t="str">
        <f>IFERROR(IF(AND(BA37 = BA5, BA38 = ""), BE37 - BF5, BF37 - BF5)," ")</f>
        <v xml:space="preserve"> </v>
      </c>
      <c r="BH37" s="49" t="str">
        <f>IFERROR(IF(ISNUMBER(BB37),INDEX('1 ubicaciones'!$L$2:$L$22,BB37 + 1) + BH36," ")," ")</f>
        <v xml:space="preserve"> </v>
      </c>
      <c r="BI37" s="58" t="str">
        <f>IFERROR(IF(ISNUMBER(BB37),INDEX('1 ubicaciones'!$J$2:$J$22,BB37 + 1)," ")," ")</f>
        <v xml:space="preserve"> </v>
      </c>
      <c r="BJ37" s="58" t="str">
        <f>IFERROR(IF(ISNUMBER(BB37),INDEX('1 ubicaciones'!$K$2:$K$22,BB37 + 1)," ")," ")</f>
        <v xml:space="preserve"> </v>
      </c>
      <c r="BK37" s="58" t="str">
        <f>IFERROR(IF(ISNUMBER(BB37),IF(BA37 = BA5, 0, BI37 + BK36)," ")," ")</f>
        <v xml:space="preserve"> </v>
      </c>
      <c r="BL37" s="58" t="str">
        <f>IFERROR(IF(ISNUMBER(BB37),IF(BA38 = BA5, 0, IF(BA38 = "", 0, BL38 + BJ38))," ")," ")</f>
        <v xml:space="preserve"> </v>
      </c>
      <c r="BM37" s="49" t="str">
        <f t="shared" si="3"/>
        <v xml:space="preserve"> </v>
      </c>
      <c r="BQ37" s="23">
        <v>32</v>
      </c>
      <c r="BR37" s="66"/>
      <c r="BS37" s="49" t="str">
        <f>IFERROR(MATCH(BR37,'1 ubicaciones'!$B$2:$B$22, 0) - 1," ")</f>
        <v xml:space="preserve"> </v>
      </c>
      <c r="BT37" s="58" t="str">
        <f>IFERROR(IF(ISNUMBER(BS37),INDEX('2.Distancias'!$C$2:$C$1445,BS36*38+BS37 + 2) +BT36," ")," ")</f>
        <v xml:space="preserve"> </v>
      </c>
      <c r="BU37" s="64" t="str">
        <f>IFERROR(IF(ISNUMBER(BS37),'3.Vehículos'!$F$6 * INDEX('2.Distancias'!$D$2:$D$1445,BS36*38+BS37 + 2) +BU36," ")," ")</f>
        <v xml:space="preserve"> </v>
      </c>
      <c r="BV37" s="92" t="str">
        <f>IFERROR(IF(ISNUMBER(BS37),'3.Vehículos'!$F$6 * INDEX('2.Distancias'!$D$2:$D$1445,BS36*38+BS37 + 2) +BW36," ")," ")</f>
        <v xml:space="preserve"> </v>
      </c>
      <c r="BW37" s="92" t="str">
        <f>IFERROR(IF(AND(BS5&lt;&gt;BS37,ISNUMBER(BV37)),INDEX('1 ubicaciones'!$I$2:$I$22,BS37 + 1) + MAX(BV37,INDEX('1 ubicaciones'!$F$2:$F$22,BS37 + 1))," ")," ")</f>
        <v xml:space="preserve"> </v>
      </c>
      <c r="BX37" s="64" t="str">
        <f>IFERROR(IF(AND(BR37 = BR5, BR38 = ""), BV37 - BW5, BW37 - BW5)," ")</f>
        <v xml:space="preserve"> </v>
      </c>
      <c r="BY37" s="49" t="str">
        <f>IFERROR(IF(ISNUMBER(BS37),INDEX('1 ubicaciones'!$L$2:$L$22,BS37 + 1) + BY36," ")," ")</f>
        <v xml:space="preserve"> </v>
      </c>
      <c r="BZ37" s="58" t="str">
        <f>IFERROR(IF(ISNUMBER(BS37),INDEX('1 ubicaciones'!$J$2:$J$22,BS37 + 1)," ")," ")</f>
        <v xml:space="preserve"> </v>
      </c>
      <c r="CA37" s="58" t="str">
        <f>IFERROR(IF(ISNUMBER(BS37),INDEX('1 ubicaciones'!$K$2:$K$22,BS37 + 1)," ")," ")</f>
        <v xml:space="preserve"> </v>
      </c>
      <c r="CB37" s="58" t="str">
        <f>IFERROR(IF(ISNUMBER(BS37),IF(BR37 = BR5, 0, BZ37 + CB36)," ")," ")</f>
        <v xml:space="preserve"> </v>
      </c>
      <c r="CC37" s="58" t="str">
        <f>IFERROR(IF(ISNUMBER(BS37),IF(BR38 = BR5, 0, IF(BR38 = "", 0, CC38 + CA38))," ")," ")</f>
        <v xml:space="preserve"> </v>
      </c>
      <c r="CD37" s="49" t="str">
        <f t="shared" si="4"/>
        <v xml:space="preserve"> </v>
      </c>
      <c r="CH37" s="23">
        <v>32</v>
      </c>
      <c r="CI37" s="66"/>
      <c r="CJ37" s="49" t="str">
        <f>IFERROR(MATCH(CI37,'1 ubicaciones'!$B$2:$B$22, 0) - 1," ")</f>
        <v xml:space="preserve"> </v>
      </c>
      <c r="CK37" s="58" t="str">
        <f>IFERROR(IF(ISNUMBER(CJ37),INDEX('2.Distancias'!$C$2:$C$1445,CJ36*38+CJ37 + 2) +CK36," ")," ")</f>
        <v xml:space="preserve"> </v>
      </c>
      <c r="CL37" s="64" t="str">
        <f>IFERROR(IF(ISNUMBER(CJ37),'3.Vehículos'!$F$10 * INDEX('2.Distancias'!$D$2:$D$1445,CJ36*38+CJ37 + 2) +CL36," ")," ")</f>
        <v xml:space="preserve"> </v>
      </c>
      <c r="CM37" s="92" t="str">
        <f>IFERROR(IF(ISNUMBER(CJ37),'3.Vehículos'!$F$10 * INDEX('2.Distancias'!$D$2:$D$1445,CJ36*38+CJ37 + 2) +CN36," ")," ")</f>
        <v xml:space="preserve"> </v>
      </c>
      <c r="CN37" s="92" t="str">
        <f>IFERROR(IF(AND(CJ5&lt;&gt;CJ37,ISNUMBER(CM37)),INDEX('1 ubicaciones'!$I$2:$I$22,CJ37 + 1) + MAX(CM37,INDEX('1 ubicaciones'!$F$2:$F$22,CJ37 + 1))," ")," ")</f>
        <v xml:space="preserve"> </v>
      </c>
      <c r="CO37" s="64" t="str">
        <f>IFERROR(IF(AND(CI37 = CI5, CI38 = ""), CM37 - CN5, CN37 - CN5)," ")</f>
        <v xml:space="preserve"> </v>
      </c>
      <c r="CP37" s="49" t="str">
        <f>IFERROR(IF(ISNUMBER(CJ37),INDEX('1 ubicaciones'!$L$2:$L$22,CJ37 + 1) + CP36," ")," ")</f>
        <v xml:space="preserve"> </v>
      </c>
      <c r="CQ37" s="58" t="str">
        <f>IFERROR(IF(ISNUMBER(CJ37),INDEX('1 ubicaciones'!$J$2:$J$22,CJ37 + 1)," ")," ")</f>
        <v xml:space="preserve"> </v>
      </c>
      <c r="CR37" s="58" t="str">
        <f>IFERROR(IF(ISNUMBER(CJ37),INDEX('1 ubicaciones'!$K$2:$K$22,CJ37 + 1)," ")," ")</f>
        <v xml:space="preserve"> </v>
      </c>
      <c r="CS37" s="58" t="str">
        <f>IFERROR(IF(ISNUMBER(CJ37),IF(CI37 = CI5, 0, CQ37 + CS36)," ")," ")</f>
        <v xml:space="preserve"> </v>
      </c>
      <c r="CT37" s="58" t="str">
        <f>IFERROR(IF(ISNUMBER(CJ37),IF(CI38 = CI5, 0, IF(CI38 = "", 0, CT38 + CR38))," ")," ")</f>
        <v xml:space="preserve"> </v>
      </c>
      <c r="CU37" s="49" t="str">
        <f t="shared" si="5"/>
        <v xml:space="preserve"> </v>
      </c>
      <c r="CY37" s="23">
        <v>32</v>
      </c>
      <c r="CZ37" s="66"/>
      <c r="DA37" s="49" t="str">
        <f>IFERROR(MATCH(CZ37,'1 ubicaciones'!$B$2:$B$22, 0) - 1," ")</f>
        <v xml:space="preserve"> </v>
      </c>
      <c r="DB37" s="58" t="str">
        <f>IFERROR(IF(ISNUMBER(DA37),INDEX('2.Distancias'!$C$2:$C$1445,DA36*38+DA37 + 2) +DB36," ")," ")</f>
        <v xml:space="preserve"> </v>
      </c>
      <c r="DC37" s="64" t="str">
        <f>IFERROR(IF(ISNUMBER(DA37),'3.Vehículos'!$F$11 * INDEX('2.Distancias'!$D$2:$D$1445,DA36*38+DA37 + 2) +DC36," ")," ")</f>
        <v xml:space="preserve"> </v>
      </c>
      <c r="DD37" s="92" t="str">
        <f>IFERROR(IF(ISNUMBER(DA37),'3.Vehículos'!$F$11 * INDEX('2.Distancias'!$D$2:$D$1445,DA36*38+DA37 + 2) +DE36," ")," ")</f>
        <v xml:space="preserve"> </v>
      </c>
      <c r="DE37" s="92" t="str">
        <f>IFERROR(IF(AND(DA5&lt;&gt;DA37,ISNUMBER(DD37)),INDEX('1 ubicaciones'!$I$2:$I$22,DA37 + 1) + MAX(DD37,INDEX('1 ubicaciones'!$F$2:$F$22,DA37 + 1))," ")," ")</f>
        <v xml:space="preserve"> </v>
      </c>
      <c r="DF37" s="64" t="str">
        <f>IFERROR(IF(AND(CZ37 = CZ5, CZ38 = ""), DD37 - DE5, DE37 - DE5)," ")</f>
        <v xml:space="preserve"> </v>
      </c>
      <c r="DG37" s="49" t="str">
        <f>IFERROR(IF(ISNUMBER(DA37),INDEX('1 ubicaciones'!$L$2:$L$22,DA37 + 1) + DG36," ")," ")</f>
        <v xml:space="preserve"> </v>
      </c>
      <c r="DH37" s="58" t="str">
        <f>IFERROR(IF(ISNUMBER(DA37),INDEX('1 ubicaciones'!$J$2:$J$22,DA37 + 1)," ")," ")</f>
        <v xml:space="preserve"> </v>
      </c>
      <c r="DI37" s="58" t="str">
        <f>IFERROR(IF(ISNUMBER(DA37),INDEX('1 ubicaciones'!$K$2:$K$22,DA37 + 1)," ")," ")</f>
        <v xml:space="preserve"> </v>
      </c>
      <c r="DJ37" s="58" t="str">
        <f>IFERROR(IF(ISNUMBER(DA37),IF(CZ37 = CZ5, 0, DH37 + DJ36)," ")," ")</f>
        <v xml:space="preserve"> </v>
      </c>
      <c r="DK37" s="58" t="str">
        <f>IFERROR(IF(ISNUMBER(DA37),IF(CZ38 = CZ5, 0, IF(CZ38 = "", 0, DK38 + DI38))," ")," ")</f>
        <v xml:space="preserve"> </v>
      </c>
      <c r="DL37" s="49" t="str">
        <f t="shared" si="6"/>
        <v xml:space="preserve"> </v>
      </c>
      <c r="DP37" s="23">
        <v>32</v>
      </c>
      <c r="DQ37" s="66"/>
      <c r="DR37" s="49" t="str">
        <f>IFERROR(MATCH(DQ37,'1 ubicaciones'!$B$2:$B$22, 0) - 1," ")</f>
        <v xml:space="preserve"> </v>
      </c>
      <c r="DS37" s="58" t="str">
        <f>IFERROR(IF(ISNUMBER(DR37),INDEX('2.Distancias'!$C$2:$C$1445,DR36*38+DR37 + 2) +DS36," ")," ")</f>
        <v xml:space="preserve"> </v>
      </c>
      <c r="DT37" s="64" t="str">
        <f>IFERROR(IF(ISNUMBER(DR37),'3.Vehículos'!$F$18 * INDEX('2.Distancias'!$D$2:$D$1445,DR36*38+DR37 + 2) +DT36," ")," ")</f>
        <v xml:space="preserve"> </v>
      </c>
      <c r="DU37" s="92" t="str">
        <f>IFERROR(IF(ISNUMBER(DR37),'3.Vehículos'!$F$18 * INDEX('2.Distancias'!$D$2:$D$1445,DR36*38+DR37 + 2) +DV36," ")," ")</f>
        <v xml:space="preserve"> </v>
      </c>
      <c r="DV37" s="92" t="str">
        <f>IFERROR(IF(AND(DR5&lt;&gt;DR37,ISNUMBER(DU37)),INDEX('1 ubicaciones'!$I$2:$I$22,DR37 + 1) + MAX(DU37,INDEX('1 ubicaciones'!$F$2:$F$22,DR37 + 1))," ")," ")</f>
        <v xml:space="preserve"> </v>
      </c>
      <c r="DW37" s="64" t="str">
        <f>IFERROR(IF(AND(DQ37 = DQ5, DQ38 = ""), DU37 - DV5, DV37 - DV5)," ")</f>
        <v xml:space="preserve"> </v>
      </c>
      <c r="DX37" s="49" t="str">
        <f>IFERROR(IF(ISNUMBER(DR37),INDEX('1 ubicaciones'!$L$2:$L$22,DR37 + 1) + DX36," ")," ")</f>
        <v xml:space="preserve"> </v>
      </c>
      <c r="DY37" s="58" t="str">
        <f>IFERROR(IF(ISNUMBER(DR37),INDEX('1 ubicaciones'!$J$2:$J$22,DR37 + 1)," ")," ")</f>
        <v xml:space="preserve"> </v>
      </c>
      <c r="DZ37" s="58" t="str">
        <f>IFERROR(IF(ISNUMBER(DR37),INDEX('1 ubicaciones'!$K$2:$K$22,DR37 + 1)," ")," ")</f>
        <v xml:space="preserve"> </v>
      </c>
      <c r="EA37" s="58" t="str">
        <f>IFERROR(IF(ISNUMBER(DR37),IF(DQ37 = DQ5, 0, DY37 + EA36)," ")," ")</f>
        <v xml:space="preserve"> </v>
      </c>
      <c r="EB37" s="58" t="str">
        <f>IFERROR(IF(ISNUMBER(DR37),IF(DQ38 = DQ5, 0, IF(DQ38 = "", 0, EB38 + DZ38))," ")," ")</f>
        <v xml:space="preserve"> </v>
      </c>
      <c r="EC37" s="49" t="str">
        <f t="shared" si="7"/>
        <v xml:space="preserve"> </v>
      </c>
    </row>
    <row r="38" spans="1:133" x14ac:dyDescent="0.25">
      <c r="A38" s="23">
        <v>33</v>
      </c>
      <c r="B38" s="63"/>
      <c r="C38" s="49" t="str">
        <f>IFERROR(MATCH(B38,'1 ubicaciones'!$B$2:$B$22, 0) - 1," ")</f>
        <v xml:space="preserve"> </v>
      </c>
      <c r="D38" s="58" t="str">
        <f>IFERROR(IF(ISNUMBER(C38),INDEX('2.Distancias'!$C$2:$C$1445,C37*38+C38 + 2) +D37," ")," ")</f>
        <v xml:space="preserve"> </v>
      </c>
      <c r="E38" s="64" t="str">
        <f>IFERROR(IF(ISNUMBER(C38),'3.Vehículos'!$F$2 * INDEX('2.Distancias'!$D$2:$D$1445,C37*38+C38 + 2) +E37," ")," ")</f>
        <v xml:space="preserve"> </v>
      </c>
      <c r="F38" s="92" t="str">
        <f>IFERROR(IF(ISNUMBER(C38),'3.Vehículos'!$F$2 * INDEX('2.Distancias'!$D$2:$D$1445,C37*38+C38 + 2) +G37," ")," ")</f>
        <v xml:space="preserve"> </v>
      </c>
      <c r="G38" s="92" t="str">
        <f>IFERROR(IF(AND(C5&lt;&gt;C38,ISNUMBER(F38)),INDEX('1 ubicaciones'!$I$2:$I$22,C38 + 1) + MAX(F38,INDEX('1 ubicaciones'!$F$2:$F$22,C38 + 1))," ")," ")</f>
        <v xml:space="preserve"> </v>
      </c>
      <c r="H38" s="64" t="str">
        <f>IFERROR(IF(AND(B38 = B5, B39 = ""), F38 - G5, G38 - G5)," ")</f>
        <v xml:space="preserve"> </v>
      </c>
      <c r="I38" s="49" t="str">
        <f>IFERROR(IF(ISNUMBER(C38),INDEX('1 ubicaciones'!$L$2:$L$22,C38 + 1) + I37," ")," ")</f>
        <v xml:space="preserve"> </v>
      </c>
      <c r="J38" s="58" t="str">
        <f>IFERROR(IF(ISNUMBER(C38),INDEX('1 ubicaciones'!$J$2:$J$22,C38 + 1)," ")," ")</f>
        <v xml:space="preserve"> </v>
      </c>
      <c r="K38" s="58" t="str">
        <f>IFERROR(IF(ISNUMBER(C38),INDEX('1 ubicaciones'!$K$2:$K$22,C38 + 1)," ")," ")</f>
        <v xml:space="preserve"> </v>
      </c>
      <c r="L38" s="58" t="str">
        <f>IFERROR(IF(ISNUMBER(C38),IF(B38 = B5, 0, J38 + L37)," ")," ")</f>
        <v xml:space="preserve"> </v>
      </c>
      <c r="M38" s="58" t="str">
        <f>IFERROR(IF(ISNUMBER(C38),IF(B39 = B5, 0, IF(B39 = "", 0, M39 + K39))," ")," ")</f>
        <v xml:space="preserve"> </v>
      </c>
      <c r="N38" s="49" t="str">
        <f t="shared" si="0"/>
        <v xml:space="preserve"> </v>
      </c>
      <c r="R38" s="23">
        <v>33</v>
      </c>
      <c r="S38" s="63"/>
      <c r="T38" s="49" t="str">
        <f>IFERROR(MATCH(S38,'1 ubicaciones'!$B$2:$B$22, 0) - 1," ")</f>
        <v xml:space="preserve"> </v>
      </c>
      <c r="U38" s="58" t="str">
        <f>IFERROR(IF(ISNUMBER(T38),INDEX('2.Distancias'!$C$2:$C$1445,T37*38+T38 + 2) +U37," ")," ")</f>
        <v xml:space="preserve"> </v>
      </c>
      <c r="V38" s="64" t="str">
        <f>IFERROR(IF(ISNUMBER(T38),'3.Vehículos'!$F$3 * INDEX('2.Distancias'!$D$2:$D$1445,T37*38+T38 + 2) +V37," ")," ")</f>
        <v xml:space="preserve"> </v>
      </c>
      <c r="W38" s="92" t="str">
        <f>IFERROR(IF(ISNUMBER(T38),'3.Vehículos'!$F$3 * INDEX('2.Distancias'!$D$2:$D$1445,T37*38+T38 + 2) +X37," ")," ")</f>
        <v xml:space="preserve"> </v>
      </c>
      <c r="X38" s="92" t="str">
        <f>IFERROR(IF(AND(T5&lt;&gt;T38,ISNUMBER(W38)),INDEX('1 ubicaciones'!$I$2:$I$22,T38 + 1) + MAX(W38,INDEX('1 ubicaciones'!$F$2:$F$22,T38 + 1))," ")," ")</f>
        <v xml:space="preserve"> </v>
      </c>
      <c r="Y38" s="64" t="str">
        <f>IFERROR(IF(AND(S38 = S5, S39 = ""), W38 - X5, X38 - X5)," ")</f>
        <v xml:space="preserve"> </v>
      </c>
      <c r="Z38" s="49" t="str">
        <f>IFERROR(IF(ISNUMBER(T38),INDEX('1 ubicaciones'!$L$2:$L$22,T38 + 1) + Z37," ")," ")</f>
        <v xml:space="preserve"> </v>
      </c>
      <c r="AA38" s="58" t="str">
        <f>IFERROR(IF(ISNUMBER(T38),INDEX('1 ubicaciones'!$J$2:$J$22,T38 + 1)," ")," ")</f>
        <v xml:space="preserve"> </v>
      </c>
      <c r="AB38" s="58" t="str">
        <f>IFERROR(IF(ISNUMBER(T38),INDEX('1 ubicaciones'!$K$2:$K$22,T38 + 1)," ")," ")</f>
        <v xml:space="preserve"> </v>
      </c>
      <c r="AC38" s="58" t="str">
        <f>IFERROR(IF(ISNUMBER(T38),IF(S38 = S5, 0, AA38 + AC37)," ")," ")</f>
        <v xml:space="preserve"> </v>
      </c>
      <c r="AD38" s="58" t="str">
        <f>IFERROR(IF(ISNUMBER(T38),IF(S39 = S5, 0, IF(S39 = "", 0, AD39 + AB39))," ")," ")</f>
        <v xml:space="preserve"> </v>
      </c>
      <c r="AE38" s="49" t="str">
        <f t="shared" si="1"/>
        <v xml:space="preserve"> </v>
      </c>
      <c r="AI38" s="23">
        <v>33</v>
      </c>
      <c r="AJ38" s="63"/>
      <c r="AK38" s="49" t="str">
        <f>IFERROR(MATCH(AJ38,'1 ubicaciones'!$B$2:$B$22, 0) - 1," ")</f>
        <v xml:space="preserve"> </v>
      </c>
      <c r="AL38" s="58" t="str">
        <f>IFERROR(IF(ISNUMBER(AK38),INDEX('2.Distancias'!$C$2:$C$1445,AK37*38+AK38 + 2) +AL37," ")," ")</f>
        <v xml:space="preserve"> </v>
      </c>
      <c r="AM38" s="64" t="str">
        <f>IFERROR(IF(ISNUMBER(AK38),'3.Vehículos'!$F$4 * INDEX('2.Distancias'!$D$2:$D$1445,AK37*38+AK38 + 2) +AM37," ")," ")</f>
        <v xml:space="preserve"> </v>
      </c>
      <c r="AN38" s="92" t="str">
        <f>IFERROR(IF(ISNUMBER(AK38),'3.Vehículos'!$F$4 * INDEX('2.Distancias'!$D$2:$D$1445,AK37*38+AK38 + 2) +AO37," ")," ")</f>
        <v xml:space="preserve"> </v>
      </c>
      <c r="AO38" s="92" t="str">
        <f>IFERROR(IF(AND(AK5&lt;&gt;AK38,ISNUMBER(AN38)),INDEX('1 ubicaciones'!$I$2:$I$22,AK38 + 1) + MAX(AN38,INDEX('1 ubicaciones'!$F$2:$F$22,AK38 + 1))," ")," ")</f>
        <v xml:space="preserve"> </v>
      </c>
      <c r="AP38" s="64" t="str">
        <f>IFERROR(IF(AND(AJ38 = AJ5, AJ39 = ""), AN38 - AO5, AO38 - AO5)," ")</f>
        <v xml:space="preserve"> </v>
      </c>
      <c r="AQ38" s="49" t="str">
        <f>IFERROR(IF(ISNUMBER(AK38),INDEX('1 ubicaciones'!$L$2:$L$22,AK38 + 1) + AQ37," ")," ")</f>
        <v xml:space="preserve"> </v>
      </c>
      <c r="AR38" s="58" t="str">
        <f>IFERROR(IF(ISNUMBER(AK38),INDEX('1 ubicaciones'!$J$2:$J$22,AK38 + 1)," ")," ")</f>
        <v xml:space="preserve"> </v>
      </c>
      <c r="AS38" s="58" t="str">
        <f>IFERROR(IF(ISNUMBER(AK38),INDEX('1 ubicaciones'!$K$2:$K$22,AK38 + 1)," ")," ")</f>
        <v xml:space="preserve"> </v>
      </c>
      <c r="AT38" s="58" t="str">
        <f>IFERROR(IF(ISNUMBER(AK38),IF(AJ38 = AJ5, 0, AR38 + AT37)," ")," ")</f>
        <v xml:space="preserve"> </v>
      </c>
      <c r="AU38" s="58" t="str">
        <f>IFERROR(IF(ISNUMBER(AK38),IF(AJ39 = AJ5, 0, IF(AJ39 = "", 0, AU39 + AS39))," ")," ")</f>
        <v xml:space="preserve"> </v>
      </c>
      <c r="AV38" s="49" t="str">
        <f t="shared" si="2"/>
        <v xml:space="preserve"> </v>
      </c>
      <c r="AZ38" s="23">
        <v>33</v>
      </c>
      <c r="BA38" s="63"/>
      <c r="BB38" s="49" t="str">
        <f>IFERROR(MATCH(BA38,'1 ubicaciones'!$B$2:$B$22, 0) - 1," ")</f>
        <v xml:space="preserve"> </v>
      </c>
      <c r="BC38" s="58" t="str">
        <f>IFERROR(IF(ISNUMBER(BB38),INDEX('2.Distancias'!$C$2:$C$1445,BB37*38+BB38 + 2) +BC37," ")," ")</f>
        <v xml:space="preserve"> </v>
      </c>
      <c r="BD38" s="64" t="str">
        <f>IFERROR(IF(ISNUMBER(BB38),'3.Vehículos'!$F$5 * INDEX('2.Distancias'!$D$2:$D$1445,BB37*38+BB38 + 2) +BD37," ")," ")</f>
        <v xml:space="preserve"> </v>
      </c>
      <c r="BE38" s="92" t="str">
        <f>IFERROR(IF(ISNUMBER(BB38),'3.Vehículos'!$F$5 * INDEX('2.Distancias'!$D$2:$D$1445,BB37*38+BB38 + 2) +BF37," ")," ")</f>
        <v xml:space="preserve"> </v>
      </c>
      <c r="BF38" s="92" t="str">
        <f>IFERROR(IF(AND(BB5&lt;&gt;BB38,ISNUMBER(BE38)),INDEX('1 ubicaciones'!$I$2:$I$22,BB38 + 1) + MAX(BE38,INDEX('1 ubicaciones'!$F$2:$F$22,BB38 + 1))," ")," ")</f>
        <v xml:space="preserve"> </v>
      </c>
      <c r="BG38" s="64" t="str">
        <f>IFERROR(IF(AND(BA38 = BA5, BA39 = ""), BE38 - BF5, BF38 - BF5)," ")</f>
        <v xml:space="preserve"> </v>
      </c>
      <c r="BH38" s="49" t="str">
        <f>IFERROR(IF(ISNUMBER(BB38),INDEX('1 ubicaciones'!$L$2:$L$22,BB38 + 1) + BH37," ")," ")</f>
        <v xml:space="preserve"> </v>
      </c>
      <c r="BI38" s="58" t="str">
        <f>IFERROR(IF(ISNUMBER(BB38),INDEX('1 ubicaciones'!$J$2:$J$22,BB38 + 1)," ")," ")</f>
        <v xml:space="preserve"> </v>
      </c>
      <c r="BJ38" s="58" t="str">
        <f>IFERROR(IF(ISNUMBER(BB38),INDEX('1 ubicaciones'!$K$2:$K$22,BB38 + 1)," ")," ")</f>
        <v xml:space="preserve"> </v>
      </c>
      <c r="BK38" s="58" t="str">
        <f>IFERROR(IF(ISNUMBER(BB38),IF(BA38 = BA5, 0, BI38 + BK37)," ")," ")</f>
        <v xml:space="preserve"> </v>
      </c>
      <c r="BL38" s="58" t="str">
        <f>IFERROR(IF(ISNUMBER(BB38),IF(BA39 = BA5, 0, IF(BA39 = "", 0, BL39 + BJ39))," ")," ")</f>
        <v xml:space="preserve"> </v>
      </c>
      <c r="BM38" s="49" t="str">
        <f t="shared" si="3"/>
        <v xml:space="preserve"> </v>
      </c>
      <c r="BQ38" s="23">
        <v>33</v>
      </c>
      <c r="BR38" s="63"/>
      <c r="BS38" s="49" t="str">
        <f>IFERROR(MATCH(BR38,'1 ubicaciones'!$B$2:$B$22, 0) - 1," ")</f>
        <v xml:space="preserve"> </v>
      </c>
      <c r="BT38" s="58" t="str">
        <f>IFERROR(IF(ISNUMBER(BS38),INDEX('2.Distancias'!$C$2:$C$1445,BS37*38+BS38 + 2) +BT37," ")," ")</f>
        <v xml:space="preserve"> </v>
      </c>
      <c r="BU38" s="64" t="str">
        <f>IFERROR(IF(ISNUMBER(BS38),'3.Vehículos'!$F$6 * INDEX('2.Distancias'!$D$2:$D$1445,BS37*38+BS38 + 2) +BU37," ")," ")</f>
        <v xml:space="preserve"> </v>
      </c>
      <c r="BV38" s="92" t="str">
        <f>IFERROR(IF(ISNUMBER(BS38),'3.Vehículos'!$F$6 * INDEX('2.Distancias'!$D$2:$D$1445,BS37*38+BS38 + 2) +BW37," ")," ")</f>
        <v xml:space="preserve"> </v>
      </c>
      <c r="BW38" s="92" t="str">
        <f>IFERROR(IF(AND(BS5&lt;&gt;BS38,ISNUMBER(BV38)),INDEX('1 ubicaciones'!$I$2:$I$22,BS38 + 1) + MAX(BV38,INDEX('1 ubicaciones'!$F$2:$F$22,BS38 + 1))," ")," ")</f>
        <v xml:space="preserve"> </v>
      </c>
      <c r="BX38" s="64" t="str">
        <f>IFERROR(IF(AND(BR38 = BR5, BR39 = ""), BV38 - BW5, BW38 - BW5)," ")</f>
        <v xml:space="preserve"> </v>
      </c>
      <c r="BY38" s="49" t="str">
        <f>IFERROR(IF(ISNUMBER(BS38),INDEX('1 ubicaciones'!$L$2:$L$22,BS38 + 1) + BY37," ")," ")</f>
        <v xml:space="preserve"> </v>
      </c>
      <c r="BZ38" s="58" t="str">
        <f>IFERROR(IF(ISNUMBER(BS38),INDEX('1 ubicaciones'!$J$2:$J$22,BS38 + 1)," ")," ")</f>
        <v xml:space="preserve"> </v>
      </c>
      <c r="CA38" s="58" t="str">
        <f>IFERROR(IF(ISNUMBER(BS38),INDEX('1 ubicaciones'!$K$2:$K$22,BS38 + 1)," ")," ")</f>
        <v xml:space="preserve"> </v>
      </c>
      <c r="CB38" s="58" t="str">
        <f>IFERROR(IF(ISNUMBER(BS38),IF(BR38 = BR5, 0, BZ38 + CB37)," ")," ")</f>
        <v xml:space="preserve"> </v>
      </c>
      <c r="CC38" s="58" t="str">
        <f>IFERROR(IF(ISNUMBER(BS38),IF(BR39 = BR5, 0, IF(BR39 = "", 0, CC39 + CA39))," ")," ")</f>
        <v xml:space="preserve"> </v>
      </c>
      <c r="CD38" s="49" t="str">
        <f t="shared" si="4"/>
        <v xml:space="preserve"> </v>
      </c>
      <c r="CH38" s="23">
        <v>33</v>
      </c>
      <c r="CI38" s="63"/>
      <c r="CJ38" s="49" t="str">
        <f>IFERROR(MATCH(CI38,'1 ubicaciones'!$B$2:$B$22, 0) - 1," ")</f>
        <v xml:space="preserve"> </v>
      </c>
      <c r="CK38" s="58" t="str">
        <f>IFERROR(IF(ISNUMBER(CJ38),INDEX('2.Distancias'!$C$2:$C$1445,CJ37*38+CJ38 + 2) +CK37," ")," ")</f>
        <v xml:space="preserve"> </v>
      </c>
      <c r="CL38" s="64" t="str">
        <f>IFERROR(IF(ISNUMBER(CJ38),'3.Vehículos'!$F$10 * INDEX('2.Distancias'!$D$2:$D$1445,CJ37*38+CJ38 + 2) +CL37," ")," ")</f>
        <v xml:space="preserve"> </v>
      </c>
      <c r="CM38" s="92" t="str">
        <f>IFERROR(IF(ISNUMBER(CJ38),'3.Vehículos'!$F$10 * INDEX('2.Distancias'!$D$2:$D$1445,CJ37*38+CJ38 + 2) +CN37," ")," ")</f>
        <v xml:space="preserve"> </v>
      </c>
      <c r="CN38" s="92" t="str">
        <f>IFERROR(IF(AND(CJ5&lt;&gt;CJ38,ISNUMBER(CM38)),INDEX('1 ubicaciones'!$I$2:$I$22,CJ38 + 1) + MAX(CM38,INDEX('1 ubicaciones'!$F$2:$F$22,CJ38 + 1))," ")," ")</f>
        <v xml:space="preserve"> </v>
      </c>
      <c r="CO38" s="64" t="str">
        <f>IFERROR(IF(AND(CI38 = CI5, CI39 = ""), CM38 - CN5, CN38 - CN5)," ")</f>
        <v xml:space="preserve"> </v>
      </c>
      <c r="CP38" s="49" t="str">
        <f>IFERROR(IF(ISNUMBER(CJ38),INDEX('1 ubicaciones'!$L$2:$L$22,CJ38 + 1) + CP37," ")," ")</f>
        <v xml:space="preserve"> </v>
      </c>
      <c r="CQ38" s="58" t="str">
        <f>IFERROR(IF(ISNUMBER(CJ38),INDEX('1 ubicaciones'!$J$2:$J$22,CJ38 + 1)," ")," ")</f>
        <v xml:space="preserve"> </v>
      </c>
      <c r="CR38" s="58" t="str">
        <f>IFERROR(IF(ISNUMBER(CJ38),INDEX('1 ubicaciones'!$K$2:$K$22,CJ38 + 1)," ")," ")</f>
        <v xml:space="preserve"> </v>
      </c>
      <c r="CS38" s="58" t="str">
        <f>IFERROR(IF(ISNUMBER(CJ38),IF(CI38 = CI5, 0, CQ38 + CS37)," ")," ")</f>
        <v xml:space="preserve"> </v>
      </c>
      <c r="CT38" s="58" t="str">
        <f>IFERROR(IF(ISNUMBER(CJ38),IF(CI39 = CI5, 0, IF(CI39 = "", 0, CT39 + CR39))," ")," ")</f>
        <v xml:space="preserve"> </v>
      </c>
      <c r="CU38" s="49" t="str">
        <f t="shared" si="5"/>
        <v xml:space="preserve"> </v>
      </c>
      <c r="CY38" s="23">
        <v>33</v>
      </c>
      <c r="CZ38" s="63"/>
      <c r="DA38" s="49" t="str">
        <f>IFERROR(MATCH(CZ38,'1 ubicaciones'!$B$2:$B$22, 0) - 1," ")</f>
        <v xml:space="preserve"> </v>
      </c>
      <c r="DB38" s="58" t="str">
        <f>IFERROR(IF(ISNUMBER(DA38),INDEX('2.Distancias'!$C$2:$C$1445,DA37*38+DA38 + 2) +DB37," ")," ")</f>
        <v xml:space="preserve"> </v>
      </c>
      <c r="DC38" s="64" t="str">
        <f>IFERROR(IF(ISNUMBER(DA38),'3.Vehículos'!$F$11 * INDEX('2.Distancias'!$D$2:$D$1445,DA37*38+DA38 + 2) +DC37," ")," ")</f>
        <v xml:space="preserve"> </v>
      </c>
      <c r="DD38" s="92" t="str">
        <f>IFERROR(IF(ISNUMBER(DA38),'3.Vehículos'!$F$11 * INDEX('2.Distancias'!$D$2:$D$1445,DA37*38+DA38 + 2) +DE37," ")," ")</f>
        <v xml:space="preserve"> </v>
      </c>
      <c r="DE38" s="92" t="str">
        <f>IFERROR(IF(AND(DA5&lt;&gt;DA38,ISNUMBER(DD38)),INDEX('1 ubicaciones'!$I$2:$I$22,DA38 + 1) + MAX(DD38,INDEX('1 ubicaciones'!$F$2:$F$22,DA38 + 1))," ")," ")</f>
        <v xml:space="preserve"> </v>
      </c>
      <c r="DF38" s="64" t="str">
        <f>IFERROR(IF(AND(CZ38 = CZ5, CZ39 = ""), DD38 - DE5, DE38 - DE5)," ")</f>
        <v xml:space="preserve"> </v>
      </c>
      <c r="DG38" s="49" t="str">
        <f>IFERROR(IF(ISNUMBER(DA38),INDEX('1 ubicaciones'!$L$2:$L$22,DA38 + 1) + DG37," ")," ")</f>
        <v xml:space="preserve"> </v>
      </c>
      <c r="DH38" s="58" t="str">
        <f>IFERROR(IF(ISNUMBER(DA38),INDEX('1 ubicaciones'!$J$2:$J$22,DA38 + 1)," ")," ")</f>
        <v xml:space="preserve"> </v>
      </c>
      <c r="DI38" s="58" t="str">
        <f>IFERROR(IF(ISNUMBER(DA38),INDEX('1 ubicaciones'!$K$2:$K$22,DA38 + 1)," ")," ")</f>
        <v xml:space="preserve"> </v>
      </c>
      <c r="DJ38" s="58" t="str">
        <f>IFERROR(IF(ISNUMBER(DA38),IF(CZ38 = CZ5, 0, DH38 + DJ37)," ")," ")</f>
        <v xml:space="preserve"> </v>
      </c>
      <c r="DK38" s="58" t="str">
        <f>IFERROR(IF(ISNUMBER(DA38),IF(CZ39 = CZ5, 0, IF(CZ39 = "", 0, DK39 + DI39))," ")," ")</f>
        <v xml:space="preserve"> </v>
      </c>
      <c r="DL38" s="49" t="str">
        <f t="shared" si="6"/>
        <v xml:space="preserve"> </v>
      </c>
      <c r="DP38" s="23">
        <v>33</v>
      </c>
      <c r="DQ38" s="63"/>
      <c r="DR38" s="49" t="str">
        <f>IFERROR(MATCH(DQ38,'1 ubicaciones'!$B$2:$B$22, 0) - 1," ")</f>
        <v xml:space="preserve"> </v>
      </c>
      <c r="DS38" s="58" t="str">
        <f>IFERROR(IF(ISNUMBER(DR38),INDEX('2.Distancias'!$C$2:$C$1445,DR37*38+DR38 + 2) +DS37," ")," ")</f>
        <v xml:space="preserve"> </v>
      </c>
      <c r="DT38" s="64" t="str">
        <f>IFERROR(IF(ISNUMBER(DR38),'3.Vehículos'!$F$18 * INDEX('2.Distancias'!$D$2:$D$1445,DR37*38+DR38 + 2) +DT37," ")," ")</f>
        <v xml:space="preserve"> </v>
      </c>
      <c r="DU38" s="92" t="str">
        <f>IFERROR(IF(ISNUMBER(DR38),'3.Vehículos'!$F$18 * INDEX('2.Distancias'!$D$2:$D$1445,DR37*38+DR38 + 2) +DV37," ")," ")</f>
        <v xml:space="preserve"> </v>
      </c>
      <c r="DV38" s="92" t="str">
        <f>IFERROR(IF(AND(DR5&lt;&gt;DR38,ISNUMBER(DU38)),INDEX('1 ubicaciones'!$I$2:$I$22,DR38 + 1) + MAX(DU38,INDEX('1 ubicaciones'!$F$2:$F$22,DR38 + 1))," ")," ")</f>
        <v xml:space="preserve"> </v>
      </c>
      <c r="DW38" s="64" t="str">
        <f>IFERROR(IF(AND(DQ38 = DQ5, DQ39 = ""), DU38 - DV5, DV38 - DV5)," ")</f>
        <v xml:space="preserve"> </v>
      </c>
      <c r="DX38" s="49" t="str">
        <f>IFERROR(IF(ISNUMBER(DR38),INDEX('1 ubicaciones'!$L$2:$L$22,DR38 + 1) + DX37," ")," ")</f>
        <v xml:space="preserve"> </v>
      </c>
      <c r="DY38" s="58" t="str">
        <f>IFERROR(IF(ISNUMBER(DR38),INDEX('1 ubicaciones'!$J$2:$J$22,DR38 + 1)," ")," ")</f>
        <v xml:space="preserve"> </v>
      </c>
      <c r="DZ38" s="58" t="str">
        <f>IFERROR(IF(ISNUMBER(DR38),INDEX('1 ubicaciones'!$K$2:$K$22,DR38 + 1)," ")," ")</f>
        <v xml:space="preserve"> </v>
      </c>
      <c r="EA38" s="58" t="str">
        <f>IFERROR(IF(ISNUMBER(DR38),IF(DQ38 = DQ5, 0, DY38 + EA37)," ")," ")</f>
        <v xml:space="preserve"> </v>
      </c>
      <c r="EB38" s="58" t="str">
        <f>IFERROR(IF(ISNUMBER(DR38),IF(DQ39 = DQ5, 0, IF(DQ39 = "", 0, EB39 + DZ39))," ")," ")</f>
        <v xml:space="preserve"> </v>
      </c>
      <c r="EC38" s="49" t="str">
        <f t="shared" si="7"/>
        <v xml:space="preserve"> </v>
      </c>
    </row>
    <row r="39" spans="1:133" x14ac:dyDescent="0.25">
      <c r="A39" s="23">
        <v>34</v>
      </c>
      <c r="B39" s="66"/>
      <c r="C39" s="49" t="str">
        <f>IFERROR(MATCH(B39,'1 ubicaciones'!$B$2:$B$22, 0) - 1," ")</f>
        <v xml:space="preserve"> </v>
      </c>
      <c r="D39" s="58" t="str">
        <f>IFERROR(IF(ISNUMBER(C39),INDEX('2.Distancias'!$C$2:$C$1445,C38*38+C39 + 2) +D38," ")," ")</f>
        <v xml:space="preserve"> </v>
      </c>
      <c r="E39" s="64" t="str">
        <f>IFERROR(IF(ISNUMBER(C39),'3.Vehículos'!$F$2 * INDEX('2.Distancias'!$D$2:$D$1445,C38*38+C39 + 2) +E38," ")," ")</f>
        <v xml:space="preserve"> </v>
      </c>
      <c r="F39" s="92" t="str">
        <f>IFERROR(IF(ISNUMBER(C39),'3.Vehículos'!$F$2 * INDEX('2.Distancias'!$D$2:$D$1445,C38*38+C39 + 2) +G38," ")," ")</f>
        <v xml:space="preserve"> </v>
      </c>
      <c r="G39" s="92" t="str">
        <f>IFERROR(IF(AND(C5&lt;&gt;C39,ISNUMBER(F39)),INDEX('1 ubicaciones'!$I$2:$I$22,C39 + 1) + MAX(F39,INDEX('1 ubicaciones'!$F$2:$F$22,C39 + 1))," ")," ")</f>
        <v xml:space="preserve"> </v>
      </c>
      <c r="H39" s="64" t="str">
        <f>IFERROR(IF(AND(B39 = B5, B40 = ""), F39 - G5, G39 - G5)," ")</f>
        <v xml:space="preserve"> </v>
      </c>
      <c r="I39" s="49" t="str">
        <f>IFERROR(IF(ISNUMBER(C39),INDEX('1 ubicaciones'!$L$2:$L$22,C39 + 1) + I38," ")," ")</f>
        <v xml:space="preserve"> </v>
      </c>
      <c r="J39" s="58" t="str">
        <f>IFERROR(IF(ISNUMBER(C39),INDEX('1 ubicaciones'!$J$2:$J$22,C39 + 1)," ")," ")</f>
        <v xml:space="preserve"> </v>
      </c>
      <c r="K39" s="58" t="str">
        <f>IFERROR(IF(ISNUMBER(C39),INDEX('1 ubicaciones'!$K$2:$K$22,C39 + 1)," ")," ")</f>
        <v xml:space="preserve"> </v>
      </c>
      <c r="L39" s="58" t="str">
        <f>IFERROR(IF(ISNUMBER(C39),IF(B39 = B5, 0, J39 + L38)," ")," ")</f>
        <v xml:space="preserve"> </v>
      </c>
      <c r="M39" s="58" t="str">
        <f>IFERROR(IF(ISNUMBER(C39),IF(B40 = B5, 0, IF(B40 = "", 0, M40 + K40))," ")," ")</f>
        <v xml:space="preserve"> </v>
      </c>
      <c r="N39" s="49" t="str">
        <f t="shared" si="0"/>
        <v xml:space="preserve"> </v>
      </c>
      <c r="R39" s="23">
        <v>34</v>
      </c>
      <c r="S39" s="66"/>
      <c r="T39" s="49" t="str">
        <f>IFERROR(MATCH(S39,'1 ubicaciones'!$B$2:$B$22, 0) - 1," ")</f>
        <v xml:space="preserve"> </v>
      </c>
      <c r="U39" s="58" t="str">
        <f>IFERROR(IF(ISNUMBER(T39),INDEX('2.Distancias'!$C$2:$C$1445,T38*38+T39 + 2) +U38," ")," ")</f>
        <v xml:space="preserve"> </v>
      </c>
      <c r="V39" s="64" t="str">
        <f>IFERROR(IF(ISNUMBER(T39),'3.Vehículos'!$F$3 * INDEX('2.Distancias'!$D$2:$D$1445,T38*38+T39 + 2) +V38," ")," ")</f>
        <v xml:space="preserve"> </v>
      </c>
      <c r="W39" s="92" t="str">
        <f>IFERROR(IF(ISNUMBER(T39),'3.Vehículos'!$F$3 * INDEX('2.Distancias'!$D$2:$D$1445,T38*38+T39 + 2) +X38," ")," ")</f>
        <v xml:space="preserve"> </v>
      </c>
      <c r="X39" s="92" t="str">
        <f>IFERROR(IF(AND(T5&lt;&gt;T39,ISNUMBER(W39)),INDEX('1 ubicaciones'!$I$2:$I$22,T39 + 1) + MAX(W39,INDEX('1 ubicaciones'!$F$2:$F$22,T39 + 1))," ")," ")</f>
        <v xml:space="preserve"> </v>
      </c>
      <c r="Y39" s="64" t="str">
        <f>IFERROR(IF(AND(S39 = S5, S40 = ""), W39 - X5, X39 - X5)," ")</f>
        <v xml:space="preserve"> </v>
      </c>
      <c r="Z39" s="49" t="str">
        <f>IFERROR(IF(ISNUMBER(T39),INDEX('1 ubicaciones'!$L$2:$L$22,T39 + 1) + Z38," ")," ")</f>
        <v xml:space="preserve"> </v>
      </c>
      <c r="AA39" s="58" t="str">
        <f>IFERROR(IF(ISNUMBER(T39),INDEX('1 ubicaciones'!$J$2:$J$22,T39 + 1)," ")," ")</f>
        <v xml:space="preserve"> </v>
      </c>
      <c r="AB39" s="58" t="str">
        <f>IFERROR(IF(ISNUMBER(T39),INDEX('1 ubicaciones'!$K$2:$K$22,T39 + 1)," ")," ")</f>
        <v xml:space="preserve"> </v>
      </c>
      <c r="AC39" s="58" t="str">
        <f>IFERROR(IF(ISNUMBER(T39),IF(S39 = S5, 0, AA39 + AC38)," ")," ")</f>
        <v xml:space="preserve"> </v>
      </c>
      <c r="AD39" s="58" t="str">
        <f>IFERROR(IF(ISNUMBER(T39),IF(S40 = S5, 0, IF(S40 = "", 0, AD40 + AB40))," ")," ")</f>
        <v xml:space="preserve"> </v>
      </c>
      <c r="AE39" s="49" t="str">
        <f t="shared" si="1"/>
        <v xml:space="preserve"> </v>
      </c>
      <c r="AI39" s="23">
        <v>34</v>
      </c>
      <c r="AJ39" s="66"/>
      <c r="AK39" s="49" t="str">
        <f>IFERROR(MATCH(AJ39,'1 ubicaciones'!$B$2:$B$22, 0) - 1," ")</f>
        <v xml:space="preserve"> </v>
      </c>
      <c r="AL39" s="58" t="str">
        <f>IFERROR(IF(ISNUMBER(AK39),INDEX('2.Distancias'!$C$2:$C$1445,AK38*38+AK39 + 2) +AL38," ")," ")</f>
        <v xml:space="preserve"> </v>
      </c>
      <c r="AM39" s="64" t="str">
        <f>IFERROR(IF(ISNUMBER(AK39),'3.Vehículos'!$F$4 * INDEX('2.Distancias'!$D$2:$D$1445,AK38*38+AK39 + 2) +AM38," ")," ")</f>
        <v xml:space="preserve"> </v>
      </c>
      <c r="AN39" s="92" t="str">
        <f>IFERROR(IF(ISNUMBER(AK39),'3.Vehículos'!$F$4 * INDEX('2.Distancias'!$D$2:$D$1445,AK38*38+AK39 + 2) +AO38," ")," ")</f>
        <v xml:space="preserve"> </v>
      </c>
      <c r="AO39" s="92" t="str">
        <f>IFERROR(IF(AND(AK5&lt;&gt;AK39,ISNUMBER(AN39)),INDEX('1 ubicaciones'!$I$2:$I$22,AK39 + 1) + MAX(AN39,INDEX('1 ubicaciones'!$F$2:$F$22,AK39 + 1))," ")," ")</f>
        <v xml:space="preserve"> </v>
      </c>
      <c r="AP39" s="64" t="str">
        <f>IFERROR(IF(AND(AJ39 = AJ5, AJ40 = ""), AN39 - AO5, AO39 - AO5)," ")</f>
        <v xml:space="preserve"> </v>
      </c>
      <c r="AQ39" s="49" t="str">
        <f>IFERROR(IF(ISNUMBER(AK39),INDEX('1 ubicaciones'!$L$2:$L$22,AK39 + 1) + AQ38," ")," ")</f>
        <v xml:space="preserve"> </v>
      </c>
      <c r="AR39" s="58" t="str">
        <f>IFERROR(IF(ISNUMBER(AK39),INDEX('1 ubicaciones'!$J$2:$J$22,AK39 + 1)," ")," ")</f>
        <v xml:space="preserve"> </v>
      </c>
      <c r="AS39" s="58" t="str">
        <f>IFERROR(IF(ISNUMBER(AK39),INDEX('1 ubicaciones'!$K$2:$K$22,AK39 + 1)," ")," ")</f>
        <v xml:space="preserve"> </v>
      </c>
      <c r="AT39" s="58" t="str">
        <f>IFERROR(IF(ISNUMBER(AK39),IF(AJ39 = AJ5, 0, AR39 + AT38)," ")," ")</f>
        <v xml:space="preserve"> </v>
      </c>
      <c r="AU39" s="58" t="str">
        <f>IFERROR(IF(ISNUMBER(AK39),IF(AJ40 = AJ5, 0, IF(AJ40 = "", 0, AU40 + AS40))," ")," ")</f>
        <v xml:space="preserve"> </v>
      </c>
      <c r="AV39" s="49" t="str">
        <f t="shared" si="2"/>
        <v xml:space="preserve"> </v>
      </c>
      <c r="AZ39" s="23">
        <v>34</v>
      </c>
      <c r="BA39" s="66"/>
      <c r="BB39" s="49" t="str">
        <f>IFERROR(MATCH(BA39,'1 ubicaciones'!$B$2:$B$22, 0) - 1," ")</f>
        <v xml:space="preserve"> </v>
      </c>
      <c r="BC39" s="58" t="str">
        <f>IFERROR(IF(ISNUMBER(BB39),INDEX('2.Distancias'!$C$2:$C$1445,BB38*38+BB39 + 2) +BC38," ")," ")</f>
        <v xml:space="preserve"> </v>
      </c>
      <c r="BD39" s="64" t="str">
        <f>IFERROR(IF(ISNUMBER(BB39),'3.Vehículos'!$F$5 * INDEX('2.Distancias'!$D$2:$D$1445,BB38*38+BB39 + 2) +BD38," ")," ")</f>
        <v xml:space="preserve"> </v>
      </c>
      <c r="BE39" s="92" t="str">
        <f>IFERROR(IF(ISNUMBER(BB39),'3.Vehículos'!$F$5 * INDEX('2.Distancias'!$D$2:$D$1445,BB38*38+BB39 + 2) +BF38," ")," ")</f>
        <v xml:space="preserve"> </v>
      </c>
      <c r="BF39" s="92" t="str">
        <f>IFERROR(IF(AND(BB5&lt;&gt;BB39,ISNUMBER(BE39)),INDEX('1 ubicaciones'!$I$2:$I$22,BB39 + 1) + MAX(BE39,INDEX('1 ubicaciones'!$F$2:$F$22,BB39 + 1))," ")," ")</f>
        <v xml:space="preserve"> </v>
      </c>
      <c r="BG39" s="64" t="str">
        <f>IFERROR(IF(AND(BA39 = BA5, BA40 = ""), BE39 - BF5, BF39 - BF5)," ")</f>
        <v xml:space="preserve"> </v>
      </c>
      <c r="BH39" s="49" t="str">
        <f>IFERROR(IF(ISNUMBER(BB39),INDEX('1 ubicaciones'!$L$2:$L$22,BB39 + 1) + BH38," ")," ")</f>
        <v xml:space="preserve"> </v>
      </c>
      <c r="BI39" s="58" t="str">
        <f>IFERROR(IF(ISNUMBER(BB39),INDEX('1 ubicaciones'!$J$2:$J$22,BB39 + 1)," ")," ")</f>
        <v xml:space="preserve"> </v>
      </c>
      <c r="BJ39" s="58" t="str">
        <f>IFERROR(IF(ISNUMBER(BB39),INDEX('1 ubicaciones'!$K$2:$K$22,BB39 + 1)," ")," ")</f>
        <v xml:space="preserve"> </v>
      </c>
      <c r="BK39" s="58" t="str">
        <f>IFERROR(IF(ISNUMBER(BB39),IF(BA39 = BA5, 0, BI39 + BK38)," ")," ")</f>
        <v xml:space="preserve"> </v>
      </c>
      <c r="BL39" s="58" t="str">
        <f>IFERROR(IF(ISNUMBER(BB39),IF(BA40 = BA5, 0, IF(BA40 = "", 0, BL40 + BJ40))," ")," ")</f>
        <v xml:space="preserve"> </v>
      </c>
      <c r="BM39" s="49" t="str">
        <f t="shared" si="3"/>
        <v xml:space="preserve"> </v>
      </c>
      <c r="BQ39" s="23">
        <v>34</v>
      </c>
      <c r="BR39" s="66"/>
      <c r="BS39" s="49" t="str">
        <f>IFERROR(MATCH(BR39,'1 ubicaciones'!$B$2:$B$22, 0) - 1," ")</f>
        <v xml:space="preserve"> </v>
      </c>
      <c r="BT39" s="58" t="str">
        <f>IFERROR(IF(ISNUMBER(BS39),INDEX('2.Distancias'!$C$2:$C$1445,BS38*38+BS39 + 2) +BT38," ")," ")</f>
        <v xml:space="preserve"> </v>
      </c>
      <c r="BU39" s="64" t="str">
        <f>IFERROR(IF(ISNUMBER(BS39),'3.Vehículos'!$F$6 * INDEX('2.Distancias'!$D$2:$D$1445,BS38*38+BS39 + 2) +BU38," ")," ")</f>
        <v xml:space="preserve"> </v>
      </c>
      <c r="BV39" s="92" t="str">
        <f>IFERROR(IF(ISNUMBER(BS39),'3.Vehículos'!$F$6 * INDEX('2.Distancias'!$D$2:$D$1445,BS38*38+BS39 + 2) +BW38," ")," ")</f>
        <v xml:space="preserve"> </v>
      </c>
      <c r="BW39" s="92" t="str">
        <f>IFERROR(IF(AND(BS5&lt;&gt;BS39,ISNUMBER(BV39)),INDEX('1 ubicaciones'!$I$2:$I$22,BS39 + 1) + MAX(BV39,INDEX('1 ubicaciones'!$F$2:$F$22,BS39 + 1))," ")," ")</f>
        <v xml:space="preserve"> </v>
      </c>
      <c r="BX39" s="64" t="str">
        <f>IFERROR(IF(AND(BR39 = BR5, BR40 = ""), BV39 - BW5, BW39 - BW5)," ")</f>
        <v xml:space="preserve"> </v>
      </c>
      <c r="BY39" s="49" t="str">
        <f>IFERROR(IF(ISNUMBER(BS39),INDEX('1 ubicaciones'!$L$2:$L$22,BS39 + 1) + BY38," ")," ")</f>
        <v xml:space="preserve"> </v>
      </c>
      <c r="BZ39" s="58" t="str">
        <f>IFERROR(IF(ISNUMBER(BS39),INDEX('1 ubicaciones'!$J$2:$J$22,BS39 + 1)," ")," ")</f>
        <v xml:space="preserve"> </v>
      </c>
      <c r="CA39" s="58" t="str">
        <f>IFERROR(IF(ISNUMBER(BS39),INDEX('1 ubicaciones'!$K$2:$K$22,BS39 + 1)," ")," ")</f>
        <v xml:space="preserve"> </v>
      </c>
      <c r="CB39" s="58" t="str">
        <f>IFERROR(IF(ISNUMBER(BS39),IF(BR39 = BR5, 0, BZ39 + CB38)," ")," ")</f>
        <v xml:space="preserve"> </v>
      </c>
      <c r="CC39" s="58" t="str">
        <f>IFERROR(IF(ISNUMBER(BS39),IF(BR40 = BR5, 0, IF(BR40 = "", 0, CC40 + CA40))," ")," ")</f>
        <v xml:space="preserve"> </v>
      </c>
      <c r="CD39" s="49" t="str">
        <f t="shared" si="4"/>
        <v xml:space="preserve"> </v>
      </c>
      <c r="CH39" s="23">
        <v>34</v>
      </c>
      <c r="CI39" s="66"/>
      <c r="CJ39" s="49" t="str">
        <f>IFERROR(MATCH(CI39,'1 ubicaciones'!$B$2:$B$22, 0) - 1," ")</f>
        <v xml:space="preserve"> </v>
      </c>
      <c r="CK39" s="58" t="str">
        <f>IFERROR(IF(ISNUMBER(CJ39),INDEX('2.Distancias'!$C$2:$C$1445,CJ38*38+CJ39 + 2) +CK38," ")," ")</f>
        <v xml:space="preserve"> </v>
      </c>
      <c r="CL39" s="64" t="str">
        <f>IFERROR(IF(ISNUMBER(CJ39),'3.Vehículos'!$F$10 * INDEX('2.Distancias'!$D$2:$D$1445,CJ38*38+CJ39 + 2) +CL38," ")," ")</f>
        <v xml:space="preserve"> </v>
      </c>
      <c r="CM39" s="92" t="str">
        <f>IFERROR(IF(ISNUMBER(CJ39),'3.Vehículos'!$F$10 * INDEX('2.Distancias'!$D$2:$D$1445,CJ38*38+CJ39 + 2) +CN38," ")," ")</f>
        <v xml:space="preserve"> </v>
      </c>
      <c r="CN39" s="92" t="str">
        <f>IFERROR(IF(AND(CJ5&lt;&gt;CJ39,ISNUMBER(CM39)),INDEX('1 ubicaciones'!$I$2:$I$22,CJ39 + 1) + MAX(CM39,INDEX('1 ubicaciones'!$F$2:$F$22,CJ39 + 1))," ")," ")</f>
        <v xml:space="preserve"> </v>
      </c>
      <c r="CO39" s="64" t="str">
        <f>IFERROR(IF(AND(CI39 = CI5, CI40 = ""), CM39 - CN5, CN39 - CN5)," ")</f>
        <v xml:space="preserve"> </v>
      </c>
      <c r="CP39" s="49" t="str">
        <f>IFERROR(IF(ISNUMBER(CJ39),INDEX('1 ubicaciones'!$L$2:$L$22,CJ39 + 1) + CP38," ")," ")</f>
        <v xml:space="preserve"> </v>
      </c>
      <c r="CQ39" s="58" t="str">
        <f>IFERROR(IF(ISNUMBER(CJ39),INDEX('1 ubicaciones'!$J$2:$J$22,CJ39 + 1)," ")," ")</f>
        <v xml:space="preserve"> </v>
      </c>
      <c r="CR39" s="58" t="str">
        <f>IFERROR(IF(ISNUMBER(CJ39),INDEX('1 ubicaciones'!$K$2:$K$22,CJ39 + 1)," ")," ")</f>
        <v xml:space="preserve"> </v>
      </c>
      <c r="CS39" s="58" t="str">
        <f>IFERROR(IF(ISNUMBER(CJ39),IF(CI39 = CI5, 0, CQ39 + CS38)," ")," ")</f>
        <v xml:space="preserve"> </v>
      </c>
      <c r="CT39" s="58" t="str">
        <f>IFERROR(IF(ISNUMBER(CJ39),IF(CI40 = CI5, 0, IF(CI40 = "", 0, CT40 + CR40))," ")," ")</f>
        <v xml:space="preserve"> </v>
      </c>
      <c r="CU39" s="49" t="str">
        <f t="shared" si="5"/>
        <v xml:space="preserve"> </v>
      </c>
      <c r="CY39" s="23">
        <v>34</v>
      </c>
      <c r="CZ39" s="66"/>
      <c r="DA39" s="49" t="str">
        <f>IFERROR(MATCH(CZ39,'1 ubicaciones'!$B$2:$B$22, 0) - 1," ")</f>
        <v xml:space="preserve"> </v>
      </c>
      <c r="DB39" s="58" t="str">
        <f>IFERROR(IF(ISNUMBER(DA39),INDEX('2.Distancias'!$C$2:$C$1445,DA38*38+DA39 + 2) +DB38," ")," ")</f>
        <v xml:space="preserve"> </v>
      </c>
      <c r="DC39" s="64" t="str">
        <f>IFERROR(IF(ISNUMBER(DA39),'3.Vehículos'!$F$11 * INDEX('2.Distancias'!$D$2:$D$1445,DA38*38+DA39 + 2) +DC38," ")," ")</f>
        <v xml:space="preserve"> </v>
      </c>
      <c r="DD39" s="92" t="str">
        <f>IFERROR(IF(ISNUMBER(DA39),'3.Vehículos'!$F$11 * INDEX('2.Distancias'!$D$2:$D$1445,DA38*38+DA39 + 2) +DE38," ")," ")</f>
        <v xml:space="preserve"> </v>
      </c>
      <c r="DE39" s="92" t="str">
        <f>IFERROR(IF(AND(DA5&lt;&gt;DA39,ISNUMBER(DD39)),INDEX('1 ubicaciones'!$I$2:$I$22,DA39 + 1) + MAX(DD39,INDEX('1 ubicaciones'!$F$2:$F$22,DA39 + 1))," ")," ")</f>
        <v xml:space="preserve"> </v>
      </c>
      <c r="DF39" s="64" t="str">
        <f>IFERROR(IF(AND(CZ39 = CZ5, CZ40 = ""), DD39 - DE5, DE39 - DE5)," ")</f>
        <v xml:space="preserve"> </v>
      </c>
      <c r="DG39" s="49" t="str">
        <f>IFERROR(IF(ISNUMBER(DA39),INDEX('1 ubicaciones'!$L$2:$L$22,DA39 + 1) + DG38," ")," ")</f>
        <v xml:space="preserve"> </v>
      </c>
      <c r="DH39" s="58" t="str">
        <f>IFERROR(IF(ISNUMBER(DA39),INDEX('1 ubicaciones'!$J$2:$J$22,DA39 + 1)," ")," ")</f>
        <v xml:space="preserve"> </v>
      </c>
      <c r="DI39" s="58" t="str">
        <f>IFERROR(IF(ISNUMBER(DA39),INDEX('1 ubicaciones'!$K$2:$K$22,DA39 + 1)," ")," ")</f>
        <v xml:space="preserve"> </v>
      </c>
      <c r="DJ39" s="58" t="str">
        <f>IFERROR(IF(ISNUMBER(DA39),IF(CZ39 = CZ5, 0, DH39 + DJ38)," ")," ")</f>
        <v xml:space="preserve"> </v>
      </c>
      <c r="DK39" s="58" t="str">
        <f>IFERROR(IF(ISNUMBER(DA39),IF(CZ40 = CZ5, 0, IF(CZ40 = "", 0, DK40 + DI40))," ")," ")</f>
        <v xml:space="preserve"> </v>
      </c>
      <c r="DL39" s="49" t="str">
        <f t="shared" si="6"/>
        <v xml:space="preserve"> </v>
      </c>
      <c r="DP39" s="23">
        <v>34</v>
      </c>
      <c r="DQ39" s="66"/>
      <c r="DR39" s="49" t="str">
        <f>IFERROR(MATCH(DQ39,'1 ubicaciones'!$B$2:$B$22, 0) - 1," ")</f>
        <v xml:space="preserve"> </v>
      </c>
      <c r="DS39" s="58" t="str">
        <f>IFERROR(IF(ISNUMBER(DR39),INDEX('2.Distancias'!$C$2:$C$1445,DR38*38+DR39 + 2) +DS38," ")," ")</f>
        <v xml:space="preserve"> </v>
      </c>
      <c r="DT39" s="64" t="str">
        <f>IFERROR(IF(ISNUMBER(DR39),'3.Vehículos'!$F$18 * INDEX('2.Distancias'!$D$2:$D$1445,DR38*38+DR39 + 2) +DT38," ")," ")</f>
        <v xml:space="preserve"> </v>
      </c>
      <c r="DU39" s="92" t="str">
        <f>IFERROR(IF(ISNUMBER(DR39),'3.Vehículos'!$F$18 * INDEX('2.Distancias'!$D$2:$D$1445,DR38*38+DR39 + 2) +DV38," ")," ")</f>
        <v xml:space="preserve"> </v>
      </c>
      <c r="DV39" s="92" t="str">
        <f>IFERROR(IF(AND(DR5&lt;&gt;DR39,ISNUMBER(DU39)),INDEX('1 ubicaciones'!$I$2:$I$22,DR39 + 1) + MAX(DU39,INDEX('1 ubicaciones'!$F$2:$F$22,DR39 + 1))," ")," ")</f>
        <v xml:space="preserve"> </v>
      </c>
      <c r="DW39" s="64" t="str">
        <f>IFERROR(IF(AND(DQ39 = DQ5, DQ40 = ""), DU39 - DV5, DV39 - DV5)," ")</f>
        <v xml:space="preserve"> </v>
      </c>
      <c r="DX39" s="49" t="str">
        <f>IFERROR(IF(ISNUMBER(DR39),INDEX('1 ubicaciones'!$L$2:$L$22,DR39 + 1) + DX38," ")," ")</f>
        <v xml:space="preserve"> </v>
      </c>
      <c r="DY39" s="58" t="str">
        <f>IFERROR(IF(ISNUMBER(DR39),INDEX('1 ubicaciones'!$J$2:$J$22,DR39 + 1)," ")," ")</f>
        <v xml:space="preserve"> </v>
      </c>
      <c r="DZ39" s="58" t="str">
        <f>IFERROR(IF(ISNUMBER(DR39),INDEX('1 ubicaciones'!$K$2:$K$22,DR39 + 1)," ")," ")</f>
        <v xml:space="preserve"> </v>
      </c>
      <c r="EA39" s="58" t="str">
        <f>IFERROR(IF(ISNUMBER(DR39),IF(DQ39 = DQ5, 0, DY39 + EA38)," ")," ")</f>
        <v xml:space="preserve"> </v>
      </c>
      <c r="EB39" s="58" t="str">
        <f>IFERROR(IF(ISNUMBER(DR39),IF(DQ40 = DQ5, 0, IF(DQ40 = "", 0, EB40 + DZ40))," ")," ")</f>
        <v xml:space="preserve"> </v>
      </c>
      <c r="EC39" s="49" t="str">
        <f t="shared" si="7"/>
        <v xml:space="preserve"> </v>
      </c>
    </row>
    <row r="40" spans="1:133" x14ac:dyDescent="0.25">
      <c r="A40" s="23">
        <v>35</v>
      </c>
      <c r="B40" s="63"/>
      <c r="C40" s="49" t="str">
        <f>IFERROR(MATCH(B40,'1 ubicaciones'!$B$2:$B$22, 0) - 1," ")</f>
        <v xml:space="preserve"> </v>
      </c>
      <c r="D40" s="58" t="str">
        <f>IFERROR(IF(ISNUMBER(C40),INDEX('2.Distancias'!$C$2:$C$1445,C39*38+C40 + 2) +D39," ")," ")</f>
        <v xml:space="preserve"> </v>
      </c>
      <c r="E40" s="64" t="str">
        <f>IFERROR(IF(ISNUMBER(C40),'3.Vehículos'!$F$2 * INDEX('2.Distancias'!$D$2:$D$1445,C39*38+C40 + 2) +E39," ")," ")</f>
        <v xml:space="preserve"> </v>
      </c>
      <c r="F40" s="92" t="str">
        <f>IFERROR(IF(ISNUMBER(C40),'3.Vehículos'!$F$2 * INDEX('2.Distancias'!$D$2:$D$1445,C39*38+C40 + 2) +G39," ")," ")</f>
        <v xml:space="preserve"> </v>
      </c>
      <c r="G40" s="92" t="str">
        <f>IFERROR(IF(AND(C5&lt;&gt;C40,ISNUMBER(F40)),INDEX('1 ubicaciones'!$I$2:$I$22,C40 + 1) + MAX(F40,INDEX('1 ubicaciones'!$F$2:$F$22,C40 + 1))," ")," ")</f>
        <v xml:space="preserve"> </v>
      </c>
      <c r="H40" s="64" t="str">
        <f>IFERROR(IF(AND(B40 = B5, B41 = ""), F40 - G5, G40 - G5)," ")</f>
        <v xml:space="preserve"> </v>
      </c>
      <c r="I40" s="49" t="str">
        <f>IFERROR(IF(ISNUMBER(C40),INDEX('1 ubicaciones'!$L$2:$L$22,C40 + 1) + I39," ")," ")</f>
        <v xml:space="preserve"> </v>
      </c>
      <c r="J40" s="58" t="str">
        <f>IFERROR(IF(ISNUMBER(C40),INDEX('1 ubicaciones'!$J$2:$J$22,C40 + 1)," ")," ")</f>
        <v xml:space="preserve"> </v>
      </c>
      <c r="K40" s="58" t="str">
        <f>IFERROR(IF(ISNUMBER(C40),INDEX('1 ubicaciones'!$K$2:$K$22,C40 + 1)," ")," ")</f>
        <v xml:space="preserve"> </v>
      </c>
      <c r="L40" s="58" t="str">
        <f>IFERROR(IF(ISNUMBER(C40),IF(B40 = B5, 0, J40 + L39)," ")," ")</f>
        <v xml:space="preserve"> </v>
      </c>
      <c r="M40" s="58" t="str">
        <f>IFERROR(IF(ISNUMBER(C40),IF(B41 = B5, 0, IF(B41 = "", 0, M41 + K41))," ")," ")</f>
        <v xml:space="preserve"> </v>
      </c>
      <c r="N40" s="49" t="str">
        <f t="shared" si="0"/>
        <v xml:space="preserve"> </v>
      </c>
      <c r="R40" s="23">
        <v>35</v>
      </c>
      <c r="S40" s="63"/>
      <c r="T40" s="49" t="str">
        <f>IFERROR(MATCH(S40,'1 ubicaciones'!$B$2:$B$22, 0) - 1," ")</f>
        <v xml:space="preserve"> </v>
      </c>
      <c r="U40" s="58" t="str">
        <f>IFERROR(IF(ISNUMBER(T40),INDEX('2.Distancias'!$C$2:$C$1445,T39*38+T40 + 2) +U39," ")," ")</f>
        <v xml:space="preserve"> </v>
      </c>
      <c r="V40" s="64" t="str">
        <f>IFERROR(IF(ISNUMBER(T40),'3.Vehículos'!$F$3 * INDEX('2.Distancias'!$D$2:$D$1445,T39*38+T40 + 2) +V39," ")," ")</f>
        <v xml:space="preserve"> </v>
      </c>
      <c r="W40" s="92" t="str">
        <f>IFERROR(IF(ISNUMBER(T40),'3.Vehículos'!$F$3 * INDEX('2.Distancias'!$D$2:$D$1445,T39*38+T40 + 2) +X39," ")," ")</f>
        <v xml:space="preserve"> </v>
      </c>
      <c r="X40" s="92" t="str">
        <f>IFERROR(IF(AND(T5&lt;&gt;T40,ISNUMBER(W40)),INDEX('1 ubicaciones'!$I$2:$I$22,T40 + 1) + MAX(W40,INDEX('1 ubicaciones'!$F$2:$F$22,T40 + 1))," ")," ")</f>
        <v xml:space="preserve"> </v>
      </c>
      <c r="Y40" s="64" t="str">
        <f>IFERROR(IF(AND(S40 = S5, S41 = ""), W40 - X5, X40 - X5)," ")</f>
        <v xml:space="preserve"> </v>
      </c>
      <c r="Z40" s="49" t="str">
        <f>IFERROR(IF(ISNUMBER(T40),INDEX('1 ubicaciones'!$L$2:$L$22,T40 + 1) + Z39," ")," ")</f>
        <v xml:space="preserve"> </v>
      </c>
      <c r="AA40" s="58" t="str">
        <f>IFERROR(IF(ISNUMBER(T40),INDEX('1 ubicaciones'!$J$2:$J$22,T40 + 1)," ")," ")</f>
        <v xml:space="preserve"> </v>
      </c>
      <c r="AB40" s="58" t="str">
        <f>IFERROR(IF(ISNUMBER(T40),INDEX('1 ubicaciones'!$K$2:$K$22,T40 + 1)," ")," ")</f>
        <v xml:space="preserve"> </v>
      </c>
      <c r="AC40" s="58" t="str">
        <f>IFERROR(IF(ISNUMBER(T40),IF(S40 = S5, 0, AA40 + AC39)," ")," ")</f>
        <v xml:space="preserve"> </v>
      </c>
      <c r="AD40" s="58" t="str">
        <f>IFERROR(IF(ISNUMBER(T40),IF(S41 = S5, 0, IF(S41 = "", 0, AD41 + AB41))," ")," ")</f>
        <v xml:space="preserve"> </v>
      </c>
      <c r="AE40" s="49" t="str">
        <f t="shared" si="1"/>
        <v xml:space="preserve"> </v>
      </c>
      <c r="AI40" s="23">
        <v>35</v>
      </c>
      <c r="AJ40" s="63"/>
      <c r="AK40" s="49" t="str">
        <f>IFERROR(MATCH(AJ40,'1 ubicaciones'!$B$2:$B$22, 0) - 1," ")</f>
        <v xml:space="preserve"> </v>
      </c>
      <c r="AL40" s="58" t="str">
        <f>IFERROR(IF(ISNUMBER(AK40),INDEX('2.Distancias'!$C$2:$C$1445,AK39*38+AK40 + 2) +AL39," ")," ")</f>
        <v xml:space="preserve"> </v>
      </c>
      <c r="AM40" s="64" t="str">
        <f>IFERROR(IF(ISNUMBER(AK40),'3.Vehículos'!$F$4 * INDEX('2.Distancias'!$D$2:$D$1445,AK39*38+AK40 + 2) +AM39," ")," ")</f>
        <v xml:space="preserve"> </v>
      </c>
      <c r="AN40" s="92" t="str">
        <f>IFERROR(IF(ISNUMBER(AK40),'3.Vehículos'!$F$4 * INDEX('2.Distancias'!$D$2:$D$1445,AK39*38+AK40 + 2) +AO39," ")," ")</f>
        <v xml:space="preserve"> </v>
      </c>
      <c r="AO40" s="92" t="str">
        <f>IFERROR(IF(AND(AK5&lt;&gt;AK40,ISNUMBER(AN40)),INDEX('1 ubicaciones'!$I$2:$I$22,AK40 + 1) + MAX(AN40,INDEX('1 ubicaciones'!$F$2:$F$22,AK40 + 1))," ")," ")</f>
        <v xml:space="preserve"> </v>
      </c>
      <c r="AP40" s="64" t="str">
        <f>IFERROR(IF(AND(AJ40 = AJ5, AJ41 = ""), AN40 - AO5, AO40 - AO5)," ")</f>
        <v xml:space="preserve"> </v>
      </c>
      <c r="AQ40" s="49" t="str">
        <f>IFERROR(IF(ISNUMBER(AK40),INDEX('1 ubicaciones'!$L$2:$L$22,AK40 + 1) + AQ39," ")," ")</f>
        <v xml:space="preserve"> </v>
      </c>
      <c r="AR40" s="58" t="str">
        <f>IFERROR(IF(ISNUMBER(AK40),INDEX('1 ubicaciones'!$J$2:$J$22,AK40 + 1)," ")," ")</f>
        <v xml:space="preserve"> </v>
      </c>
      <c r="AS40" s="58" t="str">
        <f>IFERROR(IF(ISNUMBER(AK40),INDEX('1 ubicaciones'!$K$2:$K$22,AK40 + 1)," ")," ")</f>
        <v xml:space="preserve"> </v>
      </c>
      <c r="AT40" s="58" t="str">
        <f>IFERROR(IF(ISNUMBER(AK40),IF(AJ40 = AJ5, 0, AR40 + AT39)," ")," ")</f>
        <v xml:space="preserve"> </v>
      </c>
      <c r="AU40" s="58" t="str">
        <f>IFERROR(IF(ISNUMBER(AK40),IF(AJ41 = AJ5, 0, IF(AJ41 = "", 0, AU41 + AS41))," ")," ")</f>
        <v xml:space="preserve"> </v>
      </c>
      <c r="AV40" s="49" t="str">
        <f t="shared" si="2"/>
        <v xml:space="preserve"> </v>
      </c>
      <c r="AZ40" s="23">
        <v>35</v>
      </c>
      <c r="BA40" s="63"/>
      <c r="BB40" s="49" t="str">
        <f>IFERROR(MATCH(BA40,'1 ubicaciones'!$B$2:$B$22, 0) - 1," ")</f>
        <v xml:space="preserve"> </v>
      </c>
      <c r="BC40" s="58" t="str">
        <f>IFERROR(IF(ISNUMBER(BB40),INDEX('2.Distancias'!$C$2:$C$1445,BB39*38+BB40 + 2) +BC39," ")," ")</f>
        <v xml:space="preserve"> </v>
      </c>
      <c r="BD40" s="64" t="str">
        <f>IFERROR(IF(ISNUMBER(BB40),'3.Vehículos'!$F$5 * INDEX('2.Distancias'!$D$2:$D$1445,BB39*38+BB40 + 2) +BD39," ")," ")</f>
        <v xml:space="preserve"> </v>
      </c>
      <c r="BE40" s="92" t="str">
        <f>IFERROR(IF(ISNUMBER(BB40),'3.Vehículos'!$F$5 * INDEX('2.Distancias'!$D$2:$D$1445,BB39*38+BB40 + 2) +BF39," ")," ")</f>
        <v xml:space="preserve"> </v>
      </c>
      <c r="BF40" s="92" t="str">
        <f>IFERROR(IF(AND(BB5&lt;&gt;BB40,ISNUMBER(BE40)),INDEX('1 ubicaciones'!$I$2:$I$22,BB40 + 1) + MAX(BE40,INDEX('1 ubicaciones'!$F$2:$F$22,BB40 + 1))," ")," ")</f>
        <v xml:space="preserve"> </v>
      </c>
      <c r="BG40" s="64" t="str">
        <f>IFERROR(IF(AND(BA40 = BA5, BA41 = ""), BE40 - BF5, BF40 - BF5)," ")</f>
        <v xml:space="preserve"> </v>
      </c>
      <c r="BH40" s="49" t="str">
        <f>IFERROR(IF(ISNUMBER(BB40),INDEX('1 ubicaciones'!$L$2:$L$22,BB40 + 1) + BH39," ")," ")</f>
        <v xml:space="preserve"> </v>
      </c>
      <c r="BI40" s="58" t="str">
        <f>IFERROR(IF(ISNUMBER(BB40),INDEX('1 ubicaciones'!$J$2:$J$22,BB40 + 1)," ")," ")</f>
        <v xml:space="preserve"> </v>
      </c>
      <c r="BJ40" s="58" t="str">
        <f>IFERROR(IF(ISNUMBER(BB40),INDEX('1 ubicaciones'!$K$2:$K$22,BB40 + 1)," ")," ")</f>
        <v xml:space="preserve"> </v>
      </c>
      <c r="BK40" s="58" t="str">
        <f>IFERROR(IF(ISNUMBER(BB40),IF(BA40 = BA5, 0, BI40 + BK39)," ")," ")</f>
        <v xml:space="preserve"> </v>
      </c>
      <c r="BL40" s="58" t="str">
        <f>IFERROR(IF(ISNUMBER(BB40),IF(BA41 = BA5, 0, IF(BA41 = "", 0, BL41 + BJ41))," ")," ")</f>
        <v xml:space="preserve"> </v>
      </c>
      <c r="BM40" s="49" t="str">
        <f t="shared" si="3"/>
        <v xml:space="preserve"> </v>
      </c>
      <c r="BQ40" s="23">
        <v>35</v>
      </c>
      <c r="BR40" s="63"/>
      <c r="BS40" s="49" t="str">
        <f>IFERROR(MATCH(BR40,'1 ubicaciones'!$B$2:$B$22, 0) - 1," ")</f>
        <v xml:space="preserve"> </v>
      </c>
      <c r="BT40" s="58" t="str">
        <f>IFERROR(IF(ISNUMBER(BS40),INDEX('2.Distancias'!$C$2:$C$1445,BS39*38+BS40 + 2) +BT39," ")," ")</f>
        <v xml:space="preserve"> </v>
      </c>
      <c r="BU40" s="64" t="str">
        <f>IFERROR(IF(ISNUMBER(BS40),'3.Vehículos'!$F$6 * INDEX('2.Distancias'!$D$2:$D$1445,BS39*38+BS40 + 2) +BU39," ")," ")</f>
        <v xml:space="preserve"> </v>
      </c>
      <c r="BV40" s="92" t="str">
        <f>IFERROR(IF(ISNUMBER(BS40),'3.Vehículos'!$F$6 * INDEX('2.Distancias'!$D$2:$D$1445,BS39*38+BS40 + 2) +BW39," ")," ")</f>
        <v xml:space="preserve"> </v>
      </c>
      <c r="BW40" s="92" t="str">
        <f>IFERROR(IF(AND(BS5&lt;&gt;BS40,ISNUMBER(BV40)),INDEX('1 ubicaciones'!$I$2:$I$22,BS40 + 1) + MAX(BV40,INDEX('1 ubicaciones'!$F$2:$F$22,BS40 + 1))," ")," ")</f>
        <v xml:space="preserve"> </v>
      </c>
      <c r="BX40" s="64" t="str">
        <f>IFERROR(IF(AND(BR40 = BR5, BR41 = ""), BV40 - BW5, BW40 - BW5)," ")</f>
        <v xml:space="preserve"> </v>
      </c>
      <c r="BY40" s="49" t="str">
        <f>IFERROR(IF(ISNUMBER(BS40),INDEX('1 ubicaciones'!$L$2:$L$22,BS40 + 1) + BY39," ")," ")</f>
        <v xml:space="preserve"> </v>
      </c>
      <c r="BZ40" s="58" t="str">
        <f>IFERROR(IF(ISNUMBER(BS40),INDEX('1 ubicaciones'!$J$2:$J$22,BS40 + 1)," ")," ")</f>
        <v xml:space="preserve"> </v>
      </c>
      <c r="CA40" s="58" t="str">
        <f>IFERROR(IF(ISNUMBER(BS40),INDEX('1 ubicaciones'!$K$2:$K$22,BS40 + 1)," ")," ")</f>
        <v xml:space="preserve"> </v>
      </c>
      <c r="CB40" s="58" t="str">
        <f>IFERROR(IF(ISNUMBER(BS40),IF(BR40 = BR5, 0, BZ40 + CB39)," ")," ")</f>
        <v xml:space="preserve"> </v>
      </c>
      <c r="CC40" s="58" t="str">
        <f>IFERROR(IF(ISNUMBER(BS40),IF(BR41 = BR5, 0, IF(BR41 = "", 0, CC41 + CA41))," ")," ")</f>
        <v xml:space="preserve"> </v>
      </c>
      <c r="CD40" s="49" t="str">
        <f t="shared" si="4"/>
        <v xml:space="preserve"> </v>
      </c>
      <c r="CH40" s="23">
        <v>35</v>
      </c>
      <c r="CI40" s="63"/>
      <c r="CJ40" s="49" t="str">
        <f>IFERROR(MATCH(CI40,'1 ubicaciones'!$B$2:$B$22, 0) - 1," ")</f>
        <v xml:space="preserve"> </v>
      </c>
      <c r="CK40" s="58" t="str">
        <f>IFERROR(IF(ISNUMBER(CJ40),INDEX('2.Distancias'!$C$2:$C$1445,CJ39*38+CJ40 + 2) +CK39," ")," ")</f>
        <v xml:space="preserve"> </v>
      </c>
      <c r="CL40" s="64" t="str">
        <f>IFERROR(IF(ISNUMBER(CJ40),'3.Vehículos'!$F$10 * INDEX('2.Distancias'!$D$2:$D$1445,CJ39*38+CJ40 + 2) +CL39," ")," ")</f>
        <v xml:space="preserve"> </v>
      </c>
      <c r="CM40" s="92" t="str">
        <f>IFERROR(IF(ISNUMBER(CJ40),'3.Vehículos'!$F$10 * INDEX('2.Distancias'!$D$2:$D$1445,CJ39*38+CJ40 + 2) +CN39," ")," ")</f>
        <v xml:space="preserve"> </v>
      </c>
      <c r="CN40" s="92" t="str">
        <f>IFERROR(IF(AND(CJ5&lt;&gt;CJ40,ISNUMBER(CM40)),INDEX('1 ubicaciones'!$I$2:$I$22,CJ40 + 1) + MAX(CM40,INDEX('1 ubicaciones'!$F$2:$F$22,CJ40 + 1))," ")," ")</f>
        <v xml:space="preserve"> </v>
      </c>
      <c r="CO40" s="64" t="str">
        <f>IFERROR(IF(AND(CI40 = CI5, CI41 = ""), CM40 - CN5, CN40 - CN5)," ")</f>
        <v xml:space="preserve"> </v>
      </c>
      <c r="CP40" s="49" t="str">
        <f>IFERROR(IF(ISNUMBER(CJ40),INDEX('1 ubicaciones'!$L$2:$L$22,CJ40 + 1) + CP39," ")," ")</f>
        <v xml:space="preserve"> </v>
      </c>
      <c r="CQ40" s="58" t="str">
        <f>IFERROR(IF(ISNUMBER(CJ40),INDEX('1 ubicaciones'!$J$2:$J$22,CJ40 + 1)," ")," ")</f>
        <v xml:space="preserve"> </v>
      </c>
      <c r="CR40" s="58" t="str">
        <f>IFERROR(IF(ISNUMBER(CJ40),INDEX('1 ubicaciones'!$K$2:$K$22,CJ40 + 1)," ")," ")</f>
        <v xml:space="preserve"> </v>
      </c>
      <c r="CS40" s="58" t="str">
        <f>IFERROR(IF(ISNUMBER(CJ40),IF(CI40 = CI5, 0, CQ40 + CS39)," ")," ")</f>
        <v xml:space="preserve"> </v>
      </c>
      <c r="CT40" s="58" t="str">
        <f>IFERROR(IF(ISNUMBER(CJ40),IF(CI41 = CI5, 0, IF(CI41 = "", 0, CT41 + CR41))," ")," ")</f>
        <v xml:space="preserve"> </v>
      </c>
      <c r="CU40" s="49" t="str">
        <f t="shared" si="5"/>
        <v xml:space="preserve"> </v>
      </c>
      <c r="CY40" s="23">
        <v>35</v>
      </c>
      <c r="CZ40" s="63"/>
      <c r="DA40" s="49" t="str">
        <f>IFERROR(MATCH(CZ40,'1 ubicaciones'!$B$2:$B$22, 0) - 1," ")</f>
        <v xml:space="preserve"> </v>
      </c>
      <c r="DB40" s="58" t="str">
        <f>IFERROR(IF(ISNUMBER(DA40),INDEX('2.Distancias'!$C$2:$C$1445,DA39*38+DA40 + 2) +DB39," ")," ")</f>
        <v xml:space="preserve"> </v>
      </c>
      <c r="DC40" s="64" t="str">
        <f>IFERROR(IF(ISNUMBER(DA40),'3.Vehículos'!$F$11 * INDEX('2.Distancias'!$D$2:$D$1445,DA39*38+DA40 + 2) +DC39," ")," ")</f>
        <v xml:space="preserve"> </v>
      </c>
      <c r="DD40" s="92" t="str">
        <f>IFERROR(IF(ISNUMBER(DA40),'3.Vehículos'!$F$11 * INDEX('2.Distancias'!$D$2:$D$1445,DA39*38+DA40 + 2) +DE39," ")," ")</f>
        <v xml:space="preserve"> </v>
      </c>
      <c r="DE40" s="92" t="str">
        <f>IFERROR(IF(AND(DA5&lt;&gt;DA40,ISNUMBER(DD40)),INDEX('1 ubicaciones'!$I$2:$I$22,DA40 + 1) + MAX(DD40,INDEX('1 ubicaciones'!$F$2:$F$22,DA40 + 1))," ")," ")</f>
        <v xml:space="preserve"> </v>
      </c>
      <c r="DF40" s="64" t="str">
        <f>IFERROR(IF(AND(CZ40 = CZ5, CZ41 = ""), DD40 - DE5, DE40 - DE5)," ")</f>
        <v xml:space="preserve"> </v>
      </c>
      <c r="DG40" s="49" t="str">
        <f>IFERROR(IF(ISNUMBER(DA40),INDEX('1 ubicaciones'!$L$2:$L$22,DA40 + 1) + DG39," ")," ")</f>
        <v xml:space="preserve"> </v>
      </c>
      <c r="DH40" s="58" t="str">
        <f>IFERROR(IF(ISNUMBER(DA40),INDEX('1 ubicaciones'!$J$2:$J$22,DA40 + 1)," ")," ")</f>
        <v xml:space="preserve"> </v>
      </c>
      <c r="DI40" s="58" t="str">
        <f>IFERROR(IF(ISNUMBER(DA40),INDEX('1 ubicaciones'!$K$2:$K$22,DA40 + 1)," ")," ")</f>
        <v xml:space="preserve"> </v>
      </c>
      <c r="DJ40" s="58" t="str">
        <f>IFERROR(IF(ISNUMBER(DA40),IF(CZ40 = CZ5, 0, DH40 + DJ39)," ")," ")</f>
        <v xml:space="preserve"> </v>
      </c>
      <c r="DK40" s="58" t="str">
        <f>IFERROR(IF(ISNUMBER(DA40),IF(CZ41 = CZ5, 0, IF(CZ41 = "", 0, DK41 + DI41))," ")," ")</f>
        <v xml:space="preserve"> </v>
      </c>
      <c r="DL40" s="49" t="str">
        <f t="shared" si="6"/>
        <v xml:space="preserve"> </v>
      </c>
      <c r="DP40" s="23">
        <v>35</v>
      </c>
      <c r="DQ40" s="63"/>
      <c r="DR40" s="49" t="str">
        <f>IFERROR(MATCH(DQ40,'1 ubicaciones'!$B$2:$B$22, 0) - 1," ")</f>
        <v xml:space="preserve"> </v>
      </c>
      <c r="DS40" s="58" t="str">
        <f>IFERROR(IF(ISNUMBER(DR40),INDEX('2.Distancias'!$C$2:$C$1445,DR39*38+DR40 + 2) +DS39," ")," ")</f>
        <v xml:space="preserve"> </v>
      </c>
      <c r="DT40" s="64" t="str">
        <f>IFERROR(IF(ISNUMBER(DR40),'3.Vehículos'!$F$18 * INDEX('2.Distancias'!$D$2:$D$1445,DR39*38+DR40 + 2) +DT39," ")," ")</f>
        <v xml:space="preserve"> </v>
      </c>
      <c r="DU40" s="92" t="str">
        <f>IFERROR(IF(ISNUMBER(DR40),'3.Vehículos'!$F$18 * INDEX('2.Distancias'!$D$2:$D$1445,DR39*38+DR40 + 2) +DV39," ")," ")</f>
        <v xml:space="preserve"> </v>
      </c>
      <c r="DV40" s="92" t="str">
        <f>IFERROR(IF(AND(DR5&lt;&gt;DR40,ISNUMBER(DU40)),INDEX('1 ubicaciones'!$I$2:$I$22,DR40 + 1) + MAX(DU40,INDEX('1 ubicaciones'!$F$2:$F$22,DR40 + 1))," ")," ")</f>
        <v xml:space="preserve"> </v>
      </c>
      <c r="DW40" s="64" t="str">
        <f>IFERROR(IF(AND(DQ40 = DQ5, DQ41 = ""), DU40 - DV5, DV40 - DV5)," ")</f>
        <v xml:space="preserve"> </v>
      </c>
      <c r="DX40" s="49" t="str">
        <f>IFERROR(IF(ISNUMBER(DR40),INDEX('1 ubicaciones'!$L$2:$L$22,DR40 + 1) + DX39," ")," ")</f>
        <v xml:space="preserve"> </v>
      </c>
      <c r="DY40" s="58" t="str">
        <f>IFERROR(IF(ISNUMBER(DR40),INDEX('1 ubicaciones'!$J$2:$J$22,DR40 + 1)," ")," ")</f>
        <v xml:space="preserve"> </v>
      </c>
      <c r="DZ40" s="58" t="str">
        <f>IFERROR(IF(ISNUMBER(DR40),INDEX('1 ubicaciones'!$K$2:$K$22,DR40 + 1)," ")," ")</f>
        <v xml:space="preserve"> </v>
      </c>
      <c r="EA40" s="58" t="str">
        <f>IFERROR(IF(ISNUMBER(DR40),IF(DQ40 = DQ5, 0, DY40 + EA39)," ")," ")</f>
        <v xml:space="preserve"> </v>
      </c>
      <c r="EB40" s="58" t="str">
        <f>IFERROR(IF(ISNUMBER(DR40),IF(DQ41 = DQ5, 0, IF(DQ41 = "", 0, EB41 + DZ41))," ")," ")</f>
        <v xml:space="preserve"> </v>
      </c>
      <c r="EC40" s="49" t="str">
        <f t="shared" si="7"/>
        <v xml:space="preserve"> </v>
      </c>
    </row>
    <row r="41" spans="1:133" x14ac:dyDescent="0.25">
      <c r="A41" s="22">
        <v>36</v>
      </c>
      <c r="B41" s="65"/>
      <c r="C41" s="46" t="str">
        <f>IFERROR(MATCH(B41,'1 ubicaciones'!$B$2:$B$22, 0) - 1," ")</f>
        <v xml:space="preserve"> </v>
      </c>
      <c r="D41" s="57" t="str">
        <f>IFERROR(IF(ISNUMBER(C41),INDEX('2.Distancias'!$C$2:$C$1445,C40*38+C41 + 2) +D40," ")," ")</f>
        <v xml:space="preserve"> </v>
      </c>
      <c r="E41" s="62" t="str">
        <f>IFERROR(IF(ISNUMBER(C41),'3.Vehículos'!$F$2 * INDEX('2.Distancias'!$D$2:$D$1445,C40*38+C41 + 2) +E40," ")," ")</f>
        <v xml:space="preserve"> </v>
      </c>
      <c r="F41" s="91" t="str">
        <f>IFERROR(IF(ISNUMBER(C41),'3.Vehículos'!$F$2 * INDEX('2.Distancias'!$D$2:$D$1445,C40*38+C41 + 2) +G40," ")," ")</f>
        <v xml:space="preserve"> </v>
      </c>
      <c r="G41" s="91" t="str">
        <f>IFERROR(IF(AND(C5&lt;&gt;C41,ISNUMBER(F41)),INDEX('1 ubicaciones'!$I$2:$I$22,C41 + 1) + MAX(F41,INDEX('1 ubicaciones'!$F$2:$F$22,C41 + 1))," ")," ")</f>
        <v xml:space="preserve"> </v>
      </c>
      <c r="H41" s="62" t="str">
        <f>IFERROR(IF(AND(B41 = B5, B42 = ""), F41 - G5, G41 - G5)," ")</f>
        <v xml:space="preserve"> </v>
      </c>
      <c r="I41" s="46" t="str">
        <f>IFERROR(IF(ISNUMBER(C41),INDEX('1 ubicaciones'!$L$2:$L$22,C41 + 1) + I40," ")," ")</f>
        <v xml:space="preserve"> </v>
      </c>
      <c r="J41" s="57" t="str">
        <f>IFERROR(IF(ISNUMBER(C41),INDEX('1 ubicaciones'!$J$2:$J$22,C41 + 1)," ")," ")</f>
        <v xml:space="preserve"> </v>
      </c>
      <c r="K41" s="57" t="str">
        <f>IFERROR(IF(ISNUMBER(C41),INDEX('1 ubicaciones'!$K$2:$K$22,C41 + 1)," ")," ")</f>
        <v xml:space="preserve"> </v>
      </c>
      <c r="L41" s="57" t="str">
        <f>IFERROR(IF(ISNUMBER(C41),IF(B41 = B5, 0, J41 + L40)," ")," ")</f>
        <v xml:space="preserve"> </v>
      </c>
      <c r="M41" s="57" t="str">
        <f>IFERROR(IF(ISNUMBER(C41),IF(B42 = B5, 0, IF(B42 = "", 0, M42 + K42))," ")," ")</f>
        <v xml:space="preserve"> </v>
      </c>
      <c r="N41" s="46" t="str">
        <f t="shared" si="0"/>
        <v xml:space="preserve"> </v>
      </c>
      <c r="R41" s="22">
        <v>36</v>
      </c>
      <c r="S41" s="65"/>
      <c r="T41" s="46" t="str">
        <f>IFERROR(MATCH(S41,'1 ubicaciones'!$B$2:$B$22, 0) - 1," ")</f>
        <v xml:space="preserve"> </v>
      </c>
      <c r="U41" s="57" t="str">
        <f>IFERROR(IF(ISNUMBER(T41),INDEX('2.Distancias'!$C$2:$C$1445,T40*38+T41 + 2) +U40," ")," ")</f>
        <v xml:space="preserve"> </v>
      </c>
      <c r="V41" s="62" t="str">
        <f>IFERROR(IF(ISNUMBER(T41),'3.Vehículos'!$F$3 * INDEX('2.Distancias'!$D$2:$D$1445,T40*38+T41 + 2) +V40," ")," ")</f>
        <v xml:space="preserve"> </v>
      </c>
      <c r="W41" s="91" t="str">
        <f>IFERROR(IF(ISNUMBER(T41),'3.Vehículos'!$F$3 * INDEX('2.Distancias'!$D$2:$D$1445,T40*38+T41 + 2) +X40," ")," ")</f>
        <v xml:space="preserve"> </v>
      </c>
      <c r="X41" s="91" t="str">
        <f>IFERROR(IF(AND(T5&lt;&gt;T41,ISNUMBER(W41)),INDEX('1 ubicaciones'!$I$2:$I$22,T41 + 1) + MAX(W41,INDEX('1 ubicaciones'!$F$2:$F$22,T41 + 1))," ")," ")</f>
        <v xml:space="preserve"> </v>
      </c>
      <c r="Y41" s="62" t="str">
        <f>IFERROR(IF(AND(S41 = S5, S42 = ""), W41 - X5, X41 - X5)," ")</f>
        <v xml:space="preserve"> </v>
      </c>
      <c r="Z41" s="46" t="str">
        <f>IFERROR(IF(ISNUMBER(T41),INDEX('1 ubicaciones'!$L$2:$L$22,T41 + 1) + Z40," ")," ")</f>
        <v xml:space="preserve"> </v>
      </c>
      <c r="AA41" s="57" t="str">
        <f>IFERROR(IF(ISNUMBER(T41),INDEX('1 ubicaciones'!$J$2:$J$22,T41 + 1)," ")," ")</f>
        <v xml:space="preserve"> </v>
      </c>
      <c r="AB41" s="57" t="str">
        <f>IFERROR(IF(ISNUMBER(T41),INDEX('1 ubicaciones'!$K$2:$K$22,T41 + 1)," ")," ")</f>
        <v xml:space="preserve"> </v>
      </c>
      <c r="AC41" s="57" t="str">
        <f>IFERROR(IF(ISNUMBER(T41),IF(S41 = S5, 0, AA41 + AC40)," ")," ")</f>
        <v xml:space="preserve"> </v>
      </c>
      <c r="AD41" s="57" t="str">
        <f>IFERROR(IF(ISNUMBER(T41),IF(S42 = S5, 0, IF(S42 = "", 0, AD42 + AB42))," ")," ")</f>
        <v xml:space="preserve"> </v>
      </c>
      <c r="AE41" s="46" t="str">
        <f t="shared" si="1"/>
        <v xml:space="preserve"> </v>
      </c>
      <c r="AI41" s="22">
        <v>36</v>
      </c>
      <c r="AJ41" s="65"/>
      <c r="AK41" s="46" t="str">
        <f>IFERROR(MATCH(AJ41,'1 ubicaciones'!$B$2:$B$22, 0) - 1," ")</f>
        <v xml:space="preserve"> </v>
      </c>
      <c r="AL41" s="57" t="str">
        <f>IFERROR(IF(ISNUMBER(AK41),INDEX('2.Distancias'!$C$2:$C$1445,AK40*38+AK41 + 2) +AL40," ")," ")</f>
        <v xml:space="preserve"> </v>
      </c>
      <c r="AM41" s="62" t="str">
        <f>IFERROR(IF(ISNUMBER(AK41),'3.Vehículos'!$F$4 * INDEX('2.Distancias'!$D$2:$D$1445,AK40*38+AK41 + 2) +AM40," ")," ")</f>
        <v xml:space="preserve"> </v>
      </c>
      <c r="AN41" s="91" t="str">
        <f>IFERROR(IF(ISNUMBER(AK41),'3.Vehículos'!$F$4 * INDEX('2.Distancias'!$D$2:$D$1445,AK40*38+AK41 + 2) +AO40," ")," ")</f>
        <v xml:space="preserve"> </v>
      </c>
      <c r="AO41" s="91" t="str">
        <f>IFERROR(IF(AND(AK5&lt;&gt;AK41,ISNUMBER(AN41)),INDEX('1 ubicaciones'!$I$2:$I$22,AK41 + 1) + MAX(AN41,INDEX('1 ubicaciones'!$F$2:$F$22,AK41 + 1))," ")," ")</f>
        <v xml:space="preserve"> </v>
      </c>
      <c r="AP41" s="62" t="str">
        <f>IFERROR(IF(AND(AJ41 = AJ5, AJ42 = ""), AN41 - AO5, AO41 - AO5)," ")</f>
        <v xml:space="preserve"> </v>
      </c>
      <c r="AQ41" s="46" t="str">
        <f>IFERROR(IF(ISNUMBER(AK41),INDEX('1 ubicaciones'!$L$2:$L$22,AK41 + 1) + AQ40," ")," ")</f>
        <v xml:space="preserve"> </v>
      </c>
      <c r="AR41" s="57" t="str">
        <f>IFERROR(IF(ISNUMBER(AK41),INDEX('1 ubicaciones'!$J$2:$J$22,AK41 + 1)," ")," ")</f>
        <v xml:space="preserve"> </v>
      </c>
      <c r="AS41" s="57" t="str">
        <f>IFERROR(IF(ISNUMBER(AK41),INDEX('1 ubicaciones'!$K$2:$K$22,AK41 + 1)," ")," ")</f>
        <v xml:space="preserve"> </v>
      </c>
      <c r="AT41" s="57" t="str">
        <f>IFERROR(IF(ISNUMBER(AK41),IF(AJ41 = AJ5, 0, AR41 + AT40)," ")," ")</f>
        <v xml:space="preserve"> </v>
      </c>
      <c r="AU41" s="57" t="str">
        <f>IFERROR(IF(ISNUMBER(AK41),IF(AJ42 = AJ5, 0, IF(AJ42 = "", 0, AU42 + AS42))," ")," ")</f>
        <v xml:space="preserve"> </v>
      </c>
      <c r="AV41" s="46" t="str">
        <f t="shared" si="2"/>
        <v xml:space="preserve"> </v>
      </c>
      <c r="AZ41" s="22">
        <v>36</v>
      </c>
      <c r="BA41" s="65"/>
      <c r="BB41" s="46" t="str">
        <f>IFERROR(MATCH(BA41,'1 ubicaciones'!$B$2:$B$22, 0) - 1," ")</f>
        <v xml:space="preserve"> </v>
      </c>
      <c r="BC41" s="57" t="str">
        <f>IFERROR(IF(ISNUMBER(BB41),INDEX('2.Distancias'!$C$2:$C$1445,BB40*38+BB41 + 2) +BC40," ")," ")</f>
        <v xml:space="preserve"> </v>
      </c>
      <c r="BD41" s="62" t="str">
        <f>IFERROR(IF(ISNUMBER(BB41),'3.Vehículos'!$F$5 * INDEX('2.Distancias'!$D$2:$D$1445,BB40*38+BB41 + 2) +BD40," ")," ")</f>
        <v xml:space="preserve"> </v>
      </c>
      <c r="BE41" s="91" t="str">
        <f>IFERROR(IF(ISNUMBER(BB41),'3.Vehículos'!$F$5 * INDEX('2.Distancias'!$D$2:$D$1445,BB40*38+BB41 + 2) +BF40," ")," ")</f>
        <v xml:space="preserve"> </v>
      </c>
      <c r="BF41" s="91" t="str">
        <f>IFERROR(IF(AND(BB5&lt;&gt;BB41,ISNUMBER(BE41)),INDEX('1 ubicaciones'!$I$2:$I$22,BB41 + 1) + MAX(BE41,INDEX('1 ubicaciones'!$F$2:$F$22,BB41 + 1))," ")," ")</f>
        <v xml:space="preserve"> </v>
      </c>
      <c r="BG41" s="62" t="str">
        <f>IFERROR(IF(AND(BA41 = BA5, BA42 = ""), BE41 - BF5, BF41 - BF5)," ")</f>
        <v xml:space="preserve"> </v>
      </c>
      <c r="BH41" s="46" t="str">
        <f>IFERROR(IF(ISNUMBER(BB41),INDEX('1 ubicaciones'!$L$2:$L$22,BB41 + 1) + BH40," ")," ")</f>
        <v xml:space="preserve"> </v>
      </c>
      <c r="BI41" s="57" t="str">
        <f>IFERROR(IF(ISNUMBER(BB41),INDEX('1 ubicaciones'!$J$2:$J$22,BB41 + 1)," ")," ")</f>
        <v xml:space="preserve"> </v>
      </c>
      <c r="BJ41" s="57" t="str">
        <f>IFERROR(IF(ISNUMBER(BB41),INDEX('1 ubicaciones'!$K$2:$K$22,BB41 + 1)," ")," ")</f>
        <v xml:space="preserve"> </v>
      </c>
      <c r="BK41" s="57" t="str">
        <f>IFERROR(IF(ISNUMBER(BB41),IF(BA41 = BA5, 0, BI41 + BK40)," ")," ")</f>
        <v xml:space="preserve"> </v>
      </c>
      <c r="BL41" s="57" t="str">
        <f>IFERROR(IF(ISNUMBER(BB41),IF(BA42 = BA5, 0, IF(BA42 = "", 0, BL42 + BJ42))," ")," ")</f>
        <v xml:space="preserve"> </v>
      </c>
      <c r="BM41" s="46" t="str">
        <f t="shared" si="3"/>
        <v xml:space="preserve"> </v>
      </c>
      <c r="BQ41" s="22">
        <v>36</v>
      </c>
      <c r="BR41" s="65"/>
      <c r="BS41" s="46" t="str">
        <f>IFERROR(MATCH(BR41,'1 ubicaciones'!$B$2:$B$22, 0) - 1," ")</f>
        <v xml:space="preserve"> </v>
      </c>
      <c r="BT41" s="57" t="str">
        <f>IFERROR(IF(ISNUMBER(BS41),INDEX('2.Distancias'!$C$2:$C$1445,BS40*38+BS41 + 2) +BT40," ")," ")</f>
        <v xml:space="preserve"> </v>
      </c>
      <c r="BU41" s="62" t="str">
        <f>IFERROR(IF(ISNUMBER(BS41),'3.Vehículos'!$F$6 * INDEX('2.Distancias'!$D$2:$D$1445,BS40*38+BS41 + 2) +BU40," ")," ")</f>
        <v xml:space="preserve"> </v>
      </c>
      <c r="BV41" s="91" t="str">
        <f>IFERROR(IF(ISNUMBER(BS41),'3.Vehículos'!$F$6 * INDEX('2.Distancias'!$D$2:$D$1445,BS40*38+BS41 + 2) +BW40," ")," ")</f>
        <v xml:space="preserve"> </v>
      </c>
      <c r="BW41" s="91" t="str">
        <f>IFERROR(IF(AND(BS5&lt;&gt;BS41,ISNUMBER(BV41)),INDEX('1 ubicaciones'!$I$2:$I$22,BS41 + 1) + MAX(BV41,INDEX('1 ubicaciones'!$F$2:$F$22,BS41 + 1))," ")," ")</f>
        <v xml:space="preserve"> </v>
      </c>
      <c r="BX41" s="62" t="str">
        <f>IFERROR(IF(AND(BR41 = BR5, BR42 = ""), BV41 - BW5, BW41 - BW5)," ")</f>
        <v xml:space="preserve"> </v>
      </c>
      <c r="BY41" s="46" t="str">
        <f>IFERROR(IF(ISNUMBER(BS41),INDEX('1 ubicaciones'!$L$2:$L$22,BS41 + 1) + BY40," ")," ")</f>
        <v xml:space="preserve"> </v>
      </c>
      <c r="BZ41" s="57" t="str">
        <f>IFERROR(IF(ISNUMBER(BS41),INDEX('1 ubicaciones'!$J$2:$J$22,BS41 + 1)," ")," ")</f>
        <v xml:space="preserve"> </v>
      </c>
      <c r="CA41" s="57" t="str">
        <f>IFERROR(IF(ISNUMBER(BS41),INDEX('1 ubicaciones'!$K$2:$K$22,BS41 + 1)," ")," ")</f>
        <v xml:space="preserve"> </v>
      </c>
      <c r="CB41" s="57" t="str">
        <f>IFERROR(IF(ISNUMBER(BS41),IF(BR41 = BR5, 0, BZ41 + CB40)," ")," ")</f>
        <v xml:space="preserve"> </v>
      </c>
      <c r="CC41" s="57" t="str">
        <f>IFERROR(IF(ISNUMBER(BS41),IF(BR42 = BR5, 0, IF(BR42 = "", 0, CC42 + CA42))," ")," ")</f>
        <v xml:space="preserve"> </v>
      </c>
      <c r="CD41" s="46" t="str">
        <f t="shared" si="4"/>
        <v xml:space="preserve"> </v>
      </c>
      <c r="CH41" s="22">
        <v>36</v>
      </c>
      <c r="CI41" s="65"/>
      <c r="CJ41" s="46" t="str">
        <f>IFERROR(MATCH(CI41,'1 ubicaciones'!$B$2:$B$22, 0) - 1," ")</f>
        <v xml:space="preserve"> </v>
      </c>
      <c r="CK41" s="57" t="str">
        <f>IFERROR(IF(ISNUMBER(CJ41),INDEX('2.Distancias'!$C$2:$C$1445,CJ40*38+CJ41 + 2) +CK40," ")," ")</f>
        <v xml:space="preserve"> </v>
      </c>
      <c r="CL41" s="62" t="str">
        <f>IFERROR(IF(ISNUMBER(CJ41),'3.Vehículos'!$F$10 * INDEX('2.Distancias'!$D$2:$D$1445,CJ40*38+CJ41 + 2) +CL40," ")," ")</f>
        <v xml:space="preserve"> </v>
      </c>
      <c r="CM41" s="91" t="str">
        <f>IFERROR(IF(ISNUMBER(CJ41),'3.Vehículos'!$F$10 * INDEX('2.Distancias'!$D$2:$D$1445,CJ40*38+CJ41 + 2) +CN40," ")," ")</f>
        <v xml:space="preserve"> </v>
      </c>
      <c r="CN41" s="91" t="str">
        <f>IFERROR(IF(AND(CJ5&lt;&gt;CJ41,ISNUMBER(CM41)),INDEX('1 ubicaciones'!$I$2:$I$22,CJ41 + 1) + MAX(CM41,INDEX('1 ubicaciones'!$F$2:$F$22,CJ41 + 1))," ")," ")</f>
        <v xml:space="preserve"> </v>
      </c>
      <c r="CO41" s="62" t="str">
        <f>IFERROR(IF(AND(CI41 = CI5, CI42 = ""), CM41 - CN5, CN41 - CN5)," ")</f>
        <v xml:space="preserve"> </v>
      </c>
      <c r="CP41" s="46" t="str">
        <f>IFERROR(IF(ISNUMBER(CJ41),INDEX('1 ubicaciones'!$L$2:$L$22,CJ41 + 1) + CP40," ")," ")</f>
        <v xml:space="preserve"> </v>
      </c>
      <c r="CQ41" s="57" t="str">
        <f>IFERROR(IF(ISNUMBER(CJ41),INDEX('1 ubicaciones'!$J$2:$J$22,CJ41 + 1)," ")," ")</f>
        <v xml:space="preserve"> </v>
      </c>
      <c r="CR41" s="57" t="str">
        <f>IFERROR(IF(ISNUMBER(CJ41),INDEX('1 ubicaciones'!$K$2:$K$22,CJ41 + 1)," ")," ")</f>
        <v xml:space="preserve"> </v>
      </c>
      <c r="CS41" s="57" t="str">
        <f>IFERROR(IF(ISNUMBER(CJ41),IF(CI41 = CI5, 0, CQ41 + CS40)," ")," ")</f>
        <v xml:space="preserve"> </v>
      </c>
      <c r="CT41" s="57" t="str">
        <f>IFERROR(IF(ISNUMBER(CJ41),IF(CI42 = CI5, 0, IF(CI42 = "", 0, CT42 + CR42))," ")," ")</f>
        <v xml:space="preserve"> </v>
      </c>
      <c r="CU41" s="46" t="str">
        <f t="shared" si="5"/>
        <v xml:space="preserve"> </v>
      </c>
      <c r="CY41" s="22">
        <v>36</v>
      </c>
      <c r="CZ41" s="65"/>
      <c r="DA41" s="46" t="str">
        <f>IFERROR(MATCH(CZ41,'1 ubicaciones'!$B$2:$B$22, 0) - 1," ")</f>
        <v xml:space="preserve"> </v>
      </c>
      <c r="DB41" s="57" t="str">
        <f>IFERROR(IF(ISNUMBER(DA41),INDEX('2.Distancias'!$C$2:$C$1445,DA40*38+DA41 + 2) +DB40," ")," ")</f>
        <v xml:space="preserve"> </v>
      </c>
      <c r="DC41" s="62" t="str">
        <f>IFERROR(IF(ISNUMBER(DA41),'3.Vehículos'!$F$11 * INDEX('2.Distancias'!$D$2:$D$1445,DA40*38+DA41 + 2) +DC40," ")," ")</f>
        <v xml:space="preserve"> </v>
      </c>
      <c r="DD41" s="91" t="str">
        <f>IFERROR(IF(ISNUMBER(DA41),'3.Vehículos'!$F$11 * INDEX('2.Distancias'!$D$2:$D$1445,DA40*38+DA41 + 2) +DE40," ")," ")</f>
        <v xml:space="preserve"> </v>
      </c>
      <c r="DE41" s="91" t="str">
        <f>IFERROR(IF(AND(DA5&lt;&gt;DA41,ISNUMBER(DD41)),INDEX('1 ubicaciones'!$I$2:$I$22,DA41 + 1) + MAX(DD41,INDEX('1 ubicaciones'!$F$2:$F$22,DA41 + 1))," ")," ")</f>
        <v xml:space="preserve"> </v>
      </c>
      <c r="DF41" s="62" t="str">
        <f>IFERROR(IF(AND(CZ41 = CZ5, CZ42 = ""), DD41 - DE5, DE41 - DE5)," ")</f>
        <v xml:space="preserve"> </v>
      </c>
      <c r="DG41" s="46" t="str">
        <f>IFERROR(IF(ISNUMBER(DA41),INDEX('1 ubicaciones'!$L$2:$L$22,DA41 + 1) + DG40," ")," ")</f>
        <v xml:space="preserve"> </v>
      </c>
      <c r="DH41" s="57" t="str">
        <f>IFERROR(IF(ISNUMBER(DA41),INDEX('1 ubicaciones'!$J$2:$J$22,DA41 + 1)," ")," ")</f>
        <v xml:space="preserve"> </v>
      </c>
      <c r="DI41" s="57" t="str">
        <f>IFERROR(IF(ISNUMBER(DA41),INDEX('1 ubicaciones'!$K$2:$K$22,DA41 + 1)," ")," ")</f>
        <v xml:space="preserve"> </v>
      </c>
      <c r="DJ41" s="57" t="str">
        <f>IFERROR(IF(ISNUMBER(DA41),IF(CZ41 = CZ5, 0, DH41 + DJ40)," ")," ")</f>
        <v xml:space="preserve"> </v>
      </c>
      <c r="DK41" s="57" t="str">
        <f>IFERROR(IF(ISNUMBER(DA41),IF(CZ42 = CZ5, 0, IF(CZ42 = "", 0, DK42 + DI42))," ")," ")</f>
        <v xml:space="preserve"> </v>
      </c>
      <c r="DL41" s="46" t="str">
        <f t="shared" si="6"/>
        <v xml:space="preserve"> </v>
      </c>
      <c r="DP41" s="22">
        <v>36</v>
      </c>
      <c r="DQ41" s="65"/>
      <c r="DR41" s="46" t="str">
        <f>IFERROR(MATCH(DQ41,'1 ubicaciones'!$B$2:$B$22, 0) - 1," ")</f>
        <v xml:space="preserve"> </v>
      </c>
      <c r="DS41" s="57" t="str">
        <f>IFERROR(IF(ISNUMBER(DR41),INDEX('2.Distancias'!$C$2:$C$1445,DR40*38+DR41 + 2) +DS40," ")," ")</f>
        <v xml:space="preserve"> </v>
      </c>
      <c r="DT41" s="62" t="str">
        <f>IFERROR(IF(ISNUMBER(DR41),'3.Vehículos'!$F$18 * INDEX('2.Distancias'!$D$2:$D$1445,DR40*38+DR41 + 2) +DT40," ")," ")</f>
        <v xml:space="preserve"> </v>
      </c>
      <c r="DU41" s="91" t="str">
        <f>IFERROR(IF(ISNUMBER(DR41),'3.Vehículos'!$F$18 * INDEX('2.Distancias'!$D$2:$D$1445,DR40*38+DR41 + 2) +DV40," ")," ")</f>
        <v xml:space="preserve"> </v>
      </c>
      <c r="DV41" s="91" t="str">
        <f>IFERROR(IF(AND(DR5&lt;&gt;DR41,ISNUMBER(DU41)),INDEX('1 ubicaciones'!$I$2:$I$22,DR41 + 1) + MAX(DU41,INDEX('1 ubicaciones'!$F$2:$F$22,DR41 + 1))," ")," ")</f>
        <v xml:space="preserve"> </v>
      </c>
      <c r="DW41" s="62" t="str">
        <f>IFERROR(IF(AND(DQ41 = DQ5, DQ42 = ""), DU41 - DV5, DV41 - DV5)," ")</f>
        <v xml:space="preserve"> </v>
      </c>
      <c r="DX41" s="46" t="str">
        <f>IFERROR(IF(ISNUMBER(DR41),INDEX('1 ubicaciones'!$L$2:$L$22,DR41 + 1) + DX40," ")," ")</f>
        <v xml:space="preserve"> </v>
      </c>
      <c r="DY41" s="57" t="str">
        <f>IFERROR(IF(ISNUMBER(DR41),INDEX('1 ubicaciones'!$J$2:$J$22,DR41 + 1)," ")," ")</f>
        <v xml:space="preserve"> </v>
      </c>
      <c r="DZ41" s="57" t="str">
        <f>IFERROR(IF(ISNUMBER(DR41),INDEX('1 ubicaciones'!$K$2:$K$22,DR41 + 1)," ")," ")</f>
        <v xml:space="preserve"> </v>
      </c>
      <c r="EA41" s="57" t="str">
        <f>IFERROR(IF(ISNUMBER(DR41),IF(DQ41 = DQ5, 0, DY41 + EA40)," ")," ")</f>
        <v xml:space="preserve"> </v>
      </c>
      <c r="EB41" s="57" t="str">
        <f>IFERROR(IF(ISNUMBER(DR41),IF(DQ42 = DQ5, 0, IF(DQ42 = "", 0, EB42 + DZ42))," ")," ")</f>
        <v xml:space="preserve"> </v>
      </c>
      <c r="EC41" s="46" t="str">
        <f t="shared" si="7"/>
        <v xml:space="preserve"> </v>
      </c>
    </row>
    <row r="43" spans="1:133" x14ac:dyDescent="0.25">
      <c r="A43" s="19" t="s">
        <v>854</v>
      </c>
    </row>
  </sheetData>
  <conditionalFormatting sqref="F6:F41">
    <cfRule type="cellIs" priority="143" stopIfTrue="1" operator="equal">
      <formula>" "</formula>
    </cfRule>
  </conditionalFormatting>
  <conditionalFormatting sqref="N5:N41">
    <cfRule type="cellIs" dxfId="73" priority="31" stopIfTrue="1" operator="equal">
      <formula>" "</formula>
    </cfRule>
  </conditionalFormatting>
  <conditionalFormatting sqref="N5:N41">
    <cfRule type="cellIs" dxfId="72" priority="146" stopIfTrue="1" operator="lessThan">
      <formula>0</formula>
    </cfRule>
  </conditionalFormatting>
  <conditionalFormatting sqref="E6:E41">
    <cfRule type="cellIs" dxfId="71" priority="30" stopIfTrue="1" operator="equal">
      <formula>" "</formula>
    </cfRule>
  </conditionalFormatting>
  <conditionalFormatting sqref="H6:H41">
    <cfRule type="cellIs" dxfId="70" priority="29" stopIfTrue="1" operator="equal">
      <formula>" "</formula>
    </cfRule>
  </conditionalFormatting>
  <conditionalFormatting sqref="G3">
    <cfRule type="expression" dxfId="69" priority="149" stopIfTrue="1">
      <formula>ISERROR(I3)</formula>
    </cfRule>
  </conditionalFormatting>
  <conditionalFormatting sqref="W6:W41">
    <cfRule type="cellIs" priority="260" stopIfTrue="1" operator="equal">
      <formula>" "</formula>
    </cfRule>
  </conditionalFormatting>
  <conditionalFormatting sqref="AE5:AE41">
    <cfRule type="cellIs" dxfId="68" priority="27" stopIfTrue="1" operator="equal">
      <formula>" "</formula>
    </cfRule>
  </conditionalFormatting>
  <conditionalFormatting sqref="AE5:AE41">
    <cfRule type="cellIs" dxfId="67" priority="263" stopIfTrue="1" operator="lessThan">
      <formula>0</formula>
    </cfRule>
  </conditionalFormatting>
  <conditionalFormatting sqref="V6:V41">
    <cfRule type="cellIs" dxfId="66" priority="26" stopIfTrue="1" operator="equal">
      <formula>" "</formula>
    </cfRule>
  </conditionalFormatting>
  <conditionalFormatting sqref="Y6:Y41">
    <cfRule type="cellIs" dxfId="65" priority="25" stopIfTrue="1" operator="equal">
      <formula>" "</formula>
    </cfRule>
  </conditionalFormatting>
  <conditionalFormatting sqref="X3">
    <cfRule type="expression" dxfId="64" priority="266" stopIfTrue="1">
      <formula>ISERROR(Z3)</formula>
    </cfRule>
  </conditionalFormatting>
  <conditionalFormatting sqref="AN6:AN41">
    <cfRule type="cellIs" priority="377" stopIfTrue="1" operator="equal">
      <formula>" "</formula>
    </cfRule>
  </conditionalFormatting>
  <conditionalFormatting sqref="AV5:AV41">
    <cfRule type="cellIs" dxfId="63" priority="23" stopIfTrue="1" operator="equal">
      <formula>" "</formula>
    </cfRule>
  </conditionalFormatting>
  <conditionalFormatting sqref="AV5:AV41">
    <cfRule type="cellIs" dxfId="62" priority="380" stopIfTrue="1" operator="lessThan">
      <formula>0</formula>
    </cfRule>
  </conditionalFormatting>
  <conditionalFormatting sqref="AM6:AM41">
    <cfRule type="cellIs" dxfId="61" priority="22" stopIfTrue="1" operator="equal">
      <formula>" "</formula>
    </cfRule>
  </conditionalFormatting>
  <conditionalFormatting sqref="AP6:AP41">
    <cfRule type="cellIs" dxfId="60" priority="21" stopIfTrue="1" operator="equal">
      <formula>" "</formula>
    </cfRule>
  </conditionalFormatting>
  <conditionalFormatting sqref="AO3">
    <cfRule type="expression" dxfId="59" priority="383" stopIfTrue="1">
      <formula>ISERROR(AQ3)</formula>
    </cfRule>
  </conditionalFormatting>
  <conditionalFormatting sqref="BE6:BE41">
    <cfRule type="cellIs" priority="494" stopIfTrue="1" operator="equal">
      <formula>" "</formula>
    </cfRule>
  </conditionalFormatting>
  <conditionalFormatting sqref="BM5:BM41">
    <cfRule type="cellIs" dxfId="58" priority="19" stopIfTrue="1" operator="equal">
      <formula>" "</formula>
    </cfRule>
  </conditionalFormatting>
  <conditionalFormatting sqref="BM5:BM41">
    <cfRule type="cellIs" dxfId="57" priority="497" stopIfTrue="1" operator="lessThan">
      <formula>0</formula>
    </cfRule>
  </conditionalFormatting>
  <conditionalFormatting sqref="BD6:BD41">
    <cfRule type="cellIs" dxfId="56" priority="18" stopIfTrue="1" operator="equal">
      <formula>" "</formula>
    </cfRule>
  </conditionalFormatting>
  <conditionalFormatting sqref="BG6:BG41">
    <cfRule type="cellIs" dxfId="55" priority="17" stopIfTrue="1" operator="equal">
      <formula>" "</formula>
    </cfRule>
  </conditionalFormatting>
  <conditionalFormatting sqref="BF3">
    <cfRule type="expression" dxfId="54" priority="500" stopIfTrue="1">
      <formula>ISERROR(BH3)</formula>
    </cfRule>
  </conditionalFormatting>
  <conditionalFormatting sqref="BV6:BV41">
    <cfRule type="cellIs" priority="611" stopIfTrue="1" operator="equal">
      <formula>" "</formula>
    </cfRule>
  </conditionalFormatting>
  <conditionalFormatting sqref="CD5:CD41">
    <cfRule type="cellIs" dxfId="53" priority="15" stopIfTrue="1" operator="equal">
      <formula>" "</formula>
    </cfRule>
  </conditionalFormatting>
  <conditionalFormatting sqref="CD5:CD41">
    <cfRule type="cellIs" dxfId="52" priority="614" stopIfTrue="1" operator="lessThan">
      <formula>0</formula>
    </cfRule>
  </conditionalFormatting>
  <conditionalFormatting sqref="BU6:BU41">
    <cfRule type="cellIs" dxfId="51" priority="14" stopIfTrue="1" operator="equal">
      <formula>" "</formula>
    </cfRule>
  </conditionalFormatting>
  <conditionalFormatting sqref="BX6:BX41">
    <cfRule type="cellIs" dxfId="50" priority="13" stopIfTrue="1" operator="equal">
      <formula>" "</formula>
    </cfRule>
  </conditionalFormatting>
  <conditionalFormatting sqref="BW3">
    <cfRule type="expression" dxfId="49" priority="617" stopIfTrue="1">
      <formula>ISERROR(BY3)</formula>
    </cfRule>
  </conditionalFormatting>
  <conditionalFormatting sqref="CM6:CM41">
    <cfRule type="cellIs" priority="728" stopIfTrue="1" operator="equal">
      <formula>" "</formula>
    </cfRule>
  </conditionalFormatting>
  <conditionalFormatting sqref="CU5:CU41">
    <cfRule type="cellIs" dxfId="48" priority="11" stopIfTrue="1" operator="equal">
      <formula>" "</formula>
    </cfRule>
  </conditionalFormatting>
  <conditionalFormatting sqref="CU5:CU41">
    <cfRule type="cellIs" dxfId="47" priority="731" stopIfTrue="1" operator="lessThan">
      <formula>0</formula>
    </cfRule>
  </conditionalFormatting>
  <conditionalFormatting sqref="CL6:CL41">
    <cfRule type="cellIs" dxfId="46" priority="10" stopIfTrue="1" operator="equal">
      <formula>" "</formula>
    </cfRule>
  </conditionalFormatting>
  <conditionalFormatting sqref="CO6:CO41">
    <cfRule type="cellIs" dxfId="45" priority="9" stopIfTrue="1" operator="equal">
      <formula>" "</formula>
    </cfRule>
  </conditionalFormatting>
  <conditionalFormatting sqref="CN3">
    <cfRule type="expression" dxfId="44" priority="734" stopIfTrue="1">
      <formula>ISERROR(CP3)</formula>
    </cfRule>
  </conditionalFormatting>
  <conditionalFormatting sqref="DD6:DD41">
    <cfRule type="cellIs" priority="845" stopIfTrue="1" operator="equal">
      <formula>" "</formula>
    </cfRule>
  </conditionalFormatting>
  <conditionalFormatting sqref="DL5:DL41">
    <cfRule type="cellIs" dxfId="43" priority="7" stopIfTrue="1" operator="equal">
      <formula>" "</formula>
    </cfRule>
  </conditionalFormatting>
  <conditionalFormatting sqref="DL5:DL41">
    <cfRule type="cellIs" dxfId="42" priority="848" stopIfTrue="1" operator="lessThan">
      <formula>0</formula>
    </cfRule>
  </conditionalFormatting>
  <conditionalFormatting sqref="DC6:DC41">
    <cfRule type="cellIs" dxfId="41" priority="6" stopIfTrue="1" operator="equal">
      <formula>" "</formula>
    </cfRule>
  </conditionalFormatting>
  <conditionalFormatting sqref="DF6:DF41">
    <cfRule type="cellIs" dxfId="40" priority="5" stopIfTrue="1" operator="equal">
      <formula>" "</formula>
    </cfRule>
  </conditionalFormatting>
  <conditionalFormatting sqref="DE3">
    <cfRule type="expression" dxfId="39" priority="851" stopIfTrue="1">
      <formula>ISERROR(DG3)</formula>
    </cfRule>
  </conditionalFormatting>
  <conditionalFormatting sqref="DU6:DU41">
    <cfRule type="cellIs" priority="962" stopIfTrue="1" operator="equal">
      <formula>" "</formula>
    </cfRule>
  </conditionalFormatting>
  <conditionalFormatting sqref="EC5:EC41">
    <cfRule type="cellIs" dxfId="38" priority="3" stopIfTrue="1" operator="equal">
      <formula>" "</formula>
    </cfRule>
  </conditionalFormatting>
  <conditionalFormatting sqref="EC5:EC41">
    <cfRule type="cellIs" dxfId="37" priority="965" stopIfTrue="1" operator="lessThan">
      <formula>0</formula>
    </cfRule>
  </conditionalFormatting>
  <conditionalFormatting sqref="DT6:DT41">
    <cfRule type="cellIs" dxfId="36" priority="2" stopIfTrue="1" operator="equal">
      <formula>" "</formula>
    </cfRule>
  </conditionalFormatting>
  <conditionalFormatting sqref="DW6:DW41">
    <cfRule type="cellIs" dxfId="35" priority="1" stopIfTrue="1" operator="equal">
      <formula>" "</formula>
    </cfRule>
  </conditionalFormatting>
  <conditionalFormatting sqref="DV3">
    <cfRule type="expression" dxfId="34" priority="968" stopIfTrue="1">
      <formula>ISERROR(DX3)</formula>
    </cfRule>
  </conditionalFormatting>
  <conditionalFormatting sqref="B1">
    <cfRule type="expression" dxfId="33" priority="969" stopIfTrue="1">
      <formula>ISERROR(B1)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144" stopIfTrue="1" operator="greaterThan" id="{37821B83-2079-4C27-B450-9F586038F185}">
            <xm:f>'3.Vehículos'!$G$2</xm:f>
            <x14:dxf/>
          </x14:cfRule>
          <xm:sqref>F6:F41</xm:sqref>
        </x14:conditionalFormatting>
        <x14:conditionalFormatting xmlns:xm="http://schemas.microsoft.com/office/excel/2006/main">
          <x14:cfRule type="cellIs" priority="145" stopIfTrue="1" operator="greaterThan" id="{11AC8EAE-2D22-42F6-A488-FC127FC52D39}">
            <xm:f>'3.Vehículos'!$C$2</xm:f>
            <x14:dxf>
              <fill>
                <patternFill>
                  <bgColor indexed="10"/>
                </patternFill>
              </fill>
            </x14:dxf>
          </x14:cfRule>
          <xm:sqref>N5:N41</xm:sqref>
        </x14:conditionalFormatting>
        <x14:conditionalFormatting xmlns:xm="http://schemas.microsoft.com/office/excel/2006/main">
          <x14:cfRule type="cellIs" priority="147" stopIfTrue="1" operator="greaterThan" id="{CA617A70-6F7C-42A8-BAEC-1FC5339DD7DE}">
            <xm:f>'3.Vehículos'!$I$2</xm:f>
            <x14:dxf>
              <fill>
                <patternFill>
                  <bgColor indexed="10"/>
                </patternFill>
              </fill>
            </x14:dxf>
          </x14:cfRule>
          <xm:sqref>E6:E41</xm:sqref>
        </x14:conditionalFormatting>
        <x14:conditionalFormatting xmlns:xm="http://schemas.microsoft.com/office/excel/2006/main">
          <x14:cfRule type="cellIs" priority="148" stopIfTrue="1" operator="greaterThan" id="{3AA6D357-C4A3-4D4C-A5D1-036872553A2E}">
            <xm:f>'3.Vehículos'!$J$2</xm:f>
            <x14:dxf>
              <fill>
                <patternFill>
                  <bgColor indexed="10"/>
                </patternFill>
              </fill>
            </x14:dxf>
          </x14:cfRule>
          <xm:sqref>H6:H41</xm:sqref>
        </x14:conditionalFormatting>
        <x14:conditionalFormatting xmlns:xm="http://schemas.microsoft.com/office/excel/2006/main">
          <x14:cfRule type="cellIs" priority="261" stopIfTrue="1" operator="greaterThan" id="{7711B755-5AC4-42BF-8EDA-E87D6D19BF40}">
            <xm:f>'3.Vehículos'!$G$3</xm:f>
            <x14:dxf/>
          </x14:cfRule>
          <xm:sqref>W6:W41</xm:sqref>
        </x14:conditionalFormatting>
        <x14:conditionalFormatting xmlns:xm="http://schemas.microsoft.com/office/excel/2006/main">
          <x14:cfRule type="cellIs" priority="262" stopIfTrue="1" operator="greaterThan" id="{4D73722B-480E-4520-AC08-FB3A912758B3}">
            <xm:f>'3.Vehículos'!$C$3</xm:f>
            <x14:dxf>
              <fill>
                <patternFill>
                  <bgColor indexed="10"/>
                </patternFill>
              </fill>
            </x14:dxf>
          </x14:cfRule>
          <xm:sqref>AE5:AE41</xm:sqref>
        </x14:conditionalFormatting>
        <x14:conditionalFormatting xmlns:xm="http://schemas.microsoft.com/office/excel/2006/main">
          <x14:cfRule type="cellIs" priority="264" stopIfTrue="1" operator="greaterThan" id="{39B1A392-6C01-4471-AD6E-F997E0355BD2}">
            <xm:f>'3.Vehículos'!$I$3</xm:f>
            <x14:dxf>
              <fill>
                <patternFill>
                  <bgColor indexed="10"/>
                </patternFill>
              </fill>
            </x14:dxf>
          </x14:cfRule>
          <xm:sqref>V6:V41</xm:sqref>
        </x14:conditionalFormatting>
        <x14:conditionalFormatting xmlns:xm="http://schemas.microsoft.com/office/excel/2006/main">
          <x14:cfRule type="cellIs" priority="265" stopIfTrue="1" operator="greaterThan" id="{1D870F4C-DF1E-4F32-8DCC-FE7DF3939373}">
            <xm:f>'3.Vehículos'!$J$3</xm:f>
            <x14:dxf>
              <fill>
                <patternFill>
                  <bgColor indexed="10"/>
                </patternFill>
              </fill>
            </x14:dxf>
          </x14:cfRule>
          <xm:sqref>Y6:Y41</xm:sqref>
        </x14:conditionalFormatting>
        <x14:conditionalFormatting xmlns:xm="http://schemas.microsoft.com/office/excel/2006/main">
          <x14:cfRule type="cellIs" priority="378" stopIfTrue="1" operator="greaterThan" id="{187C04E5-5C31-48DF-917F-A975534E6613}">
            <xm:f>'3.Vehículos'!$G$4</xm:f>
            <x14:dxf/>
          </x14:cfRule>
          <xm:sqref>AN6:AN41</xm:sqref>
        </x14:conditionalFormatting>
        <x14:conditionalFormatting xmlns:xm="http://schemas.microsoft.com/office/excel/2006/main">
          <x14:cfRule type="cellIs" priority="379" stopIfTrue="1" operator="greaterThan" id="{477D1EAE-D79B-46B6-83C1-473B0F477141}">
            <xm:f>'3.Vehículos'!$C$4</xm:f>
            <x14:dxf>
              <fill>
                <patternFill>
                  <bgColor indexed="10"/>
                </patternFill>
              </fill>
            </x14:dxf>
          </x14:cfRule>
          <xm:sqref>AV5:AV41</xm:sqref>
        </x14:conditionalFormatting>
        <x14:conditionalFormatting xmlns:xm="http://schemas.microsoft.com/office/excel/2006/main">
          <x14:cfRule type="cellIs" priority="381" stopIfTrue="1" operator="greaterThan" id="{9154A607-BFAD-45BD-BC50-EF94E5035FDD}">
            <xm:f>'3.Vehículos'!$I$4</xm:f>
            <x14:dxf>
              <fill>
                <patternFill>
                  <bgColor indexed="10"/>
                </patternFill>
              </fill>
            </x14:dxf>
          </x14:cfRule>
          <xm:sqref>AM6:AM41</xm:sqref>
        </x14:conditionalFormatting>
        <x14:conditionalFormatting xmlns:xm="http://schemas.microsoft.com/office/excel/2006/main">
          <x14:cfRule type="cellIs" priority="382" stopIfTrue="1" operator="greaterThan" id="{E4C44DB0-ECE1-4316-8C48-D4DE446330D8}">
            <xm:f>'3.Vehículos'!$J$4</xm:f>
            <x14:dxf>
              <fill>
                <patternFill>
                  <bgColor indexed="10"/>
                </patternFill>
              </fill>
            </x14:dxf>
          </x14:cfRule>
          <xm:sqref>AP6:AP41</xm:sqref>
        </x14:conditionalFormatting>
        <x14:conditionalFormatting xmlns:xm="http://schemas.microsoft.com/office/excel/2006/main">
          <x14:cfRule type="cellIs" priority="495" stopIfTrue="1" operator="greaterThan" id="{41D1A1F9-9107-47F0-A43C-E3C6BBAAB75E}">
            <xm:f>'3.Vehículos'!$G$5</xm:f>
            <x14:dxf/>
          </x14:cfRule>
          <xm:sqref>BE6:BE41</xm:sqref>
        </x14:conditionalFormatting>
        <x14:conditionalFormatting xmlns:xm="http://schemas.microsoft.com/office/excel/2006/main">
          <x14:cfRule type="cellIs" priority="496" stopIfTrue="1" operator="greaterThan" id="{BDFCEDF9-C5FA-4E48-BB6B-7EFD7EAB1810}">
            <xm:f>'3.Vehículos'!$C$5</xm:f>
            <x14:dxf>
              <fill>
                <patternFill>
                  <bgColor indexed="10"/>
                </patternFill>
              </fill>
            </x14:dxf>
          </x14:cfRule>
          <xm:sqref>BM5:BM41</xm:sqref>
        </x14:conditionalFormatting>
        <x14:conditionalFormatting xmlns:xm="http://schemas.microsoft.com/office/excel/2006/main">
          <x14:cfRule type="cellIs" priority="498" stopIfTrue="1" operator="greaterThan" id="{E1DDAC42-0485-4F70-822E-001459C8DD71}">
            <xm:f>'3.Vehículos'!$I$5</xm:f>
            <x14:dxf>
              <fill>
                <patternFill>
                  <bgColor indexed="10"/>
                </patternFill>
              </fill>
            </x14:dxf>
          </x14:cfRule>
          <xm:sqref>BD6:BD41</xm:sqref>
        </x14:conditionalFormatting>
        <x14:conditionalFormatting xmlns:xm="http://schemas.microsoft.com/office/excel/2006/main">
          <x14:cfRule type="cellIs" priority="499" stopIfTrue="1" operator="greaterThan" id="{5E5C9513-18AB-4ED2-A9DE-8A2B3BA5EBAA}">
            <xm:f>'3.Vehículos'!$J$5</xm:f>
            <x14:dxf>
              <fill>
                <patternFill>
                  <bgColor indexed="10"/>
                </patternFill>
              </fill>
            </x14:dxf>
          </x14:cfRule>
          <xm:sqref>BG6:BG41</xm:sqref>
        </x14:conditionalFormatting>
        <x14:conditionalFormatting xmlns:xm="http://schemas.microsoft.com/office/excel/2006/main">
          <x14:cfRule type="cellIs" priority="612" stopIfTrue="1" operator="greaterThan" id="{50D1C77C-F537-47BF-B8C5-43C2C8858DEB}">
            <xm:f>'3.Vehículos'!$G$6</xm:f>
            <x14:dxf/>
          </x14:cfRule>
          <xm:sqref>BV6:BV41</xm:sqref>
        </x14:conditionalFormatting>
        <x14:conditionalFormatting xmlns:xm="http://schemas.microsoft.com/office/excel/2006/main">
          <x14:cfRule type="cellIs" priority="613" stopIfTrue="1" operator="greaterThan" id="{5A113C54-7589-4640-936F-5EB998F92D5C}">
            <xm:f>'3.Vehículos'!$C$6</xm:f>
            <x14:dxf>
              <fill>
                <patternFill>
                  <bgColor indexed="10"/>
                </patternFill>
              </fill>
            </x14:dxf>
          </x14:cfRule>
          <xm:sqref>CD5:CD41</xm:sqref>
        </x14:conditionalFormatting>
        <x14:conditionalFormatting xmlns:xm="http://schemas.microsoft.com/office/excel/2006/main">
          <x14:cfRule type="cellIs" priority="615" stopIfTrue="1" operator="greaterThan" id="{2D8B8BB4-DA3A-4AE9-A90A-9C5EC7B21B37}">
            <xm:f>'3.Vehículos'!$I$6</xm:f>
            <x14:dxf>
              <fill>
                <patternFill>
                  <bgColor indexed="10"/>
                </patternFill>
              </fill>
            </x14:dxf>
          </x14:cfRule>
          <xm:sqref>BU6:BU41</xm:sqref>
        </x14:conditionalFormatting>
        <x14:conditionalFormatting xmlns:xm="http://schemas.microsoft.com/office/excel/2006/main">
          <x14:cfRule type="cellIs" priority="616" stopIfTrue="1" operator="greaterThan" id="{E573C2A8-3FF0-4D43-AB5C-695018B72A25}">
            <xm:f>'3.Vehículos'!$J$6</xm:f>
            <x14:dxf>
              <fill>
                <patternFill>
                  <bgColor indexed="10"/>
                </patternFill>
              </fill>
            </x14:dxf>
          </x14:cfRule>
          <xm:sqref>BX6:BX41</xm:sqref>
        </x14:conditionalFormatting>
        <x14:conditionalFormatting xmlns:xm="http://schemas.microsoft.com/office/excel/2006/main">
          <x14:cfRule type="cellIs" priority="729" stopIfTrue="1" operator="greaterThan" id="{E8881471-69BC-404C-BEF9-7D41AD60BD19}">
            <xm:f>'3.Vehículos'!$G$10</xm:f>
            <x14:dxf/>
          </x14:cfRule>
          <xm:sqref>CM6:CM41</xm:sqref>
        </x14:conditionalFormatting>
        <x14:conditionalFormatting xmlns:xm="http://schemas.microsoft.com/office/excel/2006/main">
          <x14:cfRule type="cellIs" priority="730" stopIfTrue="1" operator="greaterThan" id="{0FB1B478-01C8-4BBC-88D0-0FD7B62A7F82}">
            <xm:f>'3.Vehículos'!$C$2</xm:f>
            <x14:dxf>
              <fill>
                <patternFill>
                  <bgColor indexed="10"/>
                </patternFill>
              </fill>
            </x14:dxf>
          </x14:cfRule>
          <xm:sqref>CU5:CU41</xm:sqref>
        </x14:conditionalFormatting>
        <x14:conditionalFormatting xmlns:xm="http://schemas.microsoft.com/office/excel/2006/main">
          <x14:cfRule type="cellIs" priority="732" stopIfTrue="1" operator="greaterThan" id="{F88889D2-CDDF-4046-A412-DC18DB083579}">
            <xm:f>'3.Vehículos'!$I$10</xm:f>
            <x14:dxf>
              <fill>
                <patternFill>
                  <bgColor indexed="10"/>
                </patternFill>
              </fill>
            </x14:dxf>
          </x14:cfRule>
          <xm:sqref>CL6:CL41</xm:sqref>
        </x14:conditionalFormatting>
        <x14:conditionalFormatting xmlns:xm="http://schemas.microsoft.com/office/excel/2006/main">
          <x14:cfRule type="cellIs" priority="733" stopIfTrue="1" operator="greaterThan" id="{BE235CE3-CEC9-4802-9B8C-47317DFFD0CC}">
            <xm:f>'3.Vehículos'!$J$10</xm:f>
            <x14:dxf>
              <fill>
                <patternFill>
                  <bgColor indexed="10"/>
                </patternFill>
              </fill>
            </x14:dxf>
          </x14:cfRule>
          <xm:sqref>CO6:CO41</xm:sqref>
        </x14:conditionalFormatting>
        <x14:conditionalFormatting xmlns:xm="http://schemas.microsoft.com/office/excel/2006/main">
          <x14:cfRule type="cellIs" priority="846" stopIfTrue="1" operator="greaterThan" id="{A0F2F354-BBA1-4404-8FD4-F90B3AAA02C7}">
            <xm:f>'3.Vehículos'!$G$11</xm:f>
            <x14:dxf/>
          </x14:cfRule>
          <xm:sqref>DD6:DD41</xm:sqref>
        </x14:conditionalFormatting>
        <x14:conditionalFormatting xmlns:xm="http://schemas.microsoft.com/office/excel/2006/main">
          <x14:cfRule type="cellIs" priority="847" stopIfTrue="1" operator="greaterThan" id="{A958D3BA-549A-491D-B87E-A3A143E2B1B0}">
            <xm:f>'3.Vehículos'!$C$3</xm:f>
            <x14:dxf>
              <fill>
                <patternFill>
                  <bgColor indexed="10"/>
                </patternFill>
              </fill>
            </x14:dxf>
          </x14:cfRule>
          <xm:sqref>DL5:DL41</xm:sqref>
        </x14:conditionalFormatting>
        <x14:conditionalFormatting xmlns:xm="http://schemas.microsoft.com/office/excel/2006/main">
          <x14:cfRule type="cellIs" priority="849" stopIfTrue="1" operator="greaterThan" id="{3C8E97EF-D651-42BC-AE12-FFC3136C29BB}">
            <xm:f>'3.Vehículos'!$I$11</xm:f>
            <x14:dxf>
              <fill>
                <patternFill>
                  <bgColor indexed="10"/>
                </patternFill>
              </fill>
            </x14:dxf>
          </x14:cfRule>
          <xm:sqref>DC6:DC41</xm:sqref>
        </x14:conditionalFormatting>
        <x14:conditionalFormatting xmlns:xm="http://schemas.microsoft.com/office/excel/2006/main">
          <x14:cfRule type="cellIs" priority="850" stopIfTrue="1" operator="greaterThan" id="{C4DB12FF-5F71-429B-816D-7DA165BD8F23}">
            <xm:f>'3.Vehículos'!$J$11</xm:f>
            <x14:dxf>
              <fill>
                <patternFill>
                  <bgColor indexed="10"/>
                </patternFill>
              </fill>
            </x14:dxf>
          </x14:cfRule>
          <xm:sqref>DF6:DF41</xm:sqref>
        </x14:conditionalFormatting>
        <x14:conditionalFormatting xmlns:xm="http://schemas.microsoft.com/office/excel/2006/main">
          <x14:cfRule type="cellIs" priority="963" stopIfTrue="1" operator="greaterThan" id="{F58F29BC-F10E-4816-AE6B-254FAB3EBE29}">
            <xm:f>'3.Vehículos'!$G$18</xm:f>
            <x14:dxf/>
          </x14:cfRule>
          <xm:sqref>DU6:DU41</xm:sqref>
        </x14:conditionalFormatting>
        <x14:conditionalFormatting xmlns:xm="http://schemas.microsoft.com/office/excel/2006/main">
          <x14:cfRule type="cellIs" priority="964" stopIfTrue="1" operator="greaterThan" id="{910571F9-307E-4D16-95BB-5033A7554D89}">
            <xm:f>'3.Vehículos'!$C$2</xm:f>
            <x14:dxf>
              <fill>
                <patternFill>
                  <bgColor indexed="10"/>
                </patternFill>
              </fill>
            </x14:dxf>
          </x14:cfRule>
          <xm:sqref>EC5:EC41</xm:sqref>
        </x14:conditionalFormatting>
        <x14:conditionalFormatting xmlns:xm="http://schemas.microsoft.com/office/excel/2006/main">
          <x14:cfRule type="cellIs" priority="966" stopIfTrue="1" operator="greaterThan" id="{16799DDE-B9C5-4AC1-8E07-231FA5A1AD4C}">
            <xm:f>'3.Vehículos'!$I$18</xm:f>
            <x14:dxf>
              <fill>
                <patternFill>
                  <bgColor indexed="10"/>
                </patternFill>
              </fill>
            </x14:dxf>
          </x14:cfRule>
          <xm:sqref>DT6:DT41</xm:sqref>
        </x14:conditionalFormatting>
        <x14:conditionalFormatting xmlns:xm="http://schemas.microsoft.com/office/excel/2006/main">
          <x14:cfRule type="cellIs" priority="967" stopIfTrue="1" operator="greaterThan" id="{F811519B-43DA-4921-A1A3-54040ED468AB}">
            <xm:f>'3.Vehículos'!$J$18</xm:f>
            <x14:dxf>
              <fill>
                <patternFill>
                  <bgColor indexed="10"/>
                </patternFill>
              </fill>
            </x14:dxf>
          </x14:cfRule>
          <xm:sqref>DW6:DW41</xm:sqref>
        </x14:conditionalFormatting>
        <x14:conditionalFormatting xmlns:xm="http://schemas.microsoft.com/office/excel/2006/main">
          <x14:cfRule type="expression" priority="971" stopIfTrue="1" id="{15BF05BB-6D37-420C-B9BC-53827BB74FB1}">
            <xm:f>(60 * HOUR(F5) + MINUTE(F5)) &gt;(60 * HOUR(INDEX('1 ubicaciones'!$G$2:$G$22,C5 + 1)) +MINUTE(INDEX('1 ubicaciones'!$G$2:$G$22,C5 + 1)))</xm:f>
            <x14:dxf>
              <fill>
                <patternFill>
                  <bgColor indexed="10"/>
                </patternFill>
              </fill>
            </x14:dxf>
          </x14:cfRule>
          <xm:sqref>F5 F15:F41 W5:W41 AN5:AN41 BE5:BE41 BV5:BV41 CM5:CM41 DD5:DD41 DU5:DU41</xm:sqref>
        </x14:conditionalFormatting>
        <x14:conditionalFormatting xmlns:xm="http://schemas.microsoft.com/office/excel/2006/main">
          <x14:cfRule type="expression" priority="972" stopIfTrue="1" id="{387EC202-6C3E-4E2B-91B5-C2946840C942}">
            <xm:f>(60 * HOUR(G5) + MINUTE(G5)) &gt;(60 * HOUR(INDEX('1 ubicaciones'!$G$2:$G$22,C5 + 1)) +MINUTE(INDEX('1 ubicaciones'!$G$2:$G$22,C5 + 1)))</xm:f>
            <x14:dxf>
              <fill>
                <patternFill>
                  <bgColor indexed="10"/>
                </patternFill>
              </fill>
            </x14:dxf>
          </x14:cfRule>
          <xm:sqref>G5:G41 X5:X41 AO5:AO41 BF5:BF41 BW5:BW41 CN5:CN41 DE5:DE41 DV5:DV41</xm:sqref>
        </x14:conditionalFormatting>
        <x14:conditionalFormatting xmlns:xm="http://schemas.microsoft.com/office/excel/2006/main">
          <x14:cfRule type="cellIs" priority="973" stopIfTrue="1" operator="lessThan" id="{F58D2E4B-F28D-424B-8E73-D6D28934D542}">
            <xm:f>INDEX('1 ubicaciones'!$F$2:$F$22,C6 + 1)</xm:f>
            <x14:dxf>
              <fill>
                <patternFill patternType="solid">
                  <bgColor indexed="43"/>
                </patternFill>
              </fill>
            </x14:dxf>
          </x14:cfRule>
          <x14:cfRule type="expression" priority="974" stopIfTrue="1" id="{EC94CCA4-E8BA-4C99-8545-8DCA2306B9A6}">
            <xm:f>(60 * HOUR(F6) + MINUTE(F6)) &gt;(60 * HOUR(INDEX('1 ubicaciones'!$G$2:$G$22,C6 + 1)) +MINUTE(INDEX('1 ubicaciones'!$G$2:$G$22,C6 + 1)))</xm:f>
            <x14:dxf>
              <fill>
                <patternFill>
                  <bgColor indexed="10"/>
                </patternFill>
              </fill>
            </x14:dxf>
          </x14:cfRule>
          <xm:sqref>F6</xm:sqref>
        </x14:conditionalFormatting>
        <x14:conditionalFormatting xmlns:xm="http://schemas.microsoft.com/office/excel/2006/main">
          <x14:cfRule type="cellIs" priority="976" stopIfTrue="1" operator="lessThan" id="{80C623C5-FE30-45B8-BB8B-184300D7A14E}">
            <xm:f>INDEX('1 ubicaciones'!$F$2:$F$22,C7 + 1)</xm:f>
            <x14:dxf>
              <fill>
                <patternFill>
                  <bgColor indexed="52"/>
                </patternFill>
              </fill>
            </x14:dxf>
          </x14:cfRule>
          <x14:cfRule type="expression" priority="977" stopIfTrue="1" id="{2F1F16EB-6D8D-41B5-872C-8AEABB9ED1B9}">
            <xm:f>(60 * HOUR(F7) + MINUTE(F7)) &gt;(60 * HOUR(INDEX('1 ubicaciones'!$G$2:$G$22,C7 + 1)) +MINUTE(INDEX('1 ubicaciones'!$G$2:$G$22,C7 + 1)))</xm:f>
            <x14:dxf>
              <fill>
                <patternFill>
                  <bgColor indexed="10"/>
                </patternFill>
              </fill>
            </x14:dxf>
          </x14:cfRule>
          <xm:sqref>F7:F14</xm:sqref>
        </x14:conditionalFormatting>
        <x14:conditionalFormatting xmlns:xm="http://schemas.microsoft.com/office/excel/2006/main">
          <x14:cfRule type="cellIs" priority="1000" stopIfTrue="1" operator="lessThan" id="{83782B93-CF2A-4B07-83EF-6B3078E3BFEC}">
            <xm:f>INDEX('1 ubicaciones'!$F$2:$F$22,C7 + 1)</xm:f>
            <x14:dxf>
              <fill>
                <patternFill>
                  <bgColor indexed="52"/>
                </patternFill>
              </fill>
            </x14:dxf>
          </x14:cfRule>
          <xm:sqref>F15:F41 W7:W41 AN7:AN41 BE7:BE41 BV7:BV41 CM7:CM41 DD7:DD41 DU7:DU41</xm:sqref>
        </x14:conditionalFormatting>
        <x14:conditionalFormatting xmlns:xm="http://schemas.microsoft.com/office/excel/2006/main">
          <x14:cfRule type="cellIs" priority="1083" stopIfTrue="1" operator="lessThan" id="{E04A2ECF-9A1A-4F6D-971E-5718740FA246}">
            <xm:f>INDEX('1 ubicaciones'!$F$2:$F$22,T6 + 1)</xm:f>
            <x14:dxf>
              <fill>
                <patternFill patternType="solid">
                  <bgColor indexed="43"/>
                </patternFill>
              </fill>
            </x14:dxf>
          </x14:cfRule>
          <xm:sqref>W6 AN6 BE6 BV6 CM6 DD6 DU6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dvertencia" error="Seleccione un valor de la lista disponible en la celda seleccionada." xr:uid="{50CD9E6A-0DF1-4D9C-95C7-6E690C4CE22B}">
          <x14:formula1>
            <xm:f>'1 ubicaciones'!$B$2:$B$22</xm:f>
          </x14:formula1>
          <xm:sqref>B6:B41 S6:S41 AJ6:AJ41 BA6:BA41 BR6:BR41 CI6:CI41 CZ6:CZ41 DQ6:DQ41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85C5A-BAB3-40EA-8CA0-04650B8E5FF0}">
  <dimension ref="A1:AM149"/>
  <sheetViews>
    <sheetView zoomScale="111" zoomScaleNormal="98" workbookViewId="0">
      <selection activeCell="B1" sqref="B1"/>
    </sheetView>
  </sheetViews>
  <sheetFormatPr baseColWidth="10" defaultRowHeight="15" x14ac:dyDescent="0.25"/>
  <cols>
    <col min="15" max="39" width="0" hidden="1" customWidth="1"/>
  </cols>
  <sheetData>
    <row r="1" spans="1:39" x14ac:dyDescent="0.25">
      <c r="A1" s="19" t="s">
        <v>4065</v>
      </c>
      <c r="B1" s="16" t="s">
        <v>4054</v>
      </c>
      <c r="O1" t="str">
        <f>'4.Solución'!B3</f>
        <v>V1 (T1)</v>
      </c>
      <c r="R1" t="str">
        <f>'4.Solución'!S3</f>
        <v>V2 (T2)</v>
      </c>
      <c r="U1" t="str">
        <f>'4.Solución'!AJ3</f>
        <v>V3 (T3)</v>
      </c>
      <c r="X1" t="str">
        <f>'4.Solución'!BA3</f>
        <v>V4 (T4)</v>
      </c>
      <c r="AA1" t="str">
        <f>'4.Solución'!BR3</f>
        <v>V5 (T5)</v>
      </c>
      <c r="AD1" t="str">
        <f>'4.Solución'!CI3</f>
        <v>V6 (T1)</v>
      </c>
      <c r="AG1" t="str">
        <f>'4.Solución'!CZ3</f>
        <v>V7 (T2)</v>
      </c>
      <c r="AJ1" t="str">
        <f>'4.Solución'!DQ3</f>
        <v>V8 (T1)</v>
      </c>
      <c r="AM1" t="s">
        <v>4054</v>
      </c>
    </row>
    <row r="2" spans="1:39" x14ac:dyDescent="0.25">
      <c r="O2">
        <f>'4.Solución'!C5</f>
        <v>0</v>
      </c>
      <c r="P2">
        <f>IFERROR(IF(ISNUMBER(O2),INDEX('1 ubicaciones'!$D$2:$D$22,O2 + 1),NA()),NA())</f>
        <v>-12.072199100000001</v>
      </c>
      <c r="Q2">
        <f>IFERROR(IF(ISNUMBER(O2),INDEX('1 ubicaciones'!$E$2:$E$22,O2 + 1),NA()),NA())</f>
        <v>-77.002365100000006</v>
      </c>
      <c r="R2">
        <f>'4.Solución'!T5</f>
        <v>0</v>
      </c>
      <c r="S2">
        <f>IFERROR(IF(ISNUMBER(R2),INDEX('1 ubicaciones'!$D$2:$D$22,R2 + 1),NA()),NA())</f>
        <v>-12.072199100000001</v>
      </c>
      <c r="T2">
        <f>IFERROR(IF(ISNUMBER(R2),INDEX('1 ubicaciones'!$E$2:$E$22,R2 + 1),NA()),NA())</f>
        <v>-77.002365100000006</v>
      </c>
      <c r="U2">
        <f>'4.Solución'!AK5</f>
        <v>0</v>
      </c>
      <c r="V2">
        <f>IFERROR(IF(ISNUMBER(U2),INDEX('1 ubicaciones'!$D$2:$D$22,U2 + 1),NA()),NA())</f>
        <v>-12.072199100000001</v>
      </c>
      <c r="W2">
        <f>IFERROR(IF(ISNUMBER(U2),INDEX('1 ubicaciones'!$E$2:$E$22,U2 + 1),NA()),NA())</f>
        <v>-77.002365100000006</v>
      </c>
      <c r="X2">
        <f>'4.Solución'!BB5</f>
        <v>0</v>
      </c>
      <c r="Y2">
        <f>IFERROR(IF(ISNUMBER(X2),INDEX('1 ubicaciones'!$D$2:$D$22,X2 + 1),NA()),NA())</f>
        <v>-12.072199100000001</v>
      </c>
      <c r="Z2">
        <f>IFERROR(IF(ISNUMBER(X2),INDEX('1 ubicaciones'!$E$2:$E$22,X2 + 1),NA()),NA())</f>
        <v>-77.002365100000006</v>
      </c>
      <c r="AA2">
        <f>'4.Solución'!BS5</f>
        <v>0</v>
      </c>
      <c r="AB2">
        <f>IFERROR(IF(ISNUMBER(AA2),INDEX('1 ubicaciones'!$D$2:$D$22,AA2 + 1),NA()),NA())</f>
        <v>-12.072199100000001</v>
      </c>
      <c r="AC2">
        <f>IFERROR(IF(ISNUMBER(AA2),INDEX('1 ubicaciones'!$E$2:$E$22,AA2 + 1),NA()),NA())</f>
        <v>-77.002365100000006</v>
      </c>
      <c r="AD2">
        <f>'4.Solución'!CJ5</f>
        <v>1</v>
      </c>
      <c r="AE2">
        <f>IFERROR(IF(ISNUMBER(AD2),INDEX('1 ubicaciones'!$D$2:$D$22,AD2 + 1),NA()),NA())</f>
        <v>-12.072199100000001</v>
      </c>
      <c r="AF2">
        <f>IFERROR(IF(ISNUMBER(AD2),INDEX('1 ubicaciones'!$E$2:$E$22,AD2 + 1),NA()),NA())</f>
        <v>-77.002365100000006</v>
      </c>
      <c r="AG2">
        <f>'4.Solución'!DA5</f>
        <v>1</v>
      </c>
      <c r="AH2">
        <f>IFERROR(IF(ISNUMBER(AG2),INDEX('1 ubicaciones'!$D$2:$D$22,AG2 + 1),NA()),NA())</f>
        <v>-12.072199100000001</v>
      </c>
      <c r="AI2">
        <f>IFERROR(IF(ISNUMBER(AG2),INDEX('1 ubicaciones'!$E$2:$E$22,AG2 + 1),NA()),NA())</f>
        <v>-77.002365100000006</v>
      </c>
      <c r="AJ2">
        <f>'4.Solución'!DR5</f>
        <v>2</v>
      </c>
      <c r="AK2" t="str">
        <f>IFERROR(IF(ISNUMBER(AJ2),INDEX('1 ubicaciones'!$D$2:$D$22,AJ2 + 1),NA()),NA())</f>
        <v>-120.503.639</v>
      </c>
      <c r="AL2" t="str">
        <f>IFERROR(IF(ISNUMBER(AJ2),INDEX('1 ubicaciones'!$E$2:$E$22,AJ2 + 1),NA()),NA())</f>
        <v>-7.712.329.799.999.990</v>
      </c>
      <c r="AM2" t="str">
        <f>'4.Solución'!B3</f>
        <v>V1 (T1)</v>
      </c>
    </row>
    <row r="3" spans="1:39" x14ac:dyDescent="0.25">
      <c r="P3" t="e">
        <f>IF(AND(ISNUMBER(O2), ISNUMBER(O6)), INDEX('2.Distancias'!E3:J1446, (O2*38) + O6 + 1,1), NA())</f>
        <v>#N/A</v>
      </c>
      <c r="Q3" t="e">
        <f>IF(AND(ISNUMBER(O2), ISNUMBER(O6)), INDEX('2.Distancias'!E3:J1446, (O2*38) + O6 + 1,2), NA())</f>
        <v>#N/A</v>
      </c>
      <c r="S3" t="e">
        <f>IF(AND(ISNUMBER(R2), ISNUMBER(R6)), INDEX('2.Distancias'!E3:J1446, (R2*38) + R6 + 1,1), NA())</f>
        <v>#N/A</v>
      </c>
      <c r="T3" t="e">
        <f>IF(AND(ISNUMBER(R2), ISNUMBER(R6)), INDEX('2.Distancias'!E3:J1446, (R2*38) + R6 + 1,2), NA())</f>
        <v>#N/A</v>
      </c>
      <c r="V3" t="e">
        <f>IF(AND(ISNUMBER(U2), ISNUMBER(U6)), INDEX('2.Distancias'!E3:J1446, (U2*38) + U6 + 1,1), NA())</f>
        <v>#N/A</v>
      </c>
      <c r="W3" t="e">
        <f>IF(AND(ISNUMBER(U2), ISNUMBER(U6)), INDEX('2.Distancias'!E3:J1446, (U2*38) + U6 + 1,2), NA())</f>
        <v>#N/A</v>
      </c>
      <c r="Y3" t="e">
        <f>IF(AND(ISNUMBER(X2), ISNUMBER(X6)), INDEX('2.Distancias'!E3:J1446, (X2*38) + X6 + 1,1), NA())</f>
        <v>#N/A</v>
      </c>
      <c r="Z3" t="e">
        <f>IF(AND(ISNUMBER(X2), ISNUMBER(X6)), INDEX('2.Distancias'!E3:J1446, (X2*38) + X6 + 1,2), NA())</f>
        <v>#N/A</v>
      </c>
      <c r="AB3" t="e">
        <f>IF(AND(ISNUMBER(AA2), ISNUMBER(AA6)), INDEX('2.Distancias'!E3:J1446, (AA2*38) + AA6 + 1,1), NA())</f>
        <v>#N/A</v>
      </c>
      <c r="AC3" t="e">
        <f>IF(AND(ISNUMBER(AA2), ISNUMBER(AA6)), INDEX('2.Distancias'!E3:J1446, (AA2*38) + AA6 + 1,2), NA())</f>
        <v>#N/A</v>
      </c>
      <c r="AE3" t="e">
        <f>IF(AND(ISNUMBER(AD2), ISNUMBER(AD6)), INDEX('2.Distancias'!E3:J1446, (AD2*38) + AD6 + 1,1), NA())</f>
        <v>#N/A</v>
      </c>
      <c r="AF3" t="e">
        <f>IF(AND(ISNUMBER(AD2), ISNUMBER(AD6)), INDEX('2.Distancias'!E3:J1446, (AD2*38) + AD6 + 1,2), NA())</f>
        <v>#N/A</v>
      </c>
      <c r="AH3" t="e">
        <f>IF(AND(ISNUMBER(AG2), ISNUMBER(AG6)), INDEX('2.Distancias'!E3:J1446, (AG2*38) + AG6 + 1,1), NA())</f>
        <v>#N/A</v>
      </c>
      <c r="AI3" t="e">
        <f>IF(AND(ISNUMBER(AG2), ISNUMBER(AG6)), INDEX('2.Distancias'!E3:J1446, (AG2*38) + AG6 + 1,2), NA())</f>
        <v>#N/A</v>
      </c>
      <c r="AK3" t="e">
        <f>IF(AND(ISNUMBER(AJ2), ISNUMBER(AJ6)), INDEX('2.Distancias'!E3:J1446, (AJ2*38) + AJ6 + 1,1), NA())</f>
        <v>#N/A</v>
      </c>
      <c r="AL3" t="e">
        <f>IF(AND(ISNUMBER(AJ2), ISNUMBER(AJ6)), INDEX('2.Distancias'!E3:J1446, (AJ2*38) + AJ6 + 1,2), NA())</f>
        <v>#N/A</v>
      </c>
      <c r="AM3" t="str">
        <f>'4.Solución'!S3</f>
        <v>V2 (T2)</v>
      </c>
    </row>
    <row r="4" spans="1:39" x14ac:dyDescent="0.25">
      <c r="P4" t="e">
        <f>IF(AND(ISNUMBER(O2), ISNUMBER(O6)), INDEX('2.Distancias'!E3:J1446, (O2*38) + O6 + 1,3), NA())</f>
        <v>#N/A</v>
      </c>
      <c r="Q4" t="e">
        <f>IF(AND(ISNUMBER(O2), ISNUMBER(O6)), INDEX('2.Distancias'!E3:J1446, (O2*38) + O6 + 1,4), NA())</f>
        <v>#N/A</v>
      </c>
      <c r="S4" t="e">
        <f>IF(AND(ISNUMBER(R2), ISNUMBER(R6)), INDEX('2.Distancias'!E3:J1446, (R2*38) + R6 + 1,3), NA())</f>
        <v>#N/A</v>
      </c>
      <c r="T4" t="e">
        <f>IF(AND(ISNUMBER(R2), ISNUMBER(R6)), INDEX('2.Distancias'!E3:J1446, (R2*38) + R6 + 1,4), NA())</f>
        <v>#N/A</v>
      </c>
      <c r="V4" t="e">
        <f>IF(AND(ISNUMBER(U2), ISNUMBER(U6)), INDEX('2.Distancias'!E3:J1446, (U2*38) + U6 + 1,3), NA())</f>
        <v>#N/A</v>
      </c>
      <c r="W4" t="e">
        <f>IF(AND(ISNUMBER(U2), ISNUMBER(U6)), INDEX('2.Distancias'!E3:J1446, (U2*38) + U6 + 1,4), NA())</f>
        <v>#N/A</v>
      </c>
      <c r="Y4" t="e">
        <f>IF(AND(ISNUMBER(X2), ISNUMBER(X6)), INDEX('2.Distancias'!E3:J1446, (X2*38) + X6 + 1,3), NA())</f>
        <v>#N/A</v>
      </c>
      <c r="Z4" t="e">
        <f>IF(AND(ISNUMBER(X2), ISNUMBER(X6)), INDEX('2.Distancias'!E3:J1446, (X2*38) + X6 + 1,4), NA())</f>
        <v>#N/A</v>
      </c>
      <c r="AB4" t="e">
        <f>IF(AND(ISNUMBER(AA2), ISNUMBER(AA6)), INDEX('2.Distancias'!E3:J1446, (AA2*38) + AA6 + 1,3), NA())</f>
        <v>#N/A</v>
      </c>
      <c r="AC4" t="e">
        <f>IF(AND(ISNUMBER(AA2), ISNUMBER(AA6)), INDEX('2.Distancias'!E3:J1446, (AA2*38) + AA6 + 1,4), NA())</f>
        <v>#N/A</v>
      </c>
      <c r="AE4" t="e">
        <f>IF(AND(ISNUMBER(AD2), ISNUMBER(AD6)), INDEX('2.Distancias'!E3:J1446, (AD2*38) + AD6 + 1,3), NA())</f>
        <v>#N/A</v>
      </c>
      <c r="AF4" t="e">
        <f>IF(AND(ISNUMBER(AD2), ISNUMBER(AD6)), INDEX('2.Distancias'!E3:J1446, (AD2*38) + AD6 + 1,4), NA())</f>
        <v>#N/A</v>
      </c>
      <c r="AH4" t="e">
        <f>IF(AND(ISNUMBER(AG2), ISNUMBER(AG6)), INDEX('2.Distancias'!E3:J1446, (AG2*38) + AG6 + 1,3), NA())</f>
        <v>#N/A</v>
      </c>
      <c r="AI4" t="e">
        <f>IF(AND(ISNUMBER(AG2), ISNUMBER(AG6)), INDEX('2.Distancias'!E3:J1446, (AG2*38) + AG6 + 1,4), NA())</f>
        <v>#N/A</v>
      </c>
      <c r="AK4" t="e">
        <f>IF(AND(ISNUMBER(AJ2), ISNUMBER(AJ6)), INDEX('2.Distancias'!E3:J1446, (AJ2*38) + AJ6 + 1,3), NA())</f>
        <v>#N/A</v>
      </c>
      <c r="AL4" t="e">
        <f>IF(AND(ISNUMBER(AJ2), ISNUMBER(AJ6)), INDEX('2.Distancias'!E3:J1446, (AJ2*38) + AJ6 + 1,4), NA())</f>
        <v>#N/A</v>
      </c>
      <c r="AM4" t="str">
        <f>'4.Solución'!AJ3</f>
        <v>V3 (T3)</v>
      </c>
    </row>
    <row r="5" spans="1:39" x14ac:dyDescent="0.25">
      <c r="P5" t="e">
        <f>IF(AND(ISNUMBER(O2), ISNUMBER(O6)), INDEX('2.Distancias'!E3:J1446, (O2*38) + O6 + 1,5), NA())</f>
        <v>#N/A</v>
      </c>
      <c r="Q5" t="e">
        <f>IF(AND(ISNUMBER(O2), ISNUMBER(O6)), INDEX('2.Distancias'!E3:J1446, (O2*38) + O6 + 1,6), NA())</f>
        <v>#N/A</v>
      </c>
      <c r="S5" t="e">
        <f>IF(AND(ISNUMBER(R2), ISNUMBER(R6)), INDEX('2.Distancias'!E3:J1446, (R2*38) + R6 + 1,5), NA())</f>
        <v>#N/A</v>
      </c>
      <c r="T5" t="e">
        <f>IF(AND(ISNUMBER(R2), ISNUMBER(R6)), INDEX('2.Distancias'!E3:J1446, (R2*38) + R6 + 1,6), NA())</f>
        <v>#N/A</v>
      </c>
      <c r="V5" t="e">
        <f>IF(AND(ISNUMBER(U2), ISNUMBER(U6)), INDEX('2.Distancias'!E3:J1446, (U2*38) + U6 + 1,5), NA())</f>
        <v>#N/A</v>
      </c>
      <c r="W5" t="e">
        <f>IF(AND(ISNUMBER(U2), ISNUMBER(U6)), INDEX('2.Distancias'!E3:J1446, (U2*38) + U6 + 1,6), NA())</f>
        <v>#N/A</v>
      </c>
      <c r="Y5" t="e">
        <f>IF(AND(ISNUMBER(X2), ISNUMBER(X6)), INDEX('2.Distancias'!E3:J1446, (X2*38) + X6 + 1,5), NA())</f>
        <v>#N/A</v>
      </c>
      <c r="Z5" t="e">
        <f>IF(AND(ISNUMBER(X2), ISNUMBER(X6)), INDEX('2.Distancias'!E3:J1446, (X2*38) + X6 + 1,6), NA())</f>
        <v>#N/A</v>
      </c>
      <c r="AB5" t="e">
        <f>IF(AND(ISNUMBER(AA2), ISNUMBER(AA6)), INDEX('2.Distancias'!E3:J1446, (AA2*38) + AA6 + 1,5), NA())</f>
        <v>#N/A</v>
      </c>
      <c r="AC5" t="e">
        <f>IF(AND(ISNUMBER(AA2), ISNUMBER(AA6)), INDEX('2.Distancias'!E3:J1446, (AA2*38) + AA6 + 1,6), NA())</f>
        <v>#N/A</v>
      </c>
      <c r="AE5" t="e">
        <f>IF(AND(ISNUMBER(AD2), ISNUMBER(AD6)), INDEX('2.Distancias'!E3:J1446, (AD2*38) + AD6 + 1,5), NA())</f>
        <v>#N/A</v>
      </c>
      <c r="AF5" t="e">
        <f>IF(AND(ISNUMBER(AD2), ISNUMBER(AD6)), INDEX('2.Distancias'!E3:J1446, (AD2*38) + AD6 + 1,6), NA())</f>
        <v>#N/A</v>
      </c>
      <c r="AH5" t="e">
        <f>IF(AND(ISNUMBER(AG2), ISNUMBER(AG6)), INDEX('2.Distancias'!E3:J1446, (AG2*38) + AG6 + 1,5), NA())</f>
        <v>#N/A</v>
      </c>
      <c r="AI5" t="e">
        <f>IF(AND(ISNUMBER(AG2), ISNUMBER(AG6)), INDEX('2.Distancias'!E3:J1446, (AG2*38) + AG6 + 1,6), NA())</f>
        <v>#N/A</v>
      </c>
      <c r="AK5" t="e">
        <f>IF(AND(ISNUMBER(AJ2), ISNUMBER(AJ6)), INDEX('2.Distancias'!E3:J1446, (AJ2*38) + AJ6 + 1,5), NA())</f>
        <v>#N/A</v>
      </c>
      <c r="AL5" t="e">
        <f>IF(AND(ISNUMBER(AJ2), ISNUMBER(AJ6)), INDEX('2.Distancias'!E3:J1446, (AJ2*38) + AJ6 + 1,6), NA())</f>
        <v>#N/A</v>
      </c>
      <c r="AM5" t="str">
        <f>'4.Solución'!BA3</f>
        <v>V4 (T4)</v>
      </c>
    </row>
    <row r="6" spans="1:39" x14ac:dyDescent="0.25">
      <c r="O6" t="str">
        <f>'4.Solución'!C6</f>
        <v xml:space="preserve"> </v>
      </c>
      <c r="P6" t="e">
        <f>IFERROR(IF(ISNUMBER(O6),INDEX('1 ubicaciones'!$D$2:$D$22,O6 + 1),NA()),NA())</f>
        <v>#N/A</v>
      </c>
      <c r="Q6" t="e">
        <f>IFERROR(IF(ISNUMBER(O6),INDEX('1 ubicaciones'!$E$2:$E$22,O6 + 1),NA()),NA())</f>
        <v>#N/A</v>
      </c>
      <c r="R6" t="str">
        <f>'4.Solución'!T6</f>
        <v xml:space="preserve"> </v>
      </c>
      <c r="S6" t="e">
        <f>IFERROR(IF(ISNUMBER(R6),INDEX('1 ubicaciones'!$D$2:$D$22,R6 + 1),NA()),NA())</f>
        <v>#N/A</v>
      </c>
      <c r="T6" t="e">
        <f>IFERROR(IF(ISNUMBER(R6),INDEX('1 ubicaciones'!$E$2:$E$22,R6 + 1),NA()),NA())</f>
        <v>#N/A</v>
      </c>
      <c r="U6" t="str">
        <f>'4.Solución'!AK6</f>
        <v xml:space="preserve"> </v>
      </c>
      <c r="V6" t="e">
        <f>IFERROR(IF(ISNUMBER(U6),INDEX('1 ubicaciones'!$D$2:$D$22,U6 + 1),NA()),NA())</f>
        <v>#N/A</v>
      </c>
      <c r="W6" t="e">
        <f>IFERROR(IF(ISNUMBER(U6),INDEX('1 ubicaciones'!$E$2:$E$22,U6 + 1),NA()),NA())</f>
        <v>#N/A</v>
      </c>
      <c r="X6" t="str">
        <f>'4.Solución'!BB6</f>
        <v xml:space="preserve"> </v>
      </c>
      <c r="Y6" t="e">
        <f>IFERROR(IF(ISNUMBER(X6),INDEX('1 ubicaciones'!$D$2:$D$22,X6 + 1),NA()),NA())</f>
        <v>#N/A</v>
      </c>
      <c r="Z6" t="e">
        <f>IFERROR(IF(ISNUMBER(X6),INDEX('1 ubicaciones'!$E$2:$E$22,X6 + 1),NA()),NA())</f>
        <v>#N/A</v>
      </c>
      <c r="AA6" t="str">
        <f>'4.Solución'!BS6</f>
        <v xml:space="preserve"> </v>
      </c>
      <c r="AB6" t="e">
        <f>IFERROR(IF(ISNUMBER(AA6),INDEX('1 ubicaciones'!$D$2:$D$22,AA6 + 1),NA()),NA())</f>
        <v>#N/A</v>
      </c>
      <c r="AC6" t="e">
        <f>IFERROR(IF(ISNUMBER(AA6),INDEX('1 ubicaciones'!$E$2:$E$22,AA6 + 1),NA()),NA())</f>
        <v>#N/A</v>
      </c>
      <c r="AD6" t="str">
        <f>'4.Solución'!CJ6</f>
        <v xml:space="preserve"> </v>
      </c>
      <c r="AE6" t="e">
        <f>IFERROR(IF(ISNUMBER(AD6),INDEX('1 ubicaciones'!$D$2:$D$22,AD6 + 1),NA()),NA())</f>
        <v>#N/A</v>
      </c>
      <c r="AF6" t="e">
        <f>IFERROR(IF(ISNUMBER(AD6),INDEX('1 ubicaciones'!$E$2:$E$22,AD6 + 1),NA()),NA())</f>
        <v>#N/A</v>
      </c>
      <c r="AG6" t="str">
        <f>'4.Solución'!DA6</f>
        <v xml:space="preserve"> </v>
      </c>
      <c r="AH6" t="e">
        <f>IFERROR(IF(ISNUMBER(AG6),INDEX('1 ubicaciones'!$D$2:$D$22,AG6 + 1),NA()),NA())</f>
        <v>#N/A</v>
      </c>
      <c r="AI6" t="e">
        <f>IFERROR(IF(ISNUMBER(AG6),INDEX('1 ubicaciones'!$E$2:$E$22,AG6 + 1),NA()),NA())</f>
        <v>#N/A</v>
      </c>
      <c r="AJ6" t="str">
        <f>'4.Solución'!DR6</f>
        <v xml:space="preserve"> </v>
      </c>
      <c r="AK6" t="e">
        <f>IFERROR(IF(ISNUMBER(AJ6),INDEX('1 ubicaciones'!$D$2:$D$22,AJ6 + 1),NA()),NA())</f>
        <v>#N/A</v>
      </c>
      <c r="AL6" t="e">
        <f>IFERROR(IF(ISNUMBER(AJ6),INDEX('1 ubicaciones'!$E$2:$E$22,AJ6 + 1),NA()),NA())</f>
        <v>#N/A</v>
      </c>
      <c r="AM6" t="str">
        <f>'4.Solución'!BR3</f>
        <v>V5 (T5)</v>
      </c>
    </row>
    <row r="7" spans="1:39" x14ac:dyDescent="0.25">
      <c r="P7" t="e">
        <f>IF(AND(ISNUMBER(O6), ISNUMBER(O10)), INDEX('2.Distancias'!E3:J1446, (O6*38) + O10 + 1,1), NA())</f>
        <v>#N/A</v>
      </c>
      <c r="Q7" t="e">
        <f>IF(AND(ISNUMBER(O6), ISNUMBER(O10)), INDEX('2.Distancias'!E3:J1446, (O6*38) + O10 + 1,2), NA())</f>
        <v>#N/A</v>
      </c>
      <c r="S7" t="e">
        <f>IF(AND(ISNUMBER(R6), ISNUMBER(R10)), INDEX('2.Distancias'!E3:J1446, (R6*38) + R10 + 1,1), NA())</f>
        <v>#N/A</v>
      </c>
      <c r="T7" t="e">
        <f>IF(AND(ISNUMBER(R6), ISNUMBER(R10)), INDEX('2.Distancias'!E3:J1446, (R6*38) + R10 + 1,2), NA())</f>
        <v>#N/A</v>
      </c>
      <c r="V7" t="e">
        <f>IF(AND(ISNUMBER(U6), ISNUMBER(U10)), INDEX('2.Distancias'!E3:J1446, (U6*38) + U10 + 1,1), NA())</f>
        <v>#N/A</v>
      </c>
      <c r="W7" t="e">
        <f>IF(AND(ISNUMBER(U6), ISNUMBER(U10)), INDEX('2.Distancias'!E3:J1446, (U6*38) + U10 + 1,2), NA())</f>
        <v>#N/A</v>
      </c>
      <c r="Y7" t="e">
        <f>IF(AND(ISNUMBER(X6), ISNUMBER(X10)), INDEX('2.Distancias'!E3:J1446, (X6*38) + X10 + 1,1), NA())</f>
        <v>#N/A</v>
      </c>
      <c r="Z7" t="e">
        <f>IF(AND(ISNUMBER(X6), ISNUMBER(X10)), INDEX('2.Distancias'!E3:J1446, (X6*38) + X10 + 1,2), NA())</f>
        <v>#N/A</v>
      </c>
      <c r="AB7" t="e">
        <f>IF(AND(ISNUMBER(AA6), ISNUMBER(AA10)), INDEX('2.Distancias'!E3:J1446, (AA6*38) + AA10 + 1,1), NA())</f>
        <v>#N/A</v>
      </c>
      <c r="AC7" t="e">
        <f>IF(AND(ISNUMBER(AA6), ISNUMBER(AA10)), INDEX('2.Distancias'!E3:J1446, (AA6*38) + AA10 + 1,2), NA())</f>
        <v>#N/A</v>
      </c>
      <c r="AE7" t="e">
        <f>IF(AND(ISNUMBER(AD6), ISNUMBER(AD10)), INDEX('2.Distancias'!E3:J1446, (AD6*38) + AD10 + 1,1), NA())</f>
        <v>#N/A</v>
      </c>
      <c r="AF7" t="e">
        <f>IF(AND(ISNUMBER(AD6), ISNUMBER(AD10)), INDEX('2.Distancias'!E3:J1446, (AD6*38) + AD10 + 1,2), NA())</f>
        <v>#N/A</v>
      </c>
      <c r="AH7" t="e">
        <f>IF(AND(ISNUMBER(AG6), ISNUMBER(AG10)), INDEX('2.Distancias'!E3:J1446, (AG6*38) + AG10 + 1,1), NA())</f>
        <v>#N/A</v>
      </c>
      <c r="AI7" t="e">
        <f>IF(AND(ISNUMBER(AG6), ISNUMBER(AG10)), INDEX('2.Distancias'!E3:J1446, (AG6*38) + AG10 + 1,2), NA())</f>
        <v>#N/A</v>
      </c>
      <c r="AK7" t="e">
        <f>IF(AND(ISNUMBER(AJ6), ISNUMBER(AJ10)), INDEX('2.Distancias'!E3:J1446, (AJ6*38) + AJ10 + 1,1), NA())</f>
        <v>#N/A</v>
      </c>
      <c r="AL7" t="e">
        <f>IF(AND(ISNUMBER(AJ6), ISNUMBER(AJ10)), INDEX('2.Distancias'!E3:J1446, (AJ6*38) + AJ10 + 1,2), NA())</f>
        <v>#N/A</v>
      </c>
      <c r="AM7" t="str">
        <f>'4.Solución'!CI3</f>
        <v>V6 (T1)</v>
      </c>
    </row>
    <row r="8" spans="1:39" x14ac:dyDescent="0.25">
      <c r="P8" t="e">
        <f>IF(AND(ISNUMBER(O6), ISNUMBER(O10)), INDEX('2.Distancias'!E3:J1446, (O6*38) + O10 + 1,3), NA())</f>
        <v>#N/A</v>
      </c>
      <c r="Q8" t="e">
        <f>IF(AND(ISNUMBER(O6), ISNUMBER(O10)), INDEX('2.Distancias'!E3:J1446, (O6*38) + O10 + 1,4), NA())</f>
        <v>#N/A</v>
      </c>
      <c r="S8" t="e">
        <f>IF(AND(ISNUMBER(R6), ISNUMBER(R10)), INDEX('2.Distancias'!E3:J1446, (R6*38) + R10 + 1,3), NA())</f>
        <v>#N/A</v>
      </c>
      <c r="T8" t="e">
        <f>IF(AND(ISNUMBER(R6), ISNUMBER(R10)), INDEX('2.Distancias'!E3:J1446, (R6*38) + R10 + 1,4), NA())</f>
        <v>#N/A</v>
      </c>
      <c r="V8" t="e">
        <f>IF(AND(ISNUMBER(U6), ISNUMBER(U10)), INDEX('2.Distancias'!E3:J1446, (U6*38) + U10 + 1,3), NA())</f>
        <v>#N/A</v>
      </c>
      <c r="W8" t="e">
        <f>IF(AND(ISNUMBER(U6), ISNUMBER(U10)), INDEX('2.Distancias'!E3:J1446, (U6*38) + U10 + 1,4), NA())</f>
        <v>#N/A</v>
      </c>
      <c r="Y8" t="e">
        <f>IF(AND(ISNUMBER(X6), ISNUMBER(X10)), INDEX('2.Distancias'!E3:J1446, (X6*38) + X10 + 1,3), NA())</f>
        <v>#N/A</v>
      </c>
      <c r="Z8" t="e">
        <f>IF(AND(ISNUMBER(X6), ISNUMBER(X10)), INDEX('2.Distancias'!E3:J1446, (X6*38) + X10 + 1,4), NA())</f>
        <v>#N/A</v>
      </c>
      <c r="AB8" t="e">
        <f>IF(AND(ISNUMBER(AA6), ISNUMBER(AA10)), INDEX('2.Distancias'!E3:J1446, (AA6*38) + AA10 + 1,3), NA())</f>
        <v>#N/A</v>
      </c>
      <c r="AC8" t="e">
        <f>IF(AND(ISNUMBER(AA6), ISNUMBER(AA10)), INDEX('2.Distancias'!E3:J1446, (AA6*38) + AA10 + 1,4), NA())</f>
        <v>#N/A</v>
      </c>
      <c r="AE8" t="e">
        <f>IF(AND(ISNUMBER(AD6), ISNUMBER(AD10)), INDEX('2.Distancias'!E3:J1446, (AD6*38) + AD10 + 1,3), NA())</f>
        <v>#N/A</v>
      </c>
      <c r="AF8" t="e">
        <f>IF(AND(ISNUMBER(AD6), ISNUMBER(AD10)), INDEX('2.Distancias'!E3:J1446, (AD6*38) + AD10 + 1,4), NA())</f>
        <v>#N/A</v>
      </c>
      <c r="AH8" t="e">
        <f>IF(AND(ISNUMBER(AG6), ISNUMBER(AG10)), INDEX('2.Distancias'!E3:J1446, (AG6*38) + AG10 + 1,3), NA())</f>
        <v>#N/A</v>
      </c>
      <c r="AI8" t="e">
        <f>IF(AND(ISNUMBER(AG6), ISNUMBER(AG10)), INDEX('2.Distancias'!E3:J1446, (AG6*38) + AG10 + 1,4), NA())</f>
        <v>#N/A</v>
      </c>
      <c r="AK8" t="e">
        <f>IF(AND(ISNUMBER(AJ6), ISNUMBER(AJ10)), INDEX('2.Distancias'!E3:J1446, (AJ6*38) + AJ10 + 1,3), NA())</f>
        <v>#N/A</v>
      </c>
      <c r="AL8" t="e">
        <f>IF(AND(ISNUMBER(AJ6), ISNUMBER(AJ10)), INDEX('2.Distancias'!E3:J1446, (AJ6*38) + AJ10 + 1,4), NA())</f>
        <v>#N/A</v>
      </c>
      <c r="AM8" t="str">
        <f>'4.Solución'!CZ3</f>
        <v>V7 (T2)</v>
      </c>
    </row>
    <row r="9" spans="1:39" x14ac:dyDescent="0.25">
      <c r="P9" t="e">
        <f>IF(AND(ISNUMBER(O6), ISNUMBER(O10)), INDEX('2.Distancias'!E3:J1446, (O6*38) + O10 + 1,5), NA())</f>
        <v>#N/A</v>
      </c>
      <c r="Q9" t="e">
        <f>IF(AND(ISNUMBER(O6), ISNUMBER(O10)), INDEX('2.Distancias'!E3:J1446, (O6*38) + O10 + 1,6), NA())</f>
        <v>#N/A</v>
      </c>
      <c r="S9" t="e">
        <f>IF(AND(ISNUMBER(R6), ISNUMBER(R10)), INDEX('2.Distancias'!E3:J1446, (R6*38) + R10 + 1,5), NA())</f>
        <v>#N/A</v>
      </c>
      <c r="T9" t="e">
        <f>IF(AND(ISNUMBER(R6), ISNUMBER(R10)), INDEX('2.Distancias'!E3:J1446, (R6*38) + R10 + 1,6), NA())</f>
        <v>#N/A</v>
      </c>
      <c r="V9" t="e">
        <f>IF(AND(ISNUMBER(U6), ISNUMBER(U10)), INDEX('2.Distancias'!E3:J1446, (U6*38) + U10 + 1,5), NA())</f>
        <v>#N/A</v>
      </c>
      <c r="W9" t="e">
        <f>IF(AND(ISNUMBER(U6), ISNUMBER(U10)), INDEX('2.Distancias'!E3:J1446, (U6*38) + U10 + 1,6), NA())</f>
        <v>#N/A</v>
      </c>
      <c r="Y9" t="e">
        <f>IF(AND(ISNUMBER(X6), ISNUMBER(X10)), INDEX('2.Distancias'!E3:J1446, (X6*38) + X10 + 1,5), NA())</f>
        <v>#N/A</v>
      </c>
      <c r="Z9" t="e">
        <f>IF(AND(ISNUMBER(X6), ISNUMBER(X10)), INDEX('2.Distancias'!E3:J1446, (X6*38) + X10 + 1,6), NA())</f>
        <v>#N/A</v>
      </c>
      <c r="AB9" t="e">
        <f>IF(AND(ISNUMBER(AA6), ISNUMBER(AA10)), INDEX('2.Distancias'!E3:J1446, (AA6*38) + AA10 + 1,5), NA())</f>
        <v>#N/A</v>
      </c>
      <c r="AC9" t="e">
        <f>IF(AND(ISNUMBER(AA6), ISNUMBER(AA10)), INDEX('2.Distancias'!E3:J1446, (AA6*38) + AA10 + 1,6), NA())</f>
        <v>#N/A</v>
      </c>
      <c r="AE9" t="e">
        <f>IF(AND(ISNUMBER(AD6), ISNUMBER(AD10)), INDEX('2.Distancias'!E3:J1446, (AD6*38) + AD10 + 1,5), NA())</f>
        <v>#N/A</v>
      </c>
      <c r="AF9" t="e">
        <f>IF(AND(ISNUMBER(AD6), ISNUMBER(AD10)), INDEX('2.Distancias'!E3:J1446, (AD6*38) + AD10 + 1,6), NA())</f>
        <v>#N/A</v>
      </c>
      <c r="AH9" t="e">
        <f>IF(AND(ISNUMBER(AG6), ISNUMBER(AG10)), INDEX('2.Distancias'!E3:J1446, (AG6*38) + AG10 + 1,5), NA())</f>
        <v>#N/A</v>
      </c>
      <c r="AI9" t="e">
        <f>IF(AND(ISNUMBER(AG6), ISNUMBER(AG10)), INDEX('2.Distancias'!E3:J1446, (AG6*38) + AG10 + 1,6), NA())</f>
        <v>#N/A</v>
      </c>
      <c r="AK9" t="e">
        <f>IF(AND(ISNUMBER(AJ6), ISNUMBER(AJ10)), INDEX('2.Distancias'!E3:J1446, (AJ6*38) + AJ10 + 1,5), NA())</f>
        <v>#N/A</v>
      </c>
      <c r="AL9" t="e">
        <f>IF(AND(ISNUMBER(AJ6), ISNUMBER(AJ10)), INDEX('2.Distancias'!E3:J1446, (AJ6*38) + AJ10 + 1,6), NA())</f>
        <v>#N/A</v>
      </c>
      <c r="AM9" t="str">
        <f>'4.Solución'!DQ3</f>
        <v>V8 (T1)</v>
      </c>
    </row>
    <row r="10" spans="1:39" x14ac:dyDescent="0.25">
      <c r="O10" t="str">
        <f>'4.Solución'!C7</f>
        <v xml:space="preserve"> </v>
      </c>
      <c r="P10" t="e">
        <f>IFERROR(IF(ISNUMBER(O10),INDEX('1 ubicaciones'!$D$2:$D$22,O10 + 1),NA()),NA())</f>
        <v>#N/A</v>
      </c>
      <c r="Q10" t="e">
        <f>IFERROR(IF(ISNUMBER(O10),INDEX('1 ubicaciones'!$E$2:$E$22,O10 + 1),NA()),NA())</f>
        <v>#N/A</v>
      </c>
      <c r="R10" t="str">
        <f>'4.Solución'!T7</f>
        <v xml:space="preserve"> </v>
      </c>
      <c r="S10" t="e">
        <f>IFERROR(IF(ISNUMBER(R10),INDEX('1 ubicaciones'!$D$2:$D$22,R10 + 1),NA()),NA())</f>
        <v>#N/A</v>
      </c>
      <c r="T10" t="e">
        <f>IFERROR(IF(ISNUMBER(R10),INDEX('1 ubicaciones'!$E$2:$E$22,R10 + 1),NA()),NA())</f>
        <v>#N/A</v>
      </c>
      <c r="U10" t="str">
        <f>'4.Solución'!AK7</f>
        <v xml:space="preserve"> </v>
      </c>
      <c r="V10" t="e">
        <f>IFERROR(IF(ISNUMBER(U10),INDEX('1 ubicaciones'!$D$2:$D$22,U10 + 1),NA()),NA())</f>
        <v>#N/A</v>
      </c>
      <c r="W10" t="e">
        <f>IFERROR(IF(ISNUMBER(U10),INDEX('1 ubicaciones'!$E$2:$E$22,U10 + 1),NA()),NA())</f>
        <v>#N/A</v>
      </c>
      <c r="X10" t="str">
        <f>'4.Solución'!BB7</f>
        <v xml:space="preserve"> </v>
      </c>
      <c r="Y10" t="e">
        <f>IFERROR(IF(ISNUMBER(X10),INDEX('1 ubicaciones'!$D$2:$D$22,X10 + 1),NA()),NA())</f>
        <v>#N/A</v>
      </c>
      <c r="Z10" t="e">
        <f>IFERROR(IF(ISNUMBER(X10),INDEX('1 ubicaciones'!$E$2:$E$22,X10 + 1),NA()),NA())</f>
        <v>#N/A</v>
      </c>
      <c r="AA10" t="str">
        <f>'4.Solución'!BS7</f>
        <v xml:space="preserve"> </v>
      </c>
      <c r="AB10" t="e">
        <f>IFERROR(IF(ISNUMBER(AA10),INDEX('1 ubicaciones'!$D$2:$D$22,AA10 + 1),NA()),NA())</f>
        <v>#N/A</v>
      </c>
      <c r="AC10" t="e">
        <f>IFERROR(IF(ISNUMBER(AA10),INDEX('1 ubicaciones'!$E$2:$E$22,AA10 + 1),NA()),NA())</f>
        <v>#N/A</v>
      </c>
      <c r="AD10" t="str">
        <f>'4.Solución'!CJ7</f>
        <v xml:space="preserve"> </v>
      </c>
      <c r="AE10" t="e">
        <f>IFERROR(IF(ISNUMBER(AD10),INDEX('1 ubicaciones'!$D$2:$D$22,AD10 + 1),NA()),NA())</f>
        <v>#N/A</v>
      </c>
      <c r="AF10" t="e">
        <f>IFERROR(IF(ISNUMBER(AD10),INDEX('1 ubicaciones'!$E$2:$E$22,AD10 + 1),NA()),NA())</f>
        <v>#N/A</v>
      </c>
      <c r="AG10" t="str">
        <f>'4.Solución'!DA7</f>
        <v xml:space="preserve"> </v>
      </c>
      <c r="AH10" t="e">
        <f>IFERROR(IF(ISNUMBER(AG10),INDEX('1 ubicaciones'!$D$2:$D$22,AG10 + 1),NA()),NA())</f>
        <v>#N/A</v>
      </c>
      <c r="AI10" t="e">
        <f>IFERROR(IF(ISNUMBER(AG10),INDEX('1 ubicaciones'!$E$2:$E$22,AG10 + 1),NA()),NA())</f>
        <v>#N/A</v>
      </c>
      <c r="AJ10" t="str">
        <f>'4.Solución'!DR7</f>
        <v xml:space="preserve"> </v>
      </c>
      <c r="AK10" t="e">
        <f>IFERROR(IF(ISNUMBER(AJ10),INDEX('1 ubicaciones'!$D$2:$D$22,AJ10 + 1),NA()),NA())</f>
        <v>#N/A</v>
      </c>
      <c r="AL10" t="e">
        <f>IFERROR(IF(ISNUMBER(AJ10),INDEX('1 ubicaciones'!$E$2:$E$22,AJ10 + 1),NA()),NA())</f>
        <v>#N/A</v>
      </c>
    </row>
    <row r="11" spans="1:39" x14ac:dyDescent="0.25">
      <c r="P11" t="e">
        <f>IF(AND(ISNUMBER(O10), ISNUMBER(O14)), INDEX('2.Distancias'!E3:J1446, (O10*38) + O14 + 1,1), NA())</f>
        <v>#N/A</v>
      </c>
      <c r="Q11" t="e">
        <f>IF(AND(ISNUMBER(O10), ISNUMBER(O14)), INDEX('2.Distancias'!E3:J1446, (O10*38) + O14 + 1,2), NA())</f>
        <v>#N/A</v>
      </c>
      <c r="S11" t="e">
        <f>IF(AND(ISNUMBER(R10), ISNUMBER(R14)), INDEX('2.Distancias'!E3:J1446, (R10*38) + R14 + 1,1), NA())</f>
        <v>#N/A</v>
      </c>
      <c r="T11" t="e">
        <f>IF(AND(ISNUMBER(R10), ISNUMBER(R14)), INDEX('2.Distancias'!E3:J1446, (R10*38) + R14 + 1,2), NA())</f>
        <v>#N/A</v>
      </c>
      <c r="V11" t="e">
        <f>IF(AND(ISNUMBER(U10), ISNUMBER(U14)), INDEX('2.Distancias'!E3:J1446, (U10*38) + U14 + 1,1), NA())</f>
        <v>#N/A</v>
      </c>
      <c r="W11" t="e">
        <f>IF(AND(ISNUMBER(U10), ISNUMBER(U14)), INDEX('2.Distancias'!E3:J1446, (U10*38) + U14 + 1,2), NA())</f>
        <v>#N/A</v>
      </c>
      <c r="Y11" t="e">
        <f>IF(AND(ISNUMBER(X10), ISNUMBER(X14)), INDEX('2.Distancias'!E3:J1446, (X10*38) + X14 + 1,1), NA())</f>
        <v>#N/A</v>
      </c>
      <c r="Z11" t="e">
        <f>IF(AND(ISNUMBER(X10), ISNUMBER(X14)), INDEX('2.Distancias'!E3:J1446, (X10*38) + X14 + 1,2), NA())</f>
        <v>#N/A</v>
      </c>
      <c r="AB11" t="e">
        <f>IF(AND(ISNUMBER(AA10), ISNUMBER(AA14)), INDEX('2.Distancias'!E3:J1446, (AA10*38) + AA14 + 1,1), NA())</f>
        <v>#N/A</v>
      </c>
      <c r="AC11" t="e">
        <f>IF(AND(ISNUMBER(AA10), ISNUMBER(AA14)), INDEX('2.Distancias'!E3:J1446, (AA10*38) + AA14 + 1,2), NA())</f>
        <v>#N/A</v>
      </c>
      <c r="AE11" t="e">
        <f>IF(AND(ISNUMBER(AD10), ISNUMBER(AD14)), INDEX('2.Distancias'!E3:J1446, (AD10*38) + AD14 + 1,1), NA())</f>
        <v>#N/A</v>
      </c>
      <c r="AF11" t="e">
        <f>IF(AND(ISNUMBER(AD10), ISNUMBER(AD14)), INDEX('2.Distancias'!E3:J1446, (AD10*38) + AD14 + 1,2), NA())</f>
        <v>#N/A</v>
      </c>
      <c r="AH11" t="e">
        <f>IF(AND(ISNUMBER(AG10), ISNUMBER(AG14)), INDEX('2.Distancias'!E3:J1446, (AG10*38) + AG14 + 1,1), NA())</f>
        <v>#N/A</v>
      </c>
      <c r="AI11" t="e">
        <f>IF(AND(ISNUMBER(AG10), ISNUMBER(AG14)), INDEX('2.Distancias'!E3:J1446, (AG10*38) + AG14 + 1,2), NA())</f>
        <v>#N/A</v>
      </c>
      <c r="AK11" t="e">
        <f>IF(AND(ISNUMBER(AJ10), ISNUMBER(AJ14)), INDEX('2.Distancias'!E3:J1446, (AJ10*38) + AJ14 + 1,1), NA())</f>
        <v>#N/A</v>
      </c>
      <c r="AL11" t="e">
        <f>IF(AND(ISNUMBER(AJ10), ISNUMBER(AJ14)), INDEX('2.Distancias'!E3:J1446, (AJ10*38) + AJ14 + 1,2), NA())</f>
        <v>#N/A</v>
      </c>
    </row>
    <row r="12" spans="1:39" x14ac:dyDescent="0.25">
      <c r="P12" t="e">
        <f>IF(AND(ISNUMBER(O10), ISNUMBER(O14)), INDEX('2.Distancias'!E3:J1446, (O10*38) + O14 + 1,3), NA())</f>
        <v>#N/A</v>
      </c>
      <c r="Q12" t="e">
        <f>IF(AND(ISNUMBER(O10), ISNUMBER(O14)), INDEX('2.Distancias'!E3:J1446, (O10*38) + O14 + 1,4), NA())</f>
        <v>#N/A</v>
      </c>
      <c r="S12" t="e">
        <f>IF(AND(ISNUMBER(R10), ISNUMBER(R14)), INDEX('2.Distancias'!E3:J1446, (R10*38) + R14 + 1,3), NA())</f>
        <v>#N/A</v>
      </c>
      <c r="T12" t="e">
        <f>IF(AND(ISNUMBER(R10), ISNUMBER(R14)), INDEX('2.Distancias'!E3:J1446, (R10*38) + R14 + 1,4), NA())</f>
        <v>#N/A</v>
      </c>
      <c r="V12" t="e">
        <f>IF(AND(ISNUMBER(U10), ISNUMBER(U14)), INDEX('2.Distancias'!E3:J1446, (U10*38) + U14 + 1,3), NA())</f>
        <v>#N/A</v>
      </c>
      <c r="W12" t="e">
        <f>IF(AND(ISNUMBER(U10), ISNUMBER(U14)), INDEX('2.Distancias'!E3:J1446, (U10*38) + U14 + 1,4), NA())</f>
        <v>#N/A</v>
      </c>
      <c r="Y12" t="e">
        <f>IF(AND(ISNUMBER(X10), ISNUMBER(X14)), INDEX('2.Distancias'!E3:J1446, (X10*38) + X14 + 1,3), NA())</f>
        <v>#N/A</v>
      </c>
      <c r="Z12" t="e">
        <f>IF(AND(ISNUMBER(X10), ISNUMBER(X14)), INDEX('2.Distancias'!E3:J1446, (X10*38) + X14 + 1,4), NA())</f>
        <v>#N/A</v>
      </c>
      <c r="AB12" t="e">
        <f>IF(AND(ISNUMBER(AA10), ISNUMBER(AA14)), INDEX('2.Distancias'!E3:J1446, (AA10*38) + AA14 + 1,3), NA())</f>
        <v>#N/A</v>
      </c>
      <c r="AC12" t="e">
        <f>IF(AND(ISNUMBER(AA10), ISNUMBER(AA14)), INDEX('2.Distancias'!E3:J1446, (AA10*38) + AA14 + 1,4), NA())</f>
        <v>#N/A</v>
      </c>
      <c r="AE12" t="e">
        <f>IF(AND(ISNUMBER(AD10), ISNUMBER(AD14)), INDEX('2.Distancias'!E3:J1446, (AD10*38) + AD14 + 1,3), NA())</f>
        <v>#N/A</v>
      </c>
      <c r="AF12" t="e">
        <f>IF(AND(ISNUMBER(AD10), ISNUMBER(AD14)), INDEX('2.Distancias'!E3:J1446, (AD10*38) + AD14 + 1,4), NA())</f>
        <v>#N/A</v>
      </c>
      <c r="AH12" t="e">
        <f>IF(AND(ISNUMBER(AG10), ISNUMBER(AG14)), INDEX('2.Distancias'!E3:J1446, (AG10*38) + AG14 + 1,3), NA())</f>
        <v>#N/A</v>
      </c>
      <c r="AI12" t="e">
        <f>IF(AND(ISNUMBER(AG10), ISNUMBER(AG14)), INDEX('2.Distancias'!E3:J1446, (AG10*38) + AG14 + 1,4), NA())</f>
        <v>#N/A</v>
      </c>
      <c r="AK12" t="e">
        <f>IF(AND(ISNUMBER(AJ10), ISNUMBER(AJ14)), INDEX('2.Distancias'!E3:J1446, (AJ10*38) + AJ14 + 1,3), NA())</f>
        <v>#N/A</v>
      </c>
      <c r="AL12" t="e">
        <f>IF(AND(ISNUMBER(AJ10), ISNUMBER(AJ14)), INDEX('2.Distancias'!E3:J1446, (AJ10*38) + AJ14 + 1,4), NA())</f>
        <v>#N/A</v>
      </c>
    </row>
    <row r="13" spans="1:39" x14ac:dyDescent="0.25">
      <c r="P13" t="e">
        <f>IF(AND(ISNUMBER(O10), ISNUMBER(O14)), INDEX('2.Distancias'!E3:J1446, (O10*38) + O14 + 1,5), NA())</f>
        <v>#N/A</v>
      </c>
      <c r="Q13" t="e">
        <f>IF(AND(ISNUMBER(O10), ISNUMBER(O14)), INDEX('2.Distancias'!E3:J1446, (O10*38) + O14 + 1,6), NA())</f>
        <v>#N/A</v>
      </c>
      <c r="S13" t="e">
        <f>IF(AND(ISNUMBER(R10), ISNUMBER(R14)), INDEX('2.Distancias'!E3:J1446, (R10*38) + R14 + 1,5), NA())</f>
        <v>#N/A</v>
      </c>
      <c r="T13" t="e">
        <f>IF(AND(ISNUMBER(R10), ISNUMBER(R14)), INDEX('2.Distancias'!E3:J1446, (R10*38) + R14 + 1,6), NA())</f>
        <v>#N/A</v>
      </c>
      <c r="V13" t="e">
        <f>IF(AND(ISNUMBER(U10), ISNUMBER(U14)), INDEX('2.Distancias'!E3:J1446, (U10*38) + U14 + 1,5), NA())</f>
        <v>#N/A</v>
      </c>
      <c r="W13" t="e">
        <f>IF(AND(ISNUMBER(U10), ISNUMBER(U14)), INDEX('2.Distancias'!E3:J1446, (U10*38) + U14 + 1,6), NA())</f>
        <v>#N/A</v>
      </c>
      <c r="Y13" t="e">
        <f>IF(AND(ISNUMBER(X10), ISNUMBER(X14)), INDEX('2.Distancias'!E3:J1446, (X10*38) + X14 + 1,5), NA())</f>
        <v>#N/A</v>
      </c>
      <c r="Z13" t="e">
        <f>IF(AND(ISNUMBER(X10), ISNUMBER(X14)), INDEX('2.Distancias'!E3:J1446, (X10*38) + X14 + 1,6), NA())</f>
        <v>#N/A</v>
      </c>
      <c r="AB13" t="e">
        <f>IF(AND(ISNUMBER(AA10), ISNUMBER(AA14)), INDEX('2.Distancias'!E3:J1446, (AA10*38) + AA14 + 1,5), NA())</f>
        <v>#N/A</v>
      </c>
      <c r="AC13" t="e">
        <f>IF(AND(ISNUMBER(AA10), ISNUMBER(AA14)), INDEX('2.Distancias'!E3:J1446, (AA10*38) + AA14 + 1,6), NA())</f>
        <v>#N/A</v>
      </c>
      <c r="AE13" t="e">
        <f>IF(AND(ISNUMBER(AD10), ISNUMBER(AD14)), INDEX('2.Distancias'!E3:J1446, (AD10*38) + AD14 + 1,5), NA())</f>
        <v>#N/A</v>
      </c>
      <c r="AF13" t="e">
        <f>IF(AND(ISNUMBER(AD10), ISNUMBER(AD14)), INDEX('2.Distancias'!E3:J1446, (AD10*38) + AD14 + 1,6), NA())</f>
        <v>#N/A</v>
      </c>
      <c r="AH13" t="e">
        <f>IF(AND(ISNUMBER(AG10), ISNUMBER(AG14)), INDEX('2.Distancias'!E3:J1446, (AG10*38) + AG14 + 1,5), NA())</f>
        <v>#N/A</v>
      </c>
      <c r="AI13" t="e">
        <f>IF(AND(ISNUMBER(AG10), ISNUMBER(AG14)), INDEX('2.Distancias'!E3:J1446, (AG10*38) + AG14 + 1,6), NA())</f>
        <v>#N/A</v>
      </c>
      <c r="AK13" t="e">
        <f>IF(AND(ISNUMBER(AJ10), ISNUMBER(AJ14)), INDEX('2.Distancias'!E3:J1446, (AJ10*38) + AJ14 + 1,5), NA())</f>
        <v>#N/A</v>
      </c>
      <c r="AL13" t="e">
        <f>IF(AND(ISNUMBER(AJ10), ISNUMBER(AJ14)), INDEX('2.Distancias'!E3:J1446, (AJ10*38) + AJ14 + 1,6), NA())</f>
        <v>#N/A</v>
      </c>
    </row>
    <row r="14" spans="1:39" x14ac:dyDescent="0.25">
      <c r="O14" t="str">
        <f>'4.Solución'!C8</f>
        <v xml:space="preserve"> </v>
      </c>
      <c r="P14" t="e">
        <f>IFERROR(IF(ISNUMBER(O14),INDEX('1 ubicaciones'!$D$2:$D$22,O14 + 1),NA()),NA())</f>
        <v>#N/A</v>
      </c>
      <c r="Q14" t="e">
        <f>IFERROR(IF(ISNUMBER(O14),INDEX('1 ubicaciones'!$E$2:$E$22,O14 + 1),NA()),NA())</f>
        <v>#N/A</v>
      </c>
      <c r="R14" t="str">
        <f>'4.Solución'!T8</f>
        <v xml:space="preserve"> </v>
      </c>
      <c r="S14" t="e">
        <f>IFERROR(IF(ISNUMBER(R14),INDEX('1 ubicaciones'!$D$2:$D$22,R14 + 1),NA()),NA())</f>
        <v>#N/A</v>
      </c>
      <c r="T14" t="e">
        <f>IFERROR(IF(ISNUMBER(R14),INDEX('1 ubicaciones'!$E$2:$E$22,R14 + 1),NA()),NA())</f>
        <v>#N/A</v>
      </c>
      <c r="U14">
        <f>'4.Solución'!AK8</f>
        <v>20</v>
      </c>
      <c r="V14" t="str">
        <f>IFERROR(IF(ISNUMBER(U14),INDEX('1 ubicaciones'!$D$2:$D$22,U14 + 1),NA()),NA())</f>
        <v>-120.746.716</v>
      </c>
      <c r="W14" t="str">
        <f>IFERROR(IF(ISNUMBER(U14),INDEX('1 ubicaciones'!$E$2:$E$22,U14 + 1),NA()),NA())</f>
        <v>-7.705.062.389.999.990</v>
      </c>
      <c r="X14" t="str">
        <f>'4.Solución'!BB8</f>
        <v xml:space="preserve"> </v>
      </c>
      <c r="Y14" t="e">
        <f>IFERROR(IF(ISNUMBER(X14),INDEX('1 ubicaciones'!$D$2:$D$22,X14 + 1),NA()),NA())</f>
        <v>#N/A</v>
      </c>
      <c r="Z14" t="e">
        <f>IFERROR(IF(ISNUMBER(X14),INDEX('1 ubicaciones'!$E$2:$E$22,X14 + 1),NA()),NA())</f>
        <v>#N/A</v>
      </c>
      <c r="AA14" t="str">
        <f>'4.Solución'!BS8</f>
        <v xml:space="preserve"> </v>
      </c>
      <c r="AB14" t="e">
        <f>IFERROR(IF(ISNUMBER(AA14),INDEX('1 ubicaciones'!$D$2:$D$22,AA14 + 1),NA()),NA())</f>
        <v>#N/A</v>
      </c>
      <c r="AC14" t="e">
        <f>IFERROR(IF(ISNUMBER(AA14),INDEX('1 ubicaciones'!$E$2:$E$22,AA14 + 1),NA()),NA())</f>
        <v>#N/A</v>
      </c>
      <c r="AD14" t="str">
        <f>'4.Solución'!CJ8</f>
        <v xml:space="preserve"> </v>
      </c>
      <c r="AE14" t="e">
        <f>IFERROR(IF(ISNUMBER(AD14),INDEX('1 ubicaciones'!$D$2:$D$22,AD14 + 1),NA()),NA())</f>
        <v>#N/A</v>
      </c>
      <c r="AF14" t="e">
        <f>IFERROR(IF(ISNUMBER(AD14),INDEX('1 ubicaciones'!$E$2:$E$22,AD14 + 1),NA()),NA())</f>
        <v>#N/A</v>
      </c>
      <c r="AG14" t="str">
        <f>'4.Solución'!DA8</f>
        <v xml:space="preserve"> </v>
      </c>
      <c r="AH14" t="e">
        <f>IFERROR(IF(ISNUMBER(AG14),INDEX('1 ubicaciones'!$D$2:$D$22,AG14 + 1),NA()),NA())</f>
        <v>#N/A</v>
      </c>
      <c r="AI14" t="e">
        <f>IFERROR(IF(ISNUMBER(AG14),INDEX('1 ubicaciones'!$E$2:$E$22,AG14 + 1),NA()),NA())</f>
        <v>#N/A</v>
      </c>
      <c r="AJ14" t="str">
        <f>'4.Solución'!DR8</f>
        <v xml:space="preserve"> </v>
      </c>
      <c r="AK14" t="e">
        <f>IFERROR(IF(ISNUMBER(AJ14),INDEX('1 ubicaciones'!$D$2:$D$22,AJ14 + 1),NA()),NA())</f>
        <v>#N/A</v>
      </c>
      <c r="AL14" t="e">
        <f>IFERROR(IF(ISNUMBER(AJ14),INDEX('1 ubicaciones'!$E$2:$E$22,AJ14 + 1),NA()),NA())</f>
        <v>#N/A</v>
      </c>
    </row>
    <row r="15" spans="1:39" x14ac:dyDescent="0.25">
      <c r="P15" t="e">
        <f>IF(AND(ISNUMBER(O14), ISNUMBER(O18)), INDEX('2.Distancias'!E3:J1446, (O14*38) + O18 + 1,1), NA())</f>
        <v>#N/A</v>
      </c>
      <c r="Q15" t="e">
        <f>IF(AND(ISNUMBER(O14), ISNUMBER(O18)), INDEX('2.Distancias'!E3:J1446, (O14*38) + O18 + 1,2), NA())</f>
        <v>#N/A</v>
      </c>
      <c r="S15" t="e">
        <f>IF(AND(ISNUMBER(R14), ISNUMBER(R18)), INDEX('2.Distancias'!E3:J1446, (R14*38) + R18 + 1,1), NA())</f>
        <v>#N/A</v>
      </c>
      <c r="T15" t="e">
        <f>IF(AND(ISNUMBER(R14), ISNUMBER(R18)), INDEX('2.Distancias'!E3:J1446, (R14*38) + R18 + 1,2), NA())</f>
        <v>#N/A</v>
      </c>
      <c r="V15" t="e">
        <f>IF(AND(ISNUMBER(U14), ISNUMBER(U18)), INDEX('2.Distancias'!E3:J1446, (U14*38) + U18 + 1,1), NA())</f>
        <v>#N/A</v>
      </c>
      <c r="W15" t="e">
        <f>IF(AND(ISNUMBER(U14), ISNUMBER(U18)), INDEX('2.Distancias'!E3:J1446, (U14*38) + U18 + 1,2), NA())</f>
        <v>#N/A</v>
      </c>
      <c r="Y15" t="e">
        <f>IF(AND(ISNUMBER(X14), ISNUMBER(X18)), INDEX('2.Distancias'!E3:J1446, (X14*38) + X18 + 1,1), NA())</f>
        <v>#N/A</v>
      </c>
      <c r="Z15" t="e">
        <f>IF(AND(ISNUMBER(X14), ISNUMBER(X18)), INDEX('2.Distancias'!E3:J1446, (X14*38) + X18 + 1,2), NA())</f>
        <v>#N/A</v>
      </c>
      <c r="AB15" t="e">
        <f>IF(AND(ISNUMBER(AA14), ISNUMBER(AA18)), INDEX('2.Distancias'!E3:J1446, (AA14*38) + AA18 + 1,1), NA())</f>
        <v>#N/A</v>
      </c>
      <c r="AC15" t="e">
        <f>IF(AND(ISNUMBER(AA14), ISNUMBER(AA18)), INDEX('2.Distancias'!E3:J1446, (AA14*38) + AA18 + 1,2), NA())</f>
        <v>#N/A</v>
      </c>
      <c r="AE15" t="e">
        <f>IF(AND(ISNUMBER(AD14), ISNUMBER(AD18)), INDEX('2.Distancias'!E3:J1446, (AD14*38) + AD18 + 1,1), NA())</f>
        <v>#N/A</v>
      </c>
      <c r="AF15" t="e">
        <f>IF(AND(ISNUMBER(AD14), ISNUMBER(AD18)), INDEX('2.Distancias'!E3:J1446, (AD14*38) + AD18 + 1,2), NA())</f>
        <v>#N/A</v>
      </c>
      <c r="AH15" t="e">
        <f>IF(AND(ISNUMBER(AG14), ISNUMBER(AG18)), INDEX('2.Distancias'!E3:J1446, (AG14*38) + AG18 + 1,1), NA())</f>
        <v>#N/A</v>
      </c>
      <c r="AI15" t="e">
        <f>IF(AND(ISNUMBER(AG14), ISNUMBER(AG18)), INDEX('2.Distancias'!E3:J1446, (AG14*38) + AG18 + 1,2), NA())</f>
        <v>#N/A</v>
      </c>
      <c r="AK15" t="e">
        <f>IF(AND(ISNUMBER(AJ14), ISNUMBER(AJ18)), INDEX('2.Distancias'!E3:J1446, (AJ14*38) + AJ18 + 1,1), NA())</f>
        <v>#N/A</v>
      </c>
      <c r="AL15" t="e">
        <f>IF(AND(ISNUMBER(AJ14), ISNUMBER(AJ18)), INDEX('2.Distancias'!E3:J1446, (AJ14*38) + AJ18 + 1,2), NA())</f>
        <v>#N/A</v>
      </c>
    </row>
    <row r="16" spans="1:39" x14ac:dyDescent="0.25">
      <c r="P16" t="e">
        <f>IF(AND(ISNUMBER(O14), ISNUMBER(O18)), INDEX('2.Distancias'!E3:J1446, (O14*38) + O18 + 1,3), NA())</f>
        <v>#N/A</v>
      </c>
      <c r="Q16" t="e">
        <f>IF(AND(ISNUMBER(O14), ISNUMBER(O18)), INDEX('2.Distancias'!E3:J1446, (O14*38) + O18 + 1,4), NA())</f>
        <v>#N/A</v>
      </c>
      <c r="S16" t="e">
        <f>IF(AND(ISNUMBER(R14), ISNUMBER(R18)), INDEX('2.Distancias'!E3:J1446, (R14*38) + R18 + 1,3), NA())</f>
        <v>#N/A</v>
      </c>
      <c r="T16" t="e">
        <f>IF(AND(ISNUMBER(R14), ISNUMBER(R18)), INDEX('2.Distancias'!E3:J1446, (R14*38) + R18 + 1,4), NA())</f>
        <v>#N/A</v>
      </c>
      <c r="V16" t="e">
        <f>IF(AND(ISNUMBER(U14), ISNUMBER(U18)), INDEX('2.Distancias'!E3:J1446, (U14*38) + U18 + 1,3), NA())</f>
        <v>#N/A</v>
      </c>
      <c r="W16" t="e">
        <f>IF(AND(ISNUMBER(U14), ISNUMBER(U18)), INDEX('2.Distancias'!E3:J1446, (U14*38) + U18 + 1,4), NA())</f>
        <v>#N/A</v>
      </c>
      <c r="Y16" t="e">
        <f>IF(AND(ISNUMBER(X14), ISNUMBER(X18)), INDEX('2.Distancias'!E3:J1446, (X14*38) + X18 + 1,3), NA())</f>
        <v>#N/A</v>
      </c>
      <c r="Z16" t="e">
        <f>IF(AND(ISNUMBER(X14), ISNUMBER(X18)), INDEX('2.Distancias'!E3:J1446, (X14*38) + X18 + 1,4), NA())</f>
        <v>#N/A</v>
      </c>
      <c r="AB16" t="e">
        <f>IF(AND(ISNUMBER(AA14), ISNUMBER(AA18)), INDEX('2.Distancias'!E3:J1446, (AA14*38) + AA18 + 1,3), NA())</f>
        <v>#N/A</v>
      </c>
      <c r="AC16" t="e">
        <f>IF(AND(ISNUMBER(AA14), ISNUMBER(AA18)), INDEX('2.Distancias'!E3:J1446, (AA14*38) + AA18 + 1,4), NA())</f>
        <v>#N/A</v>
      </c>
      <c r="AE16" t="e">
        <f>IF(AND(ISNUMBER(AD14), ISNUMBER(AD18)), INDEX('2.Distancias'!E3:J1446, (AD14*38) + AD18 + 1,3), NA())</f>
        <v>#N/A</v>
      </c>
      <c r="AF16" t="e">
        <f>IF(AND(ISNUMBER(AD14), ISNUMBER(AD18)), INDEX('2.Distancias'!E3:J1446, (AD14*38) + AD18 + 1,4), NA())</f>
        <v>#N/A</v>
      </c>
      <c r="AH16" t="e">
        <f>IF(AND(ISNUMBER(AG14), ISNUMBER(AG18)), INDEX('2.Distancias'!E3:J1446, (AG14*38) + AG18 + 1,3), NA())</f>
        <v>#N/A</v>
      </c>
      <c r="AI16" t="e">
        <f>IF(AND(ISNUMBER(AG14), ISNUMBER(AG18)), INDEX('2.Distancias'!E3:J1446, (AG14*38) + AG18 + 1,4), NA())</f>
        <v>#N/A</v>
      </c>
      <c r="AK16" t="e">
        <f>IF(AND(ISNUMBER(AJ14), ISNUMBER(AJ18)), INDEX('2.Distancias'!E3:J1446, (AJ14*38) + AJ18 + 1,3), NA())</f>
        <v>#N/A</v>
      </c>
      <c r="AL16" t="e">
        <f>IF(AND(ISNUMBER(AJ14), ISNUMBER(AJ18)), INDEX('2.Distancias'!E3:J1446, (AJ14*38) + AJ18 + 1,4), NA())</f>
        <v>#N/A</v>
      </c>
    </row>
    <row r="17" spans="15:38" x14ac:dyDescent="0.25">
      <c r="P17" t="e">
        <f>IF(AND(ISNUMBER(O14), ISNUMBER(O18)), INDEX('2.Distancias'!E3:J1446, (O14*38) + O18 + 1,5), NA())</f>
        <v>#N/A</v>
      </c>
      <c r="Q17" t="e">
        <f>IF(AND(ISNUMBER(O14), ISNUMBER(O18)), INDEX('2.Distancias'!E3:J1446, (O14*38) + O18 + 1,6), NA())</f>
        <v>#N/A</v>
      </c>
      <c r="S17" t="e">
        <f>IF(AND(ISNUMBER(R14), ISNUMBER(R18)), INDEX('2.Distancias'!E3:J1446, (R14*38) + R18 + 1,5), NA())</f>
        <v>#N/A</v>
      </c>
      <c r="T17" t="e">
        <f>IF(AND(ISNUMBER(R14), ISNUMBER(R18)), INDEX('2.Distancias'!E3:J1446, (R14*38) + R18 + 1,6), NA())</f>
        <v>#N/A</v>
      </c>
      <c r="V17" t="e">
        <f>IF(AND(ISNUMBER(U14), ISNUMBER(U18)), INDEX('2.Distancias'!E3:J1446, (U14*38) + U18 + 1,5), NA())</f>
        <v>#N/A</v>
      </c>
      <c r="W17" t="e">
        <f>IF(AND(ISNUMBER(U14), ISNUMBER(U18)), INDEX('2.Distancias'!E3:J1446, (U14*38) + U18 + 1,6), NA())</f>
        <v>#N/A</v>
      </c>
      <c r="Y17" t="e">
        <f>IF(AND(ISNUMBER(X14), ISNUMBER(X18)), INDEX('2.Distancias'!E3:J1446, (X14*38) + X18 + 1,5), NA())</f>
        <v>#N/A</v>
      </c>
      <c r="Z17" t="e">
        <f>IF(AND(ISNUMBER(X14), ISNUMBER(X18)), INDEX('2.Distancias'!E3:J1446, (X14*38) + X18 + 1,6), NA())</f>
        <v>#N/A</v>
      </c>
      <c r="AB17" t="e">
        <f>IF(AND(ISNUMBER(AA14), ISNUMBER(AA18)), INDEX('2.Distancias'!E3:J1446, (AA14*38) + AA18 + 1,5), NA())</f>
        <v>#N/A</v>
      </c>
      <c r="AC17" t="e">
        <f>IF(AND(ISNUMBER(AA14), ISNUMBER(AA18)), INDEX('2.Distancias'!E3:J1446, (AA14*38) + AA18 + 1,6), NA())</f>
        <v>#N/A</v>
      </c>
      <c r="AE17" t="e">
        <f>IF(AND(ISNUMBER(AD14), ISNUMBER(AD18)), INDEX('2.Distancias'!E3:J1446, (AD14*38) + AD18 + 1,5), NA())</f>
        <v>#N/A</v>
      </c>
      <c r="AF17" t="e">
        <f>IF(AND(ISNUMBER(AD14), ISNUMBER(AD18)), INDEX('2.Distancias'!E3:J1446, (AD14*38) + AD18 + 1,6), NA())</f>
        <v>#N/A</v>
      </c>
      <c r="AH17" t="e">
        <f>IF(AND(ISNUMBER(AG14), ISNUMBER(AG18)), INDEX('2.Distancias'!E3:J1446, (AG14*38) + AG18 + 1,5), NA())</f>
        <v>#N/A</v>
      </c>
      <c r="AI17" t="e">
        <f>IF(AND(ISNUMBER(AG14), ISNUMBER(AG18)), INDEX('2.Distancias'!E3:J1446, (AG14*38) + AG18 + 1,6), NA())</f>
        <v>#N/A</v>
      </c>
      <c r="AK17" t="e">
        <f>IF(AND(ISNUMBER(AJ14), ISNUMBER(AJ18)), INDEX('2.Distancias'!E3:J1446, (AJ14*38) + AJ18 + 1,5), NA())</f>
        <v>#N/A</v>
      </c>
      <c r="AL17" t="e">
        <f>IF(AND(ISNUMBER(AJ14), ISNUMBER(AJ18)), INDEX('2.Distancias'!E3:J1446, (AJ14*38) + AJ18 + 1,6), NA())</f>
        <v>#N/A</v>
      </c>
    </row>
    <row r="18" spans="15:38" x14ac:dyDescent="0.25">
      <c r="O18" t="str">
        <f>'4.Solución'!C9</f>
        <v xml:space="preserve"> </v>
      </c>
      <c r="P18" t="e">
        <f>IFERROR(IF(ISNUMBER(O18),INDEX('1 ubicaciones'!$D$2:$D$22,O18 + 1),NA()),NA())</f>
        <v>#N/A</v>
      </c>
      <c r="Q18" t="e">
        <f>IFERROR(IF(ISNUMBER(O18),INDEX('1 ubicaciones'!$E$2:$E$22,O18 + 1),NA()),NA())</f>
        <v>#N/A</v>
      </c>
      <c r="R18" t="str">
        <f>'4.Solución'!T9</f>
        <v xml:space="preserve"> </v>
      </c>
      <c r="S18" t="e">
        <f>IFERROR(IF(ISNUMBER(R18),INDEX('1 ubicaciones'!$D$2:$D$22,R18 + 1),NA()),NA())</f>
        <v>#N/A</v>
      </c>
      <c r="T18" t="e">
        <f>IFERROR(IF(ISNUMBER(R18),INDEX('1 ubicaciones'!$E$2:$E$22,R18 + 1),NA()),NA())</f>
        <v>#N/A</v>
      </c>
      <c r="U18" t="str">
        <f>'4.Solución'!AK9</f>
        <v xml:space="preserve"> </v>
      </c>
      <c r="V18" t="e">
        <f>IFERROR(IF(ISNUMBER(U18),INDEX('1 ubicaciones'!$D$2:$D$22,U18 + 1),NA()),NA())</f>
        <v>#N/A</v>
      </c>
      <c r="W18" t="e">
        <f>IFERROR(IF(ISNUMBER(U18),INDEX('1 ubicaciones'!$E$2:$E$22,U18 + 1),NA()),NA())</f>
        <v>#N/A</v>
      </c>
      <c r="X18" t="str">
        <f>'4.Solución'!BB9</f>
        <v xml:space="preserve"> </v>
      </c>
      <c r="Y18" t="e">
        <f>IFERROR(IF(ISNUMBER(X18),INDEX('1 ubicaciones'!$D$2:$D$22,X18 + 1),NA()),NA())</f>
        <v>#N/A</v>
      </c>
      <c r="Z18" t="e">
        <f>IFERROR(IF(ISNUMBER(X18),INDEX('1 ubicaciones'!$E$2:$E$22,X18 + 1),NA()),NA())</f>
        <v>#N/A</v>
      </c>
      <c r="AA18" t="str">
        <f>'4.Solución'!BS9</f>
        <v xml:space="preserve"> </v>
      </c>
      <c r="AB18" t="e">
        <f>IFERROR(IF(ISNUMBER(AA18),INDEX('1 ubicaciones'!$D$2:$D$22,AA18 + 1),NA()),NA())</f>
        <v>#N/A</v>
      </c>
      <c r="AC18" t="e">
        <f>IFERROR(IF(ISNUMBER(AA18),INDEX('1 ubicaciones'!$E$2:$E$22,AA18 + 1),NA()),NA())</f>
        <v>#N/A</v>
      </c>
      <c r="AD18" t="str">
        <f>'4.Solución'!CJ9</f>
        <v xml:space="preserve"> </v>
      </c>
      <c r="AE18" t="e">
        <f>IFERROR(IF(ISNUMBER(AD18),INDEX('1 ubicaciones'!$D$2:$D$22,AD18 + 1),NA()),NA())</f>
        <v>#N/A</v>
      </c>
      <c r="AF18" t="e">
        <f>IFERROR(IF(ISNUMBER(AD18),INDEX('1 ubicaciones'!$E$2:$E$22,AD18 + 1),NA()),NA())</f>
        <v>#N/A</v>
      </c>
      <c r="AG18" t="str">
        <f>'4.Solución'!DA9</f>
        <v xml:space="preserve"> </v>
      </c>
      <c r="AH18" t="e">
        <f>IFERROR(IF(ISNUMBER(AG18),INDEX('1 ubicaciones'!$D$2:$D$22,AG18 + 1),NA()),NA())</f>
        <v>#N/A</v>
      </c>
      <c r="AI18" t="e">
        <f>IFERROR(IF(ISNUMBER(AG18),INDEX('1 ubicaciones'!$E$2:$E$22,AG18 + 1),NA()),NA())</f>
        <v>#N/A</v>
      </c>
      <c r="AJ18" t="str">
        <f>'4.Solución'!DR9</f>
        <v xml:space="preserve"> </v>
      </c>
      <c r="AK18" t="e">
        <f>IFERROR(IF(ISNUMBER(AJ18),INDEX('1 ubicaciones'!$D$2:$D$22,AJ18 + 1),NA()),NA())</f>
        <v>#N/A</v>
      </c>
      <c r="AL18" t="e">
        <f>IFERROR(IF(ISNUMBER(AJ18),INDEX('1 ubicaciones'!$E$2:$E$22,AJ18 + 1),NA()),NA())</f>
        <v>#N/A</v>
      </c>
    </row>
    <row r="19" spans="15:38" x14ac:dyDescent="0.25">
      <c r="P19" t="e">
        <f>IF(AND(ISNUMBER(O18), ISNUMBER(O22)), INDEX('2.Distancias'!E3:J1446, (O18*38) + O22 + 1,1), NA())</f>
        <v>#N/A</v>
      </c>
      <c r="Q19" t="e">
        <f>IF(AND(ISNUMBER(O18), ISNUMBER(O22)), INDEX('2.Distancias'!E3:J1446, (O18*38) + O22 + 1,2), NA())</f>
        <v>#N/A</v>
      </c>
      <c r="S19" t="e">
        <f>IF(AND(ISNUMBER(R18), ISNUMBER(R22)), INDEX('2.Distancias'!E3:J1446, (R18*38) + R22 + 1,1), NA())</f>
        <v>#N/A</v>
      </c>
      <c r="T19" t="e">
        <f>IF(AND(ISNUMBER(R18), ISNUMBER(R22)), INDEX('2.Distancias'!E3:J1446, (R18*38) + R22 + 1,2), NA())</f>
        <v>#N/A</v>
      </c>
      <c r="V19" t="e">
        <f>IF(AND(ISNUMBER(U18), ISNUMBER(U22)), INDEX('2.Distancias'!E3:J1446, (U18*38) + U22 + 1,1), NA())</f>
        <v>#N/A</v>
      </c>
      <c r="W19" t="e">
        <f>IF(AND(ISNUMBER(U18), ISNUMBER(U22)), INDEX('2.Distancias'!E3:J1446, (U18*38) + U22 + 1,2), NA())</f>
        <v>#N/A</v>
      </c>
      <c r="Y19" t="e">
        <f>IF(AND(ISNUMBER(X18), ISNUMBER(X22)), INDEX('2.Distancias'!E3:J1446, (X18*38) + X22 + 1,1), NA())</f>
        <v>#N/A</v>
      </c>
      <c r="Z19" t="e">
        <f>IF(AND(ISNUMBER(X18), ISNUMBER(X22)), INDEX('2.Distancias'!E3:J1446, (X18*38) + X22 + 1,2), NA())</f>
        <v>#N/A</v>
      </c>
      <c r="AB19" t="e">
        <f>IF(AND(ISNUMBER(AA18), ISNUMBER(AA22)), INDEX('2.Distancias'!E3:J1446, (AA18*38) + AA22 + 1,1), NA())</f>
        <v>#N/A</v>
      </c>
      <c r="AC19" t="e">
        <f>IF(AND(ISNUMBER(AA18), ISNUMBER(AA22)), INDEX('2.Distancias'!E3:J1446, (AA18*38) + AA22 + 1,2), NA())</f>
        <v>#N/A</v>
      </c>
      <c r="AE19" t="e">
        <f>IF(AND(ISNUMBER(AD18), ISNUMBER(AD22)), INDEX('2.Distancias'!E3:J1446, (AD18*38) + AD22 + 1,1), NA())</f>
        <v>#N/A</v>
      </c>
      <c r="AF19" t="e">
        <f>IF(AND(ISNUMBER(AD18), ISNUMBER(AD22)), INDEX('2.Distancias'!E3:J1446, (AD18*38) + AD22 + 1,2), NA())</f>
        <v>#N/A</v>
      </c>
      <c r="AH19" t="e">
        <f>IF(AND(ISNUMBER(AG18), ISNUMBER(AG22)), INDEX('2.Distancias'!E3:J1446, (AG18*38) + AG22 + 1,1), NA())</f>
        <v>#N/A</v>
      </c>
      <c r="AI19" t="e">
        <f>IF(AND(ISNUMBER(AG18), ISNUMBER(AG22)), INDEX('2.Distancias'!E3:J1446, (AG18*38) + AG22 + 1,2), NA())</f>
        <v>#N/A</v>
      </c>
      <c r="AK19" t="e">
        <f>IF(AND(ISNUMBER(AJ18), ISNUMBER(AJ22)), INDEX('2.Distancias'!E3:J1446, (AJ18*38) + AJ22 + 1,1), NA())</f>
        <v>#N/A</v>
      </c>
      <c r="AL19" t="e">
        <f>IF(AND(ISNUMBER(AJ18), ISNUMBER(AJ22)), INDEX('2.Distancias'!E3:J1446, (AJ18*38) + AJ22 + 1,2), NA())</f>
        <v>#N/A</v>
      </c>
    </row>
    <row r="20" spans="15:38" x14ac:dyDescent="0.25">
      <c r="P20" t="e">
        <f>IF(AND(ISNUMBER(O18), ISNUMBER(O22)), INDEX('2.Distancias'!E3:J1446, (O18*38) + O22 + 1,3), NA())</f>
        <v>#N/A</v>
      </c>
      <c r="Q20" t="e">
        <f>IF(AND(ISNUMBER(O18), ISNUMBER(O22)), INDEX('2.Distancias'!E3:J1446, (O18*38) + O22 + 1,4), NA())</f>
        <v>#N/A</v>
      </c>
      <c r="S20" t="e">
        <f>IF(AND(ISNUMBER(R18), ISNUMBER(R22)), INDEX('2.Distancias'!E3:J1446, (R18*38) + R22 + 1,3), NA())</f>
        <v>#N/A</v>
      </c>
      <c r="T20" t="e">
        <f>IF(AND(ISNUMBER(R18), ISNUMBER(R22)), INDEX('2.Distancias'!E3:J1446, (R18*38) + R22 + 1,4), NA())</f>
        <v>#N/A</v>
      </c>
      <c r="V20" t="e">
        <f>IF(AND(ISNUMBER(U18), ISNUMBER(U22)), INDEX('2.Distancias'!E3:J1446, (U18*38) + U22 + 1,3), NA())</f>
        <v>#N/A</v>
      </c>
      <c r="W20" t="e">
        <f>IF(AND(ISNUMBER(U18), ISNUMBER(U22)), INDEX('2.Distancias'!E3:J1446, (U18*38) + U22 + 1,4), NA())</f>
        <v>#N/A</v>
      </c>
      <c r="Y20" t="e">
        <f>IF(AND(ISNUMBER(X18), ISNUMBER(X22)), INDEX('2.Distancias'!E3:J1446, (X18*38) + X22 + 1,3), NA())</f>
        <v>#N/A</v>
      </c>
      <c r="Z20" t="e">
        <f>IF(AND(ISNUMBER(X18), ISNUMBER(X22)), INDEX('2.Distancias'!E3:J1446, (X18*38) + X22 + 1,4), NA())</f>
        <v>#N/A</v>
      </c>
      <c r="AB20" t="e">
        <f>IF(AND(ISNUMBER(AA18), ISNUMBER(AA22)), INDEX('2.Distancias'!E3:J1446, (AA18*38) + AA22 + 1,3), NA())</f>
        <v>#N/A</v>
      </c>
      <c r="AC20" t="e">
        <f>IF(AND(ISNUMBER(AA18), ISNUMBER(AA22)), INDEX('2.Distancias'!E3:J1446, (AA18*38) + AA22 + 1,4), NA())</f>
        <v>#N/A</v>
      </c>
      <c r="AE20" t="e">
        <f>IF(AND(ISNUMBER(AD18), ISNUMBER(AD22)), INDEX('2.Distancias'!E3:J1446, (AD18*38) + AD22 + 1,3), NA())</f>
        <v>#N/A</v>
      </c>
      <c r="AF20" t="e">
        <f>IF(AND(ISNUMBER(AD18), ISNUMBER(AD22)), INDEX('2.Distancias'!E3:J1446, (AD18*38) + AD22 + 1,4), NA())</f>
        <v>#N/A</v>
      </c>
      <c r="AH20" t="e">
        <f>IF(AND(ISNUMBER(AG18), ISNUMBER(AG22)), INDEX('2.Distancias'!E3:J1446, (AG18*38) + AG22 + 1,3), NA())</f>
        <v>#N/A</v>
      </c>
      <c r="AI20" t="e">
        <f>IF(AND(ISNUMBER(AG18), ISNUMBER(AG22)), INDEX('2.Distancias'!E3:J1446, (AG18*38) + AG22 + 1,4), NA())</f>
        <v>#N/A</v>
      </c>
      <c r="AK20" t="e">
        <f>IF(AND(ISNUMBER(AJ18), ISNUMBER(AJ22)), INDEX('2.Distancias'!E3:J1446, (AJ18*38) + AJ22 + 1,3), NA())</f>
        <v>#N/A</v>
      </c>
      <c r="AL20" t="e">
        <f>IF(AND(ISNUMBER(AJ18), ISNUMBER(AJ22)), INDEX('2.Distancias'!E3:J1446, (AJ18*38) + AJ22 + 1,4), NA())</f>
        <v>#N/A</v>
      </c>
    </row>
    <row r="21" spans="15:38" x14ac:dyDescent="0.25">
      <c r="P21" t="e">
        <f>IF(AND(ISNUMBER(O18), ISNUMBER(O22)), INDEX('2.Distancias'!E3:J1446, (O18*38) + O22 + 1,5), NA())</f>
        <v>#N/A</v>
      </c>
      <c r="Q21" t="e">
        <f>IF(AND(ISNUMBER(O18), ISNUMBER(O22)), INDEX('2.Distancias'!E3:J1446, (O18*38) + O22 + 1,6), NA())</f>
        <v>#N/A</v>
      </c>
      <c r="S21" t="e">
        <f>IF(AND(ISNUMBER(R18), ISNUMBER(R22)), INDEX('2.Distancias'!E3:J1446, (R18*38) + R22 + 1,5), NA())</f>
        <v>#N/A</v>
      </c>
      <c r="T21" t="e">
        <f>IF(AND(ISNUMBER(R18), ISNUMBER(R22)), INDEX('2.Distancias'!E3:J1446, (R18*38) + R22 + 1,6), NA())</f>
        <v>#N/A</v>
      </c>
      <c r="V21" t="e">
        <f>IF(AND(ISNUMBER(U18), ISNUMBER(U22)), INDEX('2.Distancias'!E3:J1446, (U18*38) + U22 + 1,5), NA())</f>
        <v>#N/A</v>
      </c>
      <c r="W21" t="e">
        <f>IF(AND(ISNUMBER(U18), ISNUMBER(U22)), INDEX('2.Distancias'!E3:J1446, (U18*38) + U22 + 1,6), NA())</f>
        <v>#N/A</v>
      </c>
      <c r="Y21" t="e">
        <f>IF(AND(ISNUMBER(X18), ISNUMBER(X22)), INDEX('2.Distancias'!E3:J1446, (X18*38) + X22 + 1,5), NA())</f>
        <v>#N/A</v>
      </c>
      <c r="Z21" t="e">
        <f>IF(AND(ISNUMBER(X18), ISNUMBER(X22)), INDEX('2.Distancias'!E3:J1446, (X18*38) + X22 + 1,6), NA())</f>
        <v>#N/A</v>
      </c>
      <c r="AB21" t="e">
        <f>IF(AND(ISNUMBER(AA18), ISNUMBER(AA22)), INDEX('2.Distancias'!E3:J1446, (AA18*38) + AA22 + 1,5), NA())</f>
        <v>#N/A</v>
      </c>
      <c r="AC21" t="e">
        <f>IF(AND(ISNUMBER(AA18), ISNUMBER(AA22)), INDEX('2.Distancias'!E3:J1446, (AA18*38) + AA22 + 1,6), NA())</f>
        <v>#N/A</v>
      </c>
      <c r="AE21" t="e">
        <f>IF(AND(ISNUMBER(AD18), ISNUMBER(AD22)), INDEX('2.Distancias'!E3:J1446, (AD18*38) + AD22 + 1,5), NA())</f>
        <v>#N/A</v>
      </c>
      <c r="AF21" t="e">
        <f>IF(AND(ISNUMBER(AD18), ISNUMBER(AD22)), INDEX('2.Distancias'!E3:J1446, (AD18*38) + AD22 + 1,6), NA())</f>
        <v>#N/A</v>
      </c>
      <c r="AH21" t="e">
        <f>IF(AND(ISNUMBER(AG18), ISNUMBER(AG22)), INDEX('2.Distancias'!E3:J1446, (AG18*38) + AG22 + 1,5), NA())</f>
        <v>#N/A</v>
      </c>
      <c r="AI21" t="e">
        <f>IF(AND(ISNUMBER(AG18), ISNUMBER(AG22)), INDEX('2.Distancias'!E3:J1446, (AG18*38) + AG22 + 1,6), NA())</f>
        <v>#N/A</v>
      </c>
      <c r="AK21" t="e">
        <f>IF(AND(ISNUMBER(AJ18), ISNUMBER(AJ22)), INDEX('2.Distancias'!E3:J1446, (AJ18*38) + AJ22 + 1,5), NA())</f>
        <v>#N/A</v>
      </c>
      <c r="AL21" t="e">
        <f>IF(AND(ISNUMBER(AJ18), ISNUMBER(AJ22)), INDEX('2.Distancias'!E3:J1446, (AJ18*38) + AJ22 + 1,6), NA())</f>
        <v>#N/A</v>
      </c>
    </row>
    <row r="22" spans="15:38" x14ac:dyDescent="0.25">
      <c r="O22" t="str">
        <f>'4.Solución'!C10</f>
        <v xml:space="preserve"> </v>
      </c>
      <c r="P22" t="e">
        <f>IFERROR(IF(ISNUMBER(O22),INDEX('1 ubicaciones'!$D$2:$D$22,O22 + 1),NA()),NA())</f>
        <v>#N/A</v>
      </c>
      <c r="Q22" t="e">
        <f>IFERROR(IF(ISNUMBER(O22),INDEX('1 ubicaciones'!$E$2:$E$22,O22 + 1),NA()),NA())</f>
        <v>#N/A</v>
      </c>
      <c r="R22" t="str">
        <f>'4.Solución'!T10</f>
        <v xml:space="preserve"> </v>
      </c>
      <c r="S22" t="e">
        <f>IFERROR(IF(ISNUMBER(R22),INDEX('1 ubicaciones'!$D$2:$D$22,R22 + 1),NA()),NA())</f>
        <v>#N/A</v>
      </c>
      <c r="T22" t="e">
        <f>IFERROR(IF(ISNUMBER(R22),INDEX('1 ubicaciones'!$E$2:$E$22,R22 + 1),NA()),NA())</f>
        <v>#N/A</v>
      </c>
      <c r="U22" t="str">
        <f>'4.Solución'!AK10</f>
        <v xml:space="preserve"> </v>
      </c>
      <c r="V22" t="e">
        <f>IFERROR(IF(ISNUMBER(U22),INDEX('1 ubicaciones'!$D$2:$D$22,U22 + 1),NA()),NA())</f>
        <v>#N/A</v>
      </c>
      <c r="W22" t="e">
        <f>IFERROR(IF(ISNUMBER(U22),INDEX('1 ubicaciones'!$E$2:$E$22,U22 + 1),NA()),NA())</f>
        <v>#N/A</v>
      </c>
      <c r="X22" t="str">
        <f>'4.Solución'!BB10</f>
        <v xml:space="preserve"> </v>
      </c>
      <c r="Y22" t="e">
        <f>IFERROR(IF(ISNUMBER(X22),INDEX('1 ubicaciones'!$D$2:$D$22,X22 + 1),NA()),NA())</f>
        <v>#N/A</v>
      </c>
      <c r="Z22" t="e">
        <f>IFERROR(IF(ISNUMBER(X22),INDEX('1 ubicaciones'!$E$2:$E$22,X22 + 1),NA()),NA())</f>
        <v>#N/A</v>
      </c>
      <c r="AA22" t="str">
        <f>'4.Solución'!BS10</f>
        <v xml:space="preserve"> </v>
      </c>
      <c r="AB22" t="e">
        <f>IFERROR(IF(ISNUMBER(AA22),INDEX('1 ubicaciones'!$D$2:$D$22,AA22 + 1),NA()),NA())</f>
        <v>#N/A</v>
      </c>
      <c r="AC22" t="e">
        <f>IFERROR(IF(ISNUMBER(AA22),INDEX('1 ubicaciones'!$E$2:$E$22,AA22 + 1),NA()),NA())</f>
        <v>#N/A</v>
      </c>
      <c r="AD22" t="str">
        <f>'4.Solución'!CJ10</f>
        <v xml:space="preserve"> </v>
      </c>
      <c r="AE22" t="e">
        <f>IFERROR(IF(ISNUMBER(AD22),INDEX('1 ubicaciones'!$D$2:$D$22,AD22 + 1),NA()),NA())</f>
        <v>#N/A</v>
      </c>
      <c r="AF22" t="e">
        <f>IFERROR(IF(ISNUMBER(AD22),INDEX('1 ubicaciones'!$E$2:$E$22,AD22 + 1),NA()),NA())</f>
        <v>#N/A</v>
      </c>
      <c r="AG22" t="str">
        <f>'4.Solución'!DA10</f>
        <v xml:space="preserve"> </v>
      </c>
      <c r="AH22" t="e">
        <f>IFERROR(IF(ISNUMBER(AG22),INDEX('1 ubicaciones'!$D$2:$D$22,AG22 + 1),NA()),NA())</f>
        <v>#N/A</v>
      </c>
      <c r="AI22" t="e">
        <f>IFERROR(IF(ISNUMBER(AG22),INDEX('1 ubicaciones'!$E$2:$E$22,AG22 + 1),NA()),NA())</f>
        <v>#N/A</v>
      </c>
      <c r="AJ22" t="str">
        <f>'4.Solución'!DR10</f>
        <v xml:space="preserve"> </v>
      </c>
      <c r="AK22" t="e">
        <f>IFERROR(IF(ISNUMBER(AJ22),INDEX('1 ubicaciones'!$D$2:$D$22,AJ22 + 1),NA()),NA())</f>
        <v>#N/A</v>
      </c>
      <c r="AL22" t="e">
        <f>IFERROR(IF(ISNUMBER(AJ22),INDEX('1 ubicaciones'!$E$2:$E$22,AJ22 + 1),NA()),NA())</f>
        <v>#N/A</v>
      </c>
    </row>
    <row r="23" spans="15:38" x14ac:dyDescent="0.25">
      <c r="P23" t="e">
        <f>IF(AND(ISNUMBER(O22), ISNUMBER(O26)), INDEX('2.Distancias'!E3:J1446, (O22*38) + O26 + 1,1), NA())</f>
        <v>#N/A</v>
      </c>
      <c r="Q23" t="e">
        <f>IF(AND(ISNUMBER(O22), ISNUMBER(O26)), INDEX('2.Distancias'!E3:J1446, (O22*38) + O26 + 1,2), NA())</f>
        <v>#N/A</v>
      </c>
      <c r="S23" t="e">
        <f>IF(AND(ISNUMBER(R22), ISNUMBER(R26)), INDEX('2.Distancias'!E3:J1446, (R22*38) + R26 + 1,1), NA())</f>
        <v>#N/A</v>
      </c>
      <c r="T23" t="e">
        <f>IF(AND(ISNUMBER(R22), ISNUMBER(R26)), INDEX('2.Distancias'!E3:J1446, (R22*38) + R26 + 1,2), NA())</f>
        <v>#N/A</v>
      </c>
      <c r="V23" t="e">
        <f>IF(AND(ISNUMBER(U22), ISNUMBER(U26)), INDEX('2.Distancias'!E3:J1446, (U22*38) + U26 + 1,1), NA())</f>
        <v>#N/A</v>
      </c>
      <c r="W23" t="e">
        <f>IF(AND(ISNUMBER(U22), ISNUMBER(U26)), INDEX('2.Distancias'!E3:J1446, (U22*38) + U26 + 1,2), NA())</f>
        <v>#N/A</v>
      </c>
      <c r="Y23" t="e">
        <f>IF(AND(ISNUMBER(X22), ISNUMBER(X26)), INDEX('2.Distancias'!E3:J1446, (X22*38) + X26 + 1,1), NA())</f>
        <v>#N/A</v>
      </c>
      <c r="Z23" t="e">
        <f>IF(AND(ISNUMBER(X22), ISNUMBER(X26)), INDEX('2.Distancias'!E3:J1446, (X22*38) + X26 + 1,2), NA())</f>
        <v>#N/A</v>
      </c>
      <c r="AB23" t="e">
        <f>IF(AND(ISNUMBER(AA22), ISNUMBER(AA26)), INDEX('2.Distancias'!E3:J1446, (AA22*38) + AA26 + 1,1), NA())</f>
        <v>#N/A</v>
      </c>
      <c r="AC23" t="e">
        <f>IF(AND(ISNUMBER(AA22), ISNUMBER(AA26)), INDEX('2.Distancias'!E3:J1446, (AA22*38) + AA26 + 1,2), NA())</f>
        <v>#N/A</v>
      </c>
      <c r="AE23" t="e">
        <f>IF(AND(ISNUMBER(AD22), ISNUMBER(AD26)), INDEX('2.Distancias'!E3:J1446, (AD22*38) + AD26 + 1,1), NA())</f>
        <v>#N/A</v>
      </c>
      <c r="AF23" t="e">
        <f>IF(AND(ISNUMBER(AD22), ISNUMBER(AD26)), INDEX('2.Distancias'!E3:J1446, (AD22*38) + AD26 + 1,2), NA())</f>
        <v>#N/A</v>
      </c>
      <c r="AH23" t="e">
        <f>IF(AND(ISNUMBER(AG22), ISNUMBER(AG26)), INDEX('2.Distancias'!E3:J1446, (AG22*38) + AG26 + 1,1), NA())</f>
        <v>#N/A</v>
      </c>
      <c r="AI23" t="e">
        <f>IF(AND(ISNUMBER(AG22), ISNUMBER(AG26)), INDEX('2.Distancias'!E3:J1446, (AG22*38) + AG26 + 1,2), NA())</f>
        <v>#N/A</v>
      </c>
      <c r="AK23" t="e">
        <f>IF(AND(ISNUMBER(AJ22), ISNUMBER(AJ26)), INDEX('2.Distancias'!E3:J1446, (AJ22*38) + AJ26 + 1,1), NA())</f>
        <v>#N/A</v>
      </c>
      <c r="AL23" t="e">
        <f>IF(AND(ISNUMBER(AJ22), ISNUMBER(AJ26)), INDEX('2.Distancias'!E3:J1446, (AJ22*38) + AJ26 + 1,2), NA())</f>
        <v>#N/A</v>
      </c>
    </row>
    <row r="24" spans="15:38" x14ac:dyDescent="0.25">
      <c r="P24" t="e">
        <f>IF(AND(ISNUMBER(O22), ISNUMBER(O26)), INDEX('2.Distancias'!E3:J1446, (O22*38) + O26 + 1,3), NA())</f>
        <v>#N/A</v>
      </c>
      <c r="Q24" t="e">
        <f>IF(AND(ISNUMBER(O22), ISNUMBER(O26)), INDEX('2.Distancias'!E3:J1446, (O22*38) + O26 + 1,4), NA())</f>
        <v>#N/A</v>
      </c>
      <c r="S24" t="e">
        <f>IF(AND(ISNUMBER(R22), ISNUMBER(R26)), INDEX('2.Distancias'!E3:J1446, (R22*38) + R26 + 1,3), NA())</f>
        <v>#N/A</v>
      </c>
      <c r="T24" t="e">
        <f>IF(AND(ISNUMBER(R22), ISNUMBER(R26)), INDEX('2.Distancias'!E3:J1446, (R22*38) + R26 + 1,4), NA())</f>
        <v>#N/A</v>
      </c>
      <c r="V24" t="e">
        <f>IF(AND(ISNUMBER(U22), ISNUMBER(U26)), INDEX('2.Distancias'!E3:J1446, (U22*38) + U26 + 1,3), NA())</f>
        <v>#N/A</v>
      </c>
      <c r="W24" t="e">
        <f>IF(AND(ISNUMBER(U22), ISNUMBER(U26)), INDEX('2.Distancias'!E3:J1446, (U22*38) + U26 + 1,4), NA())</f>
        <v>#N/A</v>
      </c>
      <c r="Y24" t="e">
        <f>IF(AND(ISNUMBER(X22), ISNUMBER(X26)), INDEX('2.Distancias'!E3:J1446, (X22*38) + X26 + 1,3), NA())</f>
        <v>#N/A</v>
      </c>
      <c r="Z24" t="e">
        <f>IF(AND(ISNUMBER(X22), ISNUMBER(X26)), INDEX('2.Distancias'!E3:J1446, (X22*38) + X26 + 1,4), NA())</f>
        <v>#N/A</v>
      </c>
      <c r="AB24" t="e">
        <f>IF(AND(ISNUMBER(AA22), ISNUMBER(AA26)), INDEX('2.Distancias'!E3:J1446, (AA22*38) + AA26 + 1,3), NA())</f>
        <v>#N/A</v>
      </c>
      <c r="AC24" t="e">
        <f>IF(AND(ISNUMBER(AA22), ISNUMBER(AA26)), INDEX('2.Distancias'!E3:J1446, (AA22*38) + AA26 + 1,4), NA())</f>
        <v>#N/A</v>
      </c>
      <c r="AE24" t="e">
        <f>IF(AND(ISNUMBER(AD22), ISNUMBER(AD26)), INDEX('2.Distancias'!E3:J1446, (AD22*38) + AD26 + 1,3), NA())</f>
        <v>#N/A</v>
      </c>
      <c r="AF24" t="e">
        <f>IF(AND(ISNUMBER(AD22), ISNUMBER(AD26)), INDEX('2.Distancias'!E3:J1446, (AD22*38) + AD26 + 1,4), NA())</f>
        <v>#N/A</v>
      </c>
      <c r="AH24" t="e">
        <f>IF(AND(ISNUMBER(AG22), ISNUMBER(AG26)), INDEX('2.Distancias'!E3:J1446, (AG22*38) + AG26 + 1,3), NA())</f>
        <v>#N/A</v>
      </c>
      <c r="AI24" t="e">
        <f>IF(AND(ISNUMBER(AG22), ISNUMBER(AG26)), INDEX('2.Distancias'!E3:J1446, (AG22*38) + AG26 + 1,4), NA())</f>
        <v>#N/A</v>
      </c>
      <c r="AK24" t="e">
        <f>IF(AND(ISNUMBER(AJ22), ISNUMBER(AJ26)), INDEX('2.Distancias'!E3:J1446, (AJ22*38) + AJ26 + 1,3), NA())</f>
        <v>#N/A</v>
      </c>
      <c r="AL24" t="e">
        <f>IF(AND(ISNUMBER(AJ22), ISNUMBER(AJ26)), INDEX('2.Distancias'!E3:J1446, (AJ22*38) + AJ26 + 1,4), NA())</f>
        <v>#N/A</v>
      </c>
    </row>
    <row r="25" spans="15:38" x14ac:dyDescent="0.25">
      <c r="P25" t="e">
        <f>IF(AND(ISNUMBER(O22), ISNUMBER(O26)), INDEX('2.Distancias'!E3:J1446, (O22*38) + O26 + 1,5), NA())</f>
        <v>#N/A</v>
      </c>
      <c r="Q25" t="e">
        <f>IF(AND(ISNUMBER(O22), ISNUMBER(O26)), INDEX('2.Distancias'!E3:J1446, (O22*38) + O26 + 1,6), NA())</f>
        <v>#N/A</v>
      </c>
      <c r="S25" t="e">
        <f>IF(AND(ISNUMBER(R22), ISNUMBER(R26)), INDEX('2.Distancias'!E3:J1446, (R22*38) + R26 + 1,5), NA())</f>
        <v>#N/A</v>
      </c>
      <c r="T25" t="e">
        <f>IF(AND(ISNUMBER(R22), ISNUMBER(R26)), INDEX('2.Distancias'!E3:J1446, (R22*38) + R26 + 1,6), NA())</f>
        <v>#N/A</v>
      </c>
      <c r="V25" t="e">
        <f>IF(AND(ISNUMBER(U22), ISNUMBER(U26)), INDEX('2.Distancias'!E3:J1446, (U22*38) + U26 + 1,5), NA())</f>
        <v>#N/A</v>
      </c>
      <c r="W25" t="e">
        <f>IF(AND(ISNUMBER(U22), ISNUMBER(U26)), INDEX('2.Distancias'!E3:J1446, (U22*38) + U26 + 1,6), NA())</f>
        <v>#N/A</v>
      </c>
      <c r="Y25" t="e">
        <f>IF(AND(ISNUMBER(X22), ISNUMBER(X26)), INDEX('2.Distancias'!E3:J1446, (X22*38) + X26 + 1,5), NA())</f>
        <v>#N/A</v>
      </c>
      <c r="Z25" t="e">
        <f>IF(AND(ISNUMBER(X22), ISNUMBER(X26)), INDEX('2.Distancias'!E3:J1446, (X22*38) + X26 + 1,6), NA())</f>
        <v>#N/A</v>
      </c>
      <c r="AB25" t="e">
        <f>IF(AND(ISNUMBER(AA22), ISNUMBER(AA26)), INDEX('2.Distancias'!E3:J1446, (AA22*38) + AA26 + 1,5), NA())</f>
        <v>#N/A</v>
      </c>
      <c r="AC25" t="e">
        <f>IF(AND(ISNUMBER(AA22), ISNUMBER(AA26)), INDEX('2.Distancias'!E3:J1446, (AA22*38) + AA26 + 1,6), NA())</f>
        <v>#N/A</v>
      </c>
      <c r="AE25" t="e">
        <f>IF(AND(ISNUMBER(AD22), ISNUMBER(AD26)), INDEX('2.Distancias'!E3:J1446, (AD22*38) + AD26 + 1,5), NA())</f>
        <v>#N/A</v>
      </c>
      <c r="AF25" t="e">
        <f>IF(AND(ISNUMBER(AD22), ISNUMBER(AD26)), INDEX('2.Distancias'!E3:J1446, (AD22*38) + AD26 + 1,6), NA())</f>
        <v>#N/A</v>
      </c>
      <c r="AH25" t="e">
        <f>IF(AND(ISNUMBER(AG22), ISNUMBER(AG26)), INDEX('2.Distancias'!E3:J1446, (AG22*38) + AG26 + 1,5), NA())</f>
        <v>#N/A</v>
      </c>
      <c r="AI25" t="e">
        <f>IF(AND(ISNUMBER(AG22), ISNUMBER(AG26)), INDEX('2.Distancias'!E3:J1446, (AG22*38) + AG26 + 1,6), NA())</f>
        <v>#N/A</v>
      </c>
      <c r="AK25" t="e">
        <f>IF(AND(ISNUMBER(AJ22), ISNUMBER(AJ26)), INDEX('2.Distancias'!E3:J1446, (AJ22*38) + AJ26 + 1,5), NA())</f>
        <v>#N/A</v>
      </c>
      <c r="AL25" t="e">
        <f>IF(AND(ISNUMBER(AJ22), ISNUMBER(AJ26)), INDEX('2.Distancias'!E3:J1446, (AJ22*38) + AJ26 + 1,6), NA())</f>
        <v>#N/A</v>
      </c>
    </row>
    <row r="26" spans="15:38" x14ac:dyDescent="0.25">
      <c r="O26" t="str">
        <f>'4.Solución'!C11</f>
        <v xml:space="preserve"> </v>
      </c>
      <c r="P26" t="e">
        <f>IFERROR(IF(ISNUMBER(O26),INDEX('1 ubicaciones'!$D$2:$D$22,O26 + 1),NA()),NA())</f>
        <v>#N/A</v>
      </c>
      <c r="Q26" t="e">
        <f>IFERROR(IF(ISNUMBER(O26),INDEX('1 ubicaciones'!$E$2:$E$22,O26 + 1),NA()),NA())</f>
        <v>#N/A</v>
      </c>
      <c r="R26" t="str">
        <f>'4.Solución'!T11</f>
        <v xml:space="preserve"> </v>
      </c>
      <c r="S26" t="e">
        <f>IFERROR(IF(ISNUMBER(R26),INDEX('1 ubicaciones'!$D$2:$D$22,R26 + 1),NA()),NA())</f>
        <v>#N/A</v>
      </c>
      <c r="T26" t="e">
        <f>IFERROR(IF(ISNUMBER(R26),INDEX('1 ubicaciones'!$E$2:$E$22,R26 + 1),NA()),NA())</f>
        <v>#N/A</v>
      </c>
      <c r="U26" t="str">
        <f>'4.Solución'!AK11</f>
        <v xml:space="preserve"> </v>
      </c>
      <c r="V26" t="e">
        <f>IFERROR(IF(ISNUMBER(U26),INDEX('1 ubicaciones'!$D$2:$D$22,U26 + 1),NA()),NA())</f>
        <v>#N/A</v>
      </c>
      <c r="W26" t="e">
        <f>IFERROR(IF(ISNUMBER(U26),INDEX('1 ubicaciones'!$E$2:$E$22,U26 + 1),NA()),NA())</f>
        <v>#N/A</v>
      </c>
      <c r="X26" t="str">
        <f>'4.Solución'!BB11</f>
        <v xml:space="preserve"> </v>
      </c>
      <c r="Y26" t="e">
        <f>IFERROR(IF(ISNUMBER(X26),INDEX('1 ubicaciones'!$D$2:$D$22,X26 + 1),NA()),NA())</f>
        <v>#N/A</v>
      </c>
      <c r="Z26" t="e">
        <f>IFERROR(IF(ISNUMBER(X26),INDEX('1 ubicaciones'!$E$2:$E$22,X26 + 1),NA()),NA())</f>
        <v>#N/A</v>
      </c>
      <c r="AA26" t="str">
        <f>'4.Solución'!BS11</f>
        <v xml:space="preserve"> </v>
      </c>
      <c r="AB26" t="e">
        <f>IFERROR(IF(ISNUMBER(AA26),INDEX('1 ubicaciones'!$D$2:$D$22,AA26 + 1),NA()),NA())</f>
        <v>#N/A</v>
      </c>
      <c r="AC26" t="e">
        <f>IFERROR(IF(ISNUMBER(AA26),INDEX('1 ubicaciones'!$E$2:$E$22,AA26 + 1),NA()),NA())</f>
        <v>#N/A</v>
      </c>
      <c r="AD26" t="str">
        <f>'4.Solución'!CJ11</f>
        <v xml:space="preserve"> </v>
      </c>
      <c r="AE26" t="e">
        <f>IFERROR(IF(ISNUMBER(AD26),INDEX('1 ubicaciones'!$D$2:$D$22,AD26 + 1),NA()),NA())</f>
        <v>#N/A</v>
      </c>
      <c r="AF26" t="e">
        <f>IFERROR(IF(ISNUMBER(AD26),INDEX('1 ubicaciones'!$E$2:$E$22,AD26 + 1),NA()),NA())</f>
        <v>#N/A</v>
      </c>
      <c r="AG26" t="str">
        <f>'4.Solución'!DA11</f>
        <v xml:space="preserve"> </v>
      </c>
      <c r="AH26" t="e">
        <f>IFERROR(IF(ISNUMBER(AG26),INDEX('1 ubicaciones'!$D$2:$D$22,AG26 + 1),NA()),NA())</f>
        <v>#N/A</v>
      </c>
      <c r="AI26" t="e">
        <f>IFERROR(IF(ISNUMBER(AG26),INDEX('1 ubicaciones'!$E$2:$E$22,AG26 + 1),NA()),NA())</f>
        <v>#N/A</v>
      </c>
      <c r="AJ26" t="str">
        <f>'4.Solución'!DR11</f>
        <v xml:space="preserve"> </v>
      </c>
      <c r="AK26" t="e">
        <f>IFERROR(IF(ISNUMBER(AJ26),INDEX('1 ubicaciones'!$D$2:$D$22,AJ26 + 1),NA()),NA())</f>
        <v>#N/A</v>
      </c>
      <c r="AL26" t="e">
        <f>IFERROR(IF(ISNUMBER(AJ26),INDEX('1 ubicaciones'!$E$2:$E$22,AJ26 + 1),NA()),NA())</f>
        <v>#N/A</v>
      </c>
    </row>
    <row r="27" spans="15:38" x14ac:dyDescent="0.25">
      <c r="P27" t="e">
        <f>IF(AND(ISNUMBER(O26), ISNUMBER(O30)), INDEX('2.Distancias'!E3:J1446, (O26*38) + O30 + 1,1), NA())</f>
        <v>#N/A</v>
      </c>
      <c r="Q27" t="e">
        <f>IF(AND(ISNUMBER(O26), ISNUMBER(O30)), INDEX('2.Distancias'!E3:J1446, (O26*38) + O30 + 1,2), NA())</f>
        <v>#N/A</v>
      </c>
      <c r="S27" t="e">
        <f>IF(AND(ISNUMBER(R26), ISNUMBER(R30)), INDEX('2.Distancias'!E3:J1446, (R26*38) + R30 + 1,1), NA())</f>
        <v>#N/A</v>
      </c>
      <c r="T27" t="e">
        <f>IF(AND(ISNUMBER(R26), ISNUMBER(R30)), INDEX('2.Distancias'!E3:J1446, (R26*38) + R30 + 1,2), NA())</f>
        <v>#N/A</v>
      </c>
      <c r="V27" t="e">
        <f>IF(AND(ISNUMBER(U26), ISNUMBER(U30)), INDEX('2.Distancias'!E3:J1446, (U26*38) + U30 + 1,1), NA())</f>
        <v>#N/A</v>
      </c>
      <c r="W27" t="e">
        <f>IF(AND(ISNUMBER(U26), ISNUMBER(U30)), INDEX('2.Distancias'!E3:J1446, (U26*38) + U30 + 1,2), NA())</f>
        <v>#N/A</v>
      </c>
      <c r="Y27" t="e">
        <f>IF(AND(ISNUMBER(X26), ISNUMBER(X30)), INDEX('2.Distancias'!E3:J1446, (X26*38) + X30 + 1,1), NA())</f>
        <v>#N/A</v>
      </c>
      <c r="Z27" t="e">
        <f>IF(AND(ISNUMBER(X26), ISNUMBER(X30)), INDEX('2.Distancias'!E3:J1446, (X26*38) + X30 + 1,2), NA())</f>
        <v>#N/A</v>
      </c>
      <c r="AB27" t="e">
        <f>IF(AND(ISNUMBER(AA26), ISNUMBER(AA30)), INDEX('2.Distancias'!E3:J1446, (AA26*38) + AA30 + 1,1), NA())</f>
        <v>#N/A</v>
      </c>
      <c r="AC27" t="e">
        <f>IF(AND(ISNUMBER(AA26), ISNUMBER(AA30)), INDEX('2.Distancias'!E3:J1446, (AA26*38) + AA30 + 1,2), NA())</f>
        <v>#N/A</v>
      </c>
      <c r="AE27" t="e">
        <f>IF(AND(ISNUMBER(AD26), ISNUMBER(AD30)), INDEX('2.Distancias'!E3:J1446, (AD26*38) + AD30 + 1,1), NA())</f>
        <v>#N/A</v>
      </c>
      <c r="AF27" t="e">
        <f>IF(AND(ISNUMBER(AD26), ISNUMBER(AD30)), INDEX('2.Distancias'!E3:J1446, (AD26*38) + AD30 + 1,2), NA())</f>
        <v>#N/A</v>
      </c>
      <c r="AH27" t="e">
        <f>IF(AND(ISNUMBER(AG26), ISNUMBER(AG30)), INDEX('2.Distancias'!E3:J1446, (AG26*38) + AG30 + 1,1), NA())</f>
        <v>#N/A</v>
      </c>
      <c r="AI27" t="e">
        <f>IF(AND(ISNUMBER(AG26), ISNUMBER(AG30)), INDEX('2.Distancias'!E3:J1446, (AG26*38) + AG30 + 1,2), NA())</f>
        <v>#N/A</v>
      </c>
      <c r="AK27" t="e">
        <f>IF(AND(ISNUMBER(AJ26), ISNUMBER(AJ30)), INDEX('2.Distancias'!E3:J1446, (AJ26*38) + AJ30 + 1,1), NA())</f>
        <v>#N/A</v>
      </c>
      <c r="AL27" t="e">
        <f>IF(AND(ISNUMBER(AJ26), ISNUMBER(AJ30)), INDEX('2.Distancias'!E3:J1446, (AJ26*38) + AJ30 + 1,2), NA())</f>
        <v>#N/A</v>
      </c>
    </row>
    <row r="28" spans="15:38" x14ac:dyDescent="0.25">
      <c r="P28" t="e">
        <f>IF(AND(ISNUMBER(O26), ISNUMBER(O30)), INDEX('2.Distancias'!E3:J1446, (O26*38) + O30 + 1,3), NA())</f>
        <v>#N/A</v>
      </c>
      <c r="Q28" t="e">
        <f>IF(AND(ISNUMBER(O26), ISNUMBER(O30)), INDEX('2.Distancias'!E3:J1446, (O26*38) + O30 + 1,4), NA())</f>
        <v>#N/A</v>
      </c>
      <c r="S28" t="e">
        <f>IF(AND(ISNUMBER(R26), ISNUMBER(R30)), INDEX('2.Distancias'!E3:J1446, (R26*38) + R30 + 1,3), NA())</f>
        <v>#N/A</v>
      </c>
      <c r="T28" t="e">
        <f>IF(AND(ISNUMBER(R26), ISNUMBER(R30)), INDEX('2.Distancias'!E3:J1446, (R26*38) + R30 + 1,4), NA())</f>
        <v>#N/A</v>
      </c>
      <c r="V28" t="e">
        <f>IF(AND(ISNUMBER(U26), ISNUMBER(U30)), INDEX('2.Distancias'!E3:J1446, (U26*38) + U30 + 1,3), NA())</f>
        <v>#N/A</v>
      </c>
      <c r="W28" t="e">
        <f>IF(AND(ISNUMBER(U26), ISNUMBER(U30)), INDEX('2.Distancias'!E3:J1446, (U26*38) + U30 + 1,4), NA())</f>
        <v>#N/A</v>
      </c>
      <c r="Y28" t="e">
        <f>IF(AND(ISNUMBER(X26), ISNUMBER(X30)), INDEX('2.Distancias'!E3:J1446, (X26*38) + X30 + 1,3), NA())</f>
        <v>#N/A</v>
      </c>
      <c r="Z28" t="e">
        <f>IF(AND(ISNUMBER(X26), ISNUMBER(X30)), INDEX('2.Distancias'!E3:J1446, (X26*38) + X30 + 1,4), NA())</f>
        <v>#N/A</v>
      </c>
      <c r="AB28" t="e">
        <f>IF(AND(ISNUMBER(AA26), ISNUMBER(AA30)), INDEX('2.Distancias'!E3:J1446, (AA26*38) + AA30 + 1,3), NA())</f>
        <v>#N/A</v>
      </c>
      <c r="AC28" t="e">
        <f>IF(AND(ISNUMBER(AA26), ISNUMBER(AA30)), INDEX('2.Distancias'!E3:J1446, (AA26*38) + AA30 + 1,4), NA())</f>
        <v>#N/A</v>
      </c>
      <c r="AE28" t="e">
        <f>IF(AND(ISNUMBER(AD26), ISNUMBER(AD30)), INDEX('2.Distancias'!E3:J1446, (AD26*38) + AD30 + 1,3), NA())</f>
        <v>#N/A</v>
      </c>
      <c r="AF28" t="e">
        <f>IF(AND(ISNUMBER(AD26), ISNUMBER(AD30)), INDEX('2.Distancias'!E3:J1446, (AD26*38) + AD30 + 1,4), NA())</f>
        <v>#N/A</v>
      </c>
      <c r="AH28" t="e">
        <f>IF(AND(ISNUMBER(AG26), ISNUMBER(AG30)), INDEX('2.Distancias'!E3:J1446, (AG26*38) + AG30 + 1,3), NA())</f>
        <v>#N/A</v>
      </c>
      <c r="AI28" t="e">
        <f>IF(AND(ISNUMBER(AG26), ISNUMBER(AG30)), INDEX('2.Distancias'!E3:J1446, (AG26*38) + AG30 + 1,4), NA())</f>
        <v>#N/A</v>
      </c>
      <c r="AK28" t="e">
        <f>IF(AND(ISNUMBER(AJ26), ISNUMBER(AJ30)), INDEX('2.Distancias'!E3:J1446, (AJ26*38) + AJ30 + 1,3), NA())</f>
        <v>#N/A</v>
      </c>
      <c r="AL28" t="e">
        <f>IF(AND(ISNUMBER(AJ26), ISNUMBER(AJ30)), INDEX('2.Distancias'!E3:J1446, (AJ26*38) + AJ30 + 1,4), NA())</f>
        <v>#N/A</v>
      </c>
    </row>
    <row r="29" spans="15:38" x14ac:dyDescent="0.25">
      <c r="P29" t="e">
        <f>IF(AND(ISNUMBER(O26), ISNUMBER(O30)), INDEX('2.Distancias'!E3:J1446, (O26*38) + O30 + 1,5), NA())</f>
        <v>#N/A</v>
      </c>
      <c r="Q29" t="e">
        <f>IF(AND(ISNUMBER(O26), ISNUMBER(O30)), INDEX('2.Distancias'!E3:J1446, (O26*38) + O30 + 1,6), NA())</f>
        <v>#N/A</v>
      </c>
      <c r="S29" t="e">
        <f>IF(AND(ISNUMBER(R26), ISNUMBER(R30)), INDEX('2.Distancias'!E3:J1446, (R26*38) + R30 + 1,5), NA())</f>
        <v>#N/A</v>
      </c>
      <c r="T29" t="e">
        <f>IF(AND(ISNUMBER(R26), ISNUMBER(R30)), INDEX('2.Distancias'!E3:J1446, (R26*38) + R30 + 1,6), NA())</f>
        <v>#N/A</v>
      </c>
      <c r="V29" t="e">
        <f>IF(AND(ISNUMBER(U26), ISNUMBER(U30)), INDEX('2.Distancias'!E3:J1446, (U26*38) + U30 + 1,5), NA())</f>
        <v>#N/A</v>
      </c>
      <c r="W29" t="e">
        <f>IF(AND(ISNUMBER(U26), ISNUMBER(U30)), INDEX('2.Distancias'!E3:J1446, (U26*38) + U30 + 1,6), NA())</f>
        <v>#N/A</v>
      </c>
      <c r="Y29" t="e">
        <f>IF(AND(ISNUMBER(X26), ISNUMBER(X30)), INDEX('2.Distancias'!E3:J1446, (X26*38) + X30 + 1,5), NA())</f>
        <v>#N/A</v>
      </c>
      <c r="Z29" t="e">
        <f>IF(AND(ISNUMBER(X26), ISNUMBER(X30)), INDEX('2.Distancias'!E3:J1446, (X26*38) + X30 + 1,6), NA())</f>
        <v>#N/A</v>
      </c>
      <c r="AB29" t="e">
        <f>IF(AND(ISNUMBER(AA26), ISNUMBER(AA30)), INDEX('2.Distancias'!E3:J1446, (AA26*38) + AA30 + 1,5), NA())</f>
        <v>#N/A</v>
      </c>
      <c r="AC29" t="e">
        <f>IF(AND(ISNUMBER(AA26), ISNUMBER(AA30)), INDEX('2.Distancias'!E3:J1446, (AA26*38) + AA30 + 1,6), NA())</f>
        <v>#N/A</v>
      </c>
      <c r="AE29" t="e">
        <f>IF(AND(ISNUMBER(AD26), ISNUMBER(AD30)), INDEX('2.Distancias'!E3:J1446, (AD26*38) + AD30 + 1,5), NA())</f>
        <v>#N/A</v>
      </c>
      <c r="AF29" t="e">
        <f>IF(AND(ISNUMBER(AD26), ISNUMBER(AD30)), INDEX('2.Distancias'!E3:J1446, (AD26*38) + AD30 + 1,6), NA())</f>
        <v>#N/A</v>
      </c>
      <c r="AH29" t="e">
        <f>IF(AND(ISNUMBER(AG26), ISNUMBER(AG30)), INDEX('2.Distancias'!E3:J1446, (AG26*38) + AG30 + 1,5), NA())</f>
        <v>#N/A</v>
      </c>
      <c r="AI29" t="e">
        <f>IF(AND(ISNUMBER(AG26), ISNUMBER(AG30)), INDEX('2.Distancias'!E3:J1446, (AG26*38) + AG30 + 1,6), NA())</f>
        <v>#N/A</v>
      </c>
      <c r="AK29" t="e">
        <f>IF(AND(ISNUMBER(AJ26), ISNUMBER(AJ30)), INDEX('2.Distancias'!E3:J1446, (AJ26*38) + AJ30 + 1,5), NA())</f>
        <v>#N/A</v>
      </c>
      <c r="AL29" t="e">
        <f>IF(AND(ISNUMBER(AJ26), ISNUMBER(AJ30)), INDEX('2.Distancias'!E3:J1446, (AJ26*38) + AJ30 + 1,6), NA())</f>
        <v>#N/A</v>
      </c>
    </row>
    <row r="30" spans="15:38" x14ac:dyDescent="0.25">
      <c r="O30" t="str">
        <f>'4.Solución'!C12</f>
        <v xml:space="preserve"> </v>
      </c>
      <c r="P30" t="e">
        <f>IFERROR(IF(ISNUMBER(O30),INDEX('1 ubicaciones'!$D$2:$D$22,O30 + 1),NA()),NA())</f>
        <v>#N/A</v>
      </c>
      <c r="Q30" t="e">
        <f>IFERROR(IF(ISNUMBER(O30),INDEX('1 ubicaciones'!$E$2:$E$22,O30 + 1),NA()),NA())</f>
        <v>#N/A</v>
      </c>
      <c r="R30" t="str">
        <f>'4.Solución'!T12</f>
        <v xml:space="preserve"> </v>
      </c>
      <c r="S30" t="e">
        <f>IFERROR(IF(ISNUMBER(R30),INDEX('1 ubicaciones'!$D$2:$D$22,R30 + 1),NA()),NA())</f>
        <v>#N/A</v>
      </c>
      <c r="T30" t="e">
        <f>IFERROR(IF(ISNUMBER(R30),INDEX('1 ubicaciones'!$E$2:$E$22,R30 + 1),NA()),NA())</f>
        <v>#N/A</v>
      </c>
      <c r="U30" t="str">
        <f>'4.Solución'!AK12</f>
        <v xml:space="preserve"> </v>
      </c>
      <c r="V30" t="e">
        <f>IFERROR(IF(ISNUMBER(U30),INDEX('1 ubicaciones'!$D$2:$D$22,U30 + 1),NA()),NA())</f>
        <v>#N/A</v>
      </c>
      <c r="W30" t="e">
        <f>IFERROR(IF(ISNUMBER(U30),INDEX('1 ubicaciones'!$E$2:$E$22,U30 + 1),NA()),NA())</f>
        <v>#N/A</v>
      </c>
      <c r="X30" t="str">
        <f>'4.Solución'!BB12</f>
        <v xml:space="preserve"> </v>
      </c>
      <c r="Y30" t="e">
        <f>IFERROR(IF(ISNUMBER(X30),INDEX('1 ubicaciones'!$D$2:$D$22,X30 + 1),NA()),NA())</f>
        <v>#N/A</v>
      </c>
      <c r="Z30" t="e">
        <f>IFERROR(IF(ISNUMBER(X30),INDEX('1 ubicaciones'!$E$2:$E$22,X30 + 1),NA()),NA())</f>
        <v>#N/A</v>
      </c>
      <c r="AA30" t="str">
        <f>'4.Solución'!BS12</f>
        <v xml:space="preserve"> </v>
      </c>
      <c r="AB30" t="e">
        <f>IFERROR(IF(ISNUMBER(AA30),INDEX('1 ubicaciones'!$D$2:$D$22,AA30 + 1),NA()),NA())</f>
        <v>#N/A</v>
      </c>
      <c r="AC30" t="e">
        <f>IFERROR(IF(ISNUMBER(AA30),INDEX('1 ubicaciones'!$E$2:$E$22,AA30 + 1),NA()),NA())</f>
        <v>#N/A</v>
      </c>
      <c r="AD30" t="str">
        <f>'4.Solución'!CJ12</f>
        <v xml:space="preserve"> </v>
      </c>
      <c r="AE30" t="e">
        <f>IFERROR(IF(ISNUMBER(AD30),INDEX('1 ubicaciones'!$D$2:$D$22,AD30 + 1),NA()),NA())</f>
        <v>#N/A</v>
      </c>
      <c r="AF30" t="e">
        <f>IFERROR(IF(ISNUMBER(AD30),INDEX('1 ubicaciones'!$E$2:$E$22,AD30 + 1),NA()),NA())</f>
        <v>#N/A</v>
      </c>
      <c r="AG30" t="str">
        <f>'4.Solución'!DA12</f>
        <v xml:space="preserve"> </v>
      </c>
      <c r="AH30" t="e">
        <f>IFERROR(IF(ISNUMBER(AG30),INDEX('1 ubicaciones'!$D$2:$D$22,AG30 + 1),NA()),NA())</f>
        <v>#N/A</v>
      </c>
      <c r="AI30" t="e">
        <f>IFERROR(IF(ISNUMBER(AG30),INDEX('1 ubicaciones'!$E$2:$E$22,AG30 + 1),NA()),NA())</f>
        <v>#N/A</v>
      </c>
      <c r="AJ30" t="str">
        <f>'4.Solución'!DR12</f>
        <v xml:space="preserve"> </v>
      </c>
      <c r="AK30" t="e">
        <f>IFERROR(IF(ISNUMBER(AJ30),INDEX('1 ubicaciones'!$D$2:$D$22,AJ30 + 1),NA()),NA())</f>
        <v>#N/A</v>
      </c>
      <c r="AL30" t="e">
        <f>IFERROR(IF(ISNUMBER(AJ30),INDEX('1 ubicaciones'!$E$2:$E$22,AJ30 + 1),NA()),NA())</f>
        <v>#N/A</v>
      </c>
    </row>
    <row r="31" spans="15:38" x14ac:dyDescent="0.25">
      <c r="P31" t="e">
        <f>IF(AND(ISNUMBER(O30), ISNUMBER(O34)), INDEX('2.Distancias'!E3:J1446, (O30*38) + O34 + 1,1), NA())</f>
        <v>#N/A</v>
      </c>
      <c r="Q31" t="e">
        <f>IF(AND(ISNUMBER(O30), ISNUMBER(O34)), INDEX('2.Distancias'!E3:J1446, (O30*38) + O34 + 1,2), NA())</f>
        <v>#N/A</v>
      </c>
      <c r="S31" t="e">
        <f>IF(AND(ISNUMBER(R30), ISNUMBER(R34)), INDEX('2.Distancias'!E3:J1446, (R30*38) + R34 + 1,1), NA())</f>
        <v>#N/A</v>
      </c>
      <c r="T31" t="e">
        <f>IF(AND(ISNUMBER(R30), ISNUMBER(R34)), INDEX('2.Distancias'!E3:J1446, (R30*38) + R34 + 1,2), NA())</f>
        <v>#N/A</v>
      </c>
      <c r="V31" t="e">
        <f>IF(AND(ISNUMBER(U30), ISNUMBER(U34)), INDEX('2.Distancias'!E3:J1446, (U30*38) + U34 + 1,1), NA())</f>
        <v>#N/A</v>
      </c>
      <c r="W31" t="e">
        <f>IF(AND(ISNUMBER(U30), ISNUMBER(U34)), INDEX('2.Distancias'!E3:J1446, (U30*38) + U34 + 1,2), NA())</f>
        <v>#N/A</v>
      </c>
      <c r="Y31" t="e">
        <f>IF(AND(ISNUMBER(X30), ISNUMBER(X34)), INDEX('2.Distancias'!E3:J1446, (X30*38) + X34 + 1,1), NA())</f>
        <v>#N/A</v>
      </c>
      <c r="Z31" t="e">
        <f>IF(AND(ISNUMBER(X30), ISNUMBER(X34)), INDEX('2.Distancias'!E3:J1446, (X30*38) + X34 + 1,2), NA())</f>
        <v>#N/A</v>
      </c>
      <c r="AB31" t="e">
        <f>IF(AND(ISNUMBER(AA30), ISNUMBER(AA34)), INDEX('2.Distancias'!E3:J1446, (AA30*38) + AA34 + 1,1), NA())</f>
        <v>#N/A</v>
      </c>
      <c r="AC31" t="e">
        <f>IF(AND(ISNUMBER(AA30), ISNUMBER(AA34)), INDEX('2.Distancias'!E3:J1446, (AA30*38) + AA34 + 1,2), NA())</f>
        <v>#N/A</v>
      </c>
      <c r="AE31" t="e">
        <f>IF(AND(ISNUMBER(AD30), ISNUMBER(AD34)), INDEX('2.Distancias'!E3:J1446, (AD30*38) + AD34 + 1,1), NA())</f>
        <v>#N/A</v>
      </c>
      <c r="AF31" t="e">
        <f>IF(AND(ISNUMBER(AD30), ISNUMBER(AD34)), INDEX('2.Distancias'!E3:J1446, (AD30*38) + AD34 + 1,2), NA())</f>
        <v>#N/A</v>
      </c>
      <c r="AH31" t="e">
        <f>IF(AND(ISNUMBER(AG30), ISNUMBER(AG34)), INDEX('2.Distancias'!E3:J1446, (AG30*38) + AG34 + 1,1), NA())</f>
        <v>#N/A</v>
      </c>
      <c r="AI31" t="e">
        <f>IF(AND(ISNUMBER(AG30), ISNUMBER(AG34)), INDEX('2.Distancias'!E3:J1446, (AG30*38) + AG34 + 1,2), NA())</f>
        <v>#N/A</v>
      </c>
      <c r="AK31" t="e">
        <f>IF(AND(ISNUMBER(AJ30), ISNUMBER(AJ34)), INDEX('2.Distancias'!E3:J1446, (AJ30*38) + AJ34 + 1,1), NA())</f>
        <v>#N/A</v>
      </c>
      <c r="AL31" t="e">
        <f>IF(AND(ISNUMBER(AJ30), ISNUMBER(AJ34)), INDEX('2.Distancias'!E3:J1446, (AJ30*38) + AJ34 + 1,2), NA())</f>
        <v>#N/A</v>
      </c>
    </row>
    <row r="32" spans="15:38" x14ac:dyDescent="0.25">
      <c r="P32" t="e">
        <f>IF(AND(ISNUMBER(O30), ISNUMBER(O34)), INDEX('2.Distancias'!E3:J1446, (O30*38) + O34 + 1,3), NA())</f>
        <v>#N/A</v>
      </c>
      <c r="Q32" t="e">
        <f>IF(AND(ISNUMBER(O30), ISNUMBER(O34)), INDEX('2.Distancias'!E3:J1446, (O30*38) + O34 + 1,4), NA())</f>
        <v>#N/A</v>
      </c>
      <c r="S32" t="e">
        <f>IF(AND(ISNUMBER(R30), ISNUMBER(R34)), INDEX('2.Distancias'!E3:J1446, (R30*38) + R34 + 1,3), NA())</f>
        <v>#N/A</v>
      </c>
      <c r="T32" t="e">
        <f>IF(AND(ISNUMBER(R30), ISNUMBER(R34)), INDEX('2.Distancias'!E3:J1446, (R30*38) + R34 + 1,4), NA())</f>
        <v>#N/A</v>
      </c>
      <c r="V32" t="e">
        <f>IF(AND(ISNUMBER(U30), ISNUMBER(U34)), INDEX('2.Distancias'!E3:J1446, (U30*38) + U34 + 1,3), NA())</f>
        <v>#N/A</v>
      </c>
      <c r="W32" t="e">
        <f>IF(AND(ISNUMBER(U30), ISNUMBER(U34)), INDEX('2.Distancias'!E3:J1446, (U30*38) + U34 + 1,4), NA())</f>
        <v>#N/A</v>
      </c>
      <c r="Y32" t="e">
        <f>IF(AND(ISNUMBER(X30), ISNUMBER(X34)), INDEX('2.Distancias'!E3:J1446, (X30*38) + X34 + 1,3), NA())</f>
        <v>#N/A</v>
      </c>
      <c r="Z32" t="e">
        <f>IF(AND(ISNUMBER(X30), ISNUMBER(X34)), INDEX('2.Distancias'!E3:J1446, (X30*38) + X34 + 1,4), NA())</f>
        <v>#N/A</v>
      </c>
      <c r="AB32" t="e">
        <f>IF(AND(ISNUMBER(AA30), ISNUMBER(AA34)), INDEX('2.Distancias'!E3:J1446, (AA30*38) + AA34 + 1,3), NA())</f>
        <v>#N/A</v>
      </c>
      <c r="AC32" t="e">
        <f>IF(AND(ISNUMBER(AA30), ISNUMBER(AA34)), INDEX('2.Distancias'!E3:J1446, (AA30*38) + AA34 + 1,4), NA())</f>
        <v>#N/A</v>
      </c>
      <c r="AE32" t="e">
        <f>IF(AND(ISNUMBER(AD30), ISNUMBER(AD34)), INDEX('2.Distancias'!E3:J1446, (AD30*38) + AD34 + 1,3), NA())</f>
        <v>#N/A</v>
      </c>
      <c r="AF32" t="e">
        <f>IF(AND(ISNUMBER(AD30), ISNUMBER(AD34)), INDEX('2.Distancias'!E3:J1446, (AD30*38) + AD34 + 1,4), NA())</f>
        <v>#N/A</v>
      </c>
      <c r="AH32" t="e">
        <f>IF(AND(ISNUMBER(AG30), ISNUMBER(AG34)), INDEX('2.Distancias'!E3:J1446, (AG30*38) + AG34 + 1,3), NA())</f>
        <v>#N/A</v>
      </c>
      <c r="AI32" t="e">
        <f>IF(AND(ISNUMBER(AG30), ISNUMBER(AG34)), INDEX('2.Distancias'!E3:J1446, (AG30*38) + AG34 + 1,4), NA())</f>
        <v>#N/A</v>
      </c>
      <c r="AK32" t="e">
        <f>IF(AND(ISNUMBER(AJ30), ISNUMBER(AJ34)), INDEX('2.Distancias'!E3:J1446, (AJ30*38) + AJ34 + 1,3), NA())</f>
        <v>#N/A</v>
      </c>
      <c r="AL32" t="e">
        <f>IF(AND(ISNUMBER(AJ30), ISNUMBER(AJ34)), INDEX('2.Distancias'!E3:J1446, (AJ30*38) + AJ34 + 1,4), NA())</f>
        <v>#N/A</v>
      </c>
    </row>
    <row r="33" spans="15:38" x14ac:dyDescent="0.25">
      <c r="P33" t="e">
        <f>IF(AND(ISNUMBER(O30), ISNUMBER(O34)), INDEX('2.Distancias'!E3:J1446, (O30*38) + O34 + 1,5), NA())</f>
        <v>#N/A</v>
      </c>
      <c r="Q33" t="e">
        <f>IF(AND(ISNUMBER(O30), ISNUMBER(O34)), INDEX('2.Distancias'!E3:J1446, (O30*38) + O34 + 1,6), NA())</f>
        <v>#N/A</v>
      </c>
      <c r="S33" t="e">
        <f>IF(AND(ISNUMBER(R30), ISNUMBER(R34)), INDEX('2.Distancias'!E3:J1446, (R30*38) + R34 + 1,5), NA())</f>
        <v>#N/A</v>
      </c>
      <c r="T33" t="e">
        <f>IF(AND(ISNUMBER(R30), ISNUMBER(R34)), INDEX('2.Distancias'!E3:J1446, (R30*38) + R34 + 1,6), NA())</f>
        <v>#N/A</v>
      </c>
      <c r="V33" t="e">
        <f>IF(AND(ISNUMBER(U30), ISNUMBER(U34)), INDEX('2.Distancias'!E3:J1446, (U30*38) + U34 + 1,5), NA())</f>
        <v>#N/A</v>
      </c>
      <c r="W33" t="e">
        <f>IF(AND(ISNUMBER(U30), ISNUMBER(U34)), INDEX('2.Distancias'!E3:J1446, (U30*38) + U34 + 1,6), NA())</f>
        <v>#N/A</v>
      </c>
      <c r="Y33" t="e">
        <f>IF(AND(ISNUMBER(X30), ISNUMBER(X34)), INDEX('2.Distancias'!E3:J1446, (X30*38) + X34 + 1,5), NA())</f>
        <v>#N/A</v>
      </c>
      <c r="Z33" t="e">
        <f>IF(AND(ISNUMBER(X30), ISNUMBER(X34)), INDEX('2.Distancias'!E3:J1446, (X30*38) + X34 + 1,6), NA())</f>
        <v>#N/A</v>
      </c>
      <c r="AB33" t="e">
        <f>IF(AND(ISNUMBER(AA30), ISNUMBER(AA34)), INDEX('2.Distancias'!E3:J1446, (AA30*38) + AA34 + 1,5), NA())</f>
        <v>#N/A</v>
      </c>
      <c r="AC33" t="e">
        <f>IF(AND(ISNUMBER(AA30), ISNUMBER(AA34)), INDEX('2.Distancias'!E3:J1446, (AA30*38) + AA34 + 1,6), NA())</f>
        <v>#N/A</v>
      </c>
      <c r="AE33" t="e">
        <f>IF(AND(ISNUMBER(AD30), ISNUMBER(AD34)), INDEX('2.Distancias'!E3:J1446, (AD30*38) + AD34 + 1,5), NA())</f>
        <v>#N/A</v>
      </c>
      <c r="AF33" t="e">
        <f>IF(AND(ISNUMBER(AD30), ISNUMBER(AD34)), INDEX('2.Distancias'!E3:J1446, (AD30*38) + AD34 + 1,6), NA())</f>
        <v>#N/A</v>
      </c>
      <c r="AH33" t="e">
        <f>IF(AND(ISNUMBER(AG30), ISNUMBER(AG34)), INDEX('2.Distancias'!E3:J1446, (AG30*38) + AG34 + 1,5), NA())</f>
        <v>#N/A</v>
      </c>
      <c r="AI33" t="e">
        <f>IF(AND(ISNUMBER(AG30), ISNUMBER(AG34)), INDEX('2.Distancias'!E3:J1446, (AG30*38) + AG34 + 1,6), NA())</f>
        <v>#N/A</v>
      </c>
      <c r="AK33" t="e">
        <f>IF(AND(ISNUMBER(AJ30), ISNUMBER(AJ34)), INDEX('2.Distancias'!E3:J1446, (AJ30*38) + AJ34 + 1,5), NA())</f>
        <v>#N/A</v>
      </c>
      <c r="AL33" t="e">
        <f>IF(AND(ISNUMBER(AJ30), ISNUMBER(AJ34)), INDEX('2.Distancias'!E3:J1446, (AJ30*38) + AJ34 + 1,6), NA())</f>
        <v>#N/A</v>
      </c>
    </row>
    <row r="34" spans="15:38" x14ac:dyDescent="0.25">
      <c r="O34" t="str">
        <f>'4.Solución'!C13</f>
        <v xml:space="preserve"> </v>
      </c>
      <c r="P34" t="e">
        <f>IFERROR(IF(ISNUMBER(O34),INDEX('1 ubicaciones'!$D$2:$D$22,O34 + 1),NA()),NA())</f>
        <v>#N/A</v>
      </c>
      <c r="Q34" t="e">
        <f>IFERROR(IF(ISNUMBER(O34),INDEX('1 ubicaciones'!$E$2:$E$22,O34 + 1),NA()),NA())</f>
        <v>#N/A</v>
      </c>
      <c r="R34" t="str">
        <f>'4.Solución'!T13</f>
        <v xml:space="preserve"> </v>
      </c>
      <c r="S34" t="e">
        <f>IFERROR(IF(ISNUMBER(R34),INDEX('1 ubicaciones'!$D$2:$D$22,R34 + 1),NA()),NA())</f>
        <v>#N/A</v>
      </c>
      <c r="T34" t="e">
        <f>IFERROR(IF(ISNUMBER(R34),INDEX('1 ubicaciones'!$E$2:$E$22,R34 + 1),NA()),NA())</f>
        <v>#N/A</v>
      </c>
      <c r="U34" t="str">
        <f>'4.Solución'!AK13</f>
        <v xml:space="preserve"> </v>
      </c>
      <c r="V34" t="e">
        <f>IFERROR(IF(ISNUMBER(U34),INDEX('1 ubicaciones'!$D$2:$D$22,U34 + 1),NA()),NA())</f>
        <v>#N/A</v>
      </c>
      <c r="W34" t="e">
        <f>IFERROR(IF(ISNUMBER(U34),INDEX('1 ubicaciones'!$E$2:$E$22,U34 + 1),NA()),NA())</f>
        <v>#N/A</v>
      </c>
      <c r="X34" t="str">
        <f>'4.Solución'!BB13</f>
        <v xml:space="preserve"> </v>
      </c>
      <c r="Y34" t="e">
        <f>IFERROR(IF(ISNUMBER(X34),INDEX('1 ubicaciones'!$D$2:$D$22,X34 + 1),NA()),NA())</f>
        <v>#N/A</v>
      </c>
      <c r="Z34" t="e">
        <f>IFERROR(IF(ISNUMBER(X34),INDEX('1 ubicaciones'!$E$2:$E$22,X34 + 1),NA()),NA())</f>
        <v>#N/A</v>
      </c>
      <c r="AA34" t="str">
        <f>'4.Solución'!BS13</f>
        <v xml:space="preserve"> </v>
      </c>
      <c r="AB34" t="e">
        <f>IFERROR(IF(ISNUMBER(AA34),INDEX('1 ubicaciones'!$D$2:$D$22,AA34 + 1),NA()),NA())</f>
        <v>#N/A</v>
      </c>
      <c r="AC34" t="e">
        <f>IFERROR(IF(ISNUMBER(AA34),INDEX('1 ubicaciones'!$E$2:$E$22,AA34 + 1),NA()),NA())</f>
        <v>#N/A</v>
      </c>
      <c r="AD34" t="str">
        <f>'4.Solución'!CJ13</f>
        <v xml:space="preserve"> </v>
      </c>
      <c r="AE34" t="e">
        <f>IFERROR(IF(ISNUMBER(AD34),INDEX('1 ubicaciones'!$D$2:$D$22,AD34 + 1),NA()),NA())</f>
        <v>#N/A</v>
      </c>
      <c r="AF34" t="e">
        <f>IFERROR(IF(ISNUMBER(AD34),INDEX('1 ubicaciones'!$E$2:$E$22,AD34 + 1),NA()),NA())</f>
        <v>#N/A</v>
      </c>
      <c r="AG34" t="str">
        <f>'4.Solución'!DA13</f>
        <v xml:space="preserve"> </v>
      </c>
      <c r="AH34" t="e">
        <f>IFERROR(IF(ISNUMBER(AG34),INDEX('1 ubicaciones'!$D$2:$D$22,AG34 + 1),NA()),NA())</f>
        <v>#N/A</v>
      </c>
      <c r="AI34" t="e">
        <f>IFERROR(IF(ISNUMBER(AG34),INDEX('1 ubicaciones'!$E$2:$E$22,AG34 + 1),NA()),NA())</f>
        <v>#N/A</v>
      </c>
      <c r="AJ34" t="str">
        <f>'4.Solución'!DR13</f>
        <v xml:space="preserve"> </v>
      </c>
      <c r="AK34" t="e">
        <f>IFERROR(IF(ISNUMBER(AJ34),INDEX('1 ubicaciones'!$D$2:$D$22,AJ34 + 1),NA()),NA())</f>
        <v>#N/A</v>
      </c>
      <c r="AL34" t="e">
        <f>IFERROR(IF(ISNUMBER(AJ34),INDEX('1 ubicaciones'!$E$2:$E$22,AJ34 + 1),NA()),NA())</f>
        <v>#N/A</v>
      </c>
    </row>
    <row r="35" spans="15:38" x14ac:dyDescent="0.25">
      <c r="P35" t="e">
        <f>IF(AND(ISNUMBER(O34), ISNUMBER(O38)), INDEX('2.Distancias'!E3:J1446, (O34*38) + O38 + 1,1), NA())</f>
        <v>#N/A</v>
      </c>
      <c r="Q35" t="e">
        <f>IF(AND(ISNUMBER(O34), ISNUMBER(O38)), INDEX('2.Distancias'!E3:J1446, (O34*38) + O38 + 1,2), NA())</f>
        <v>#N/A</v>
      </c>
      <c r="S35" t="e">
        <f>IF(AND(ISNUMBER(R34), ISNUMBER(R38)), INDEX('2.Distancias'!E3:J1446, (R34*38) + R38 + 1,1), NA())</f>
        <v>#N/A</v>
      </c>
      <c r="T35" t="e">
        <f>IF(AND(ISNUMBER(R34), ISNUMBER(R38)), INDEX('2.Distancias'!E3:J1446, (R34*38) + R38 + 1,2), NA())</f>
        <v>#N/A</v>
      </c>
      <c r="V35" t="e">
        <f>IF(AND(ISNUMBER(U34), ISNUMBER(U38)), INDEX('2.Distancias'!E3:J1446, (U34*38) + U38 + 1,1), NA())</f>
        <v>#N/A</v>
      </c>
      <c r="W35" t="e">
        <f>IF(AND(ISNUMBER(U34), ISNUMBER(U38)), INDEX('2.Distancias'!E3:J1446, (U34*38) + U38 + 1,2), NA())</f>
        <v>#N/A</v>
      </c>
      <c r="Y35" t="e">
        <f>IF(AND(ISNUMBER(X34), ISNUMBER(X38)), INDEX('2.Distancias'!E3:J1446, (X34*38) + X38 + 1,1), NA())</f>
        <v>#N/A</v>
      </c>
      <c r="Z35" t="e">
        <f>IF(AND(ISNUMBER(X34), ISNUMBER(X38)), INDEX('2.Distancias'!E3:J1446, (X34*38) + X38 + 1,2), NA())</f>
        <v>#N/A</v>
      </c>
      <c r="AB35" t="e">
        <f>IF(AND(ISNUMBER(AA34), ISNUMBER(AA38)), INDEX('2.Distancias'!E3:J1446, (AA34*38) + AA38 + 1,1), NA())</f>
        <v>#N/A</v>
      </c>
      <c r="AC35" t="e">
        <f>IF(AND(ISNUMBER(AA34), ISNUMBER(AA38)), INDEX('2.Distancias'!E3:J1446, (AA34*38) + AA38 + 1,2), NA())</f>
        <v>#N/A</v>
      </c>
      <c r="AE35" t="e">
        <f>IF(AND(ISNUMBER(AD34), ISNUMBER(AD38)), INDEX('2.Distancias'!E3:J1446, (AD34*38) + AD38 + 1,1), NA())</f>
        <v>#N/A</v>
      </c>
      <c r="AF35" t="e">
        <f>IF(AND(ISNUMBER(AD34), ISNUMBER(AD38)), INDEX('2.Distancias'!E3:J1446, (AD34*38) + AD38 + 1,2), NA())</f>
        <v>#N/A</v>
      </c>
      <c r="AH35" t="e">
        <f>IF(AND(ISNUMBER(AG34), ISNUMBER(AG38)), INDEX('2.Distancias'!E3:J1446, (AG34*38) + AG38 + 1,1), NA())</f>
        <v>#N/A</v>
      </c>
      <c r="AI35" t="e">
        <f>IF(AND(ISNUMBER(AG34), ISNUMBER(AG38)), INDEX('2.Distancias'!E3:J1446, (AG34*38) + AG38 + 1,2), NA())</f>
        <v>#N/A</v>
      </c>
      <c r="AK35" t="e">
        <f>IF(AND(ISNUMBER(AJ34), ISNUMBER(AJ38)), INDEX('2.Distancias'!E3:J1446, (AJ34*38) + AJ38 + 1,1), NA())</f>
        <v>#N/A</v>
      </c>
      <c r="AL35" t="e">
        <f>IF(AND(ISNUMBER(AJ34), ISNUMBER(AJ38)), INDEX('2.Distancias'!E3:J1446, (AJ34*38) + AJ38 + 1,2), NA())</f>
        <v>#N/A</v>
      </c>
    </row>
    <row r="36" spans="15:38" x14ac:dyDescent="0.25">
      <c r="P36" t="e">
        <f>IF(AND(ISNUMBER(O34), ISNUMBER(O38)), INDEX('2.Distancias'!E3:J1446, (O34*38) + O38 + 1,3), NA())</f>
        <v>#N/A</v>
      </c>
      <c r="Q36" t="e">
        <f>IF(AND(ISNUMBER(O34), ISNUMBER(O38)), INDEX('2.Distancias'!E3:J1446, (O34*38) + O38 + 1,4), NA())</f>
        <v>#N/A</v>
      </c>
      <c r="S36" t="e">
        <f>IF(AND(ISNUMBER(R34), ISNUMBER(R38)), INDEX('2.Distancias'!E3:J1446, (R34*38) + R38 + 1,3), NA())</f>
        <v>#N/A</v>
      </c>
      <c r="T36" t="e">
        <f>IF(AND(ISNUMBER(R34), ISNUMBER(R38)), INDEX('2.Distancias'!E3:J1446, (R34*38) + R38 + 1,4), NA())</f>
        <v>#N/A</v>
      </c>
      <c r="V36" t="e">
        <f>IF(AND(ISNUMBER(U34), ISNUMBER(U38)), INDEX('2.Distancias'!E3:J1446, (U34*38) + U38 + 1,3), NA())</f>
        <v>#N/A</v>
      </c>
      <c r="W36" t="e">
        <f>IF(AND(ISNUMBER(U34), ISNUMBER(U38)), INDEX('2.Distancias'!E3:J1446, (U34*38) + U38 + 1,4), NA())</f>
        <v>#N/A</v>
      </c>
      <c r="Y36" t="e">
        <f>IF(AND(ISNUMBER(X34), ISNUMBER(X38)), INDEX('2.Distancias'!E3:J1446, (X34*38) + X38 + 1,3), NA())</f>
        <v>#N/A</v>
      </c>
      <c r="Z36" t="e">
        <f>IF(AND(ISNUMBER(X34), ISNUMBER(X38)), INDEX('2.Distancias'!E3:J1446, (X34*38) + X38 + 1,4), NA())</f>
        <v>#N/A</v>
      </c>
      <c r="AB36" t="e">
        <f>IF(AND(ISNUMBER(AA34), ISNUMBER(AA38)), INDEX('2.Distancias'!E3:J1446, (AA34*38) + AA38 + 1,3), NA())</f>
        <v>#N/A</v>
      </c>
      <c r="AC36" t="e">
        <f>IF(AND(ISNUMBER(AA34), ISNUMBER(AA38)), INDEX('2.Distancias'!E3:J1446, (AA34*38) + AA38 + 1,4), NA())</f>
        <v>#N/A</v>
      </c>
      <c r="AE36" t="e">
        <f>IF(AND(ISNUMBER(AD34), ISNUMBER(AD38)), INDEX('2.Distancias'!E3:J1446, (AD34*38) + AD38 + 1,3), NA())</f>
        <v>#N/A</v>
      </c>
      <c r="AF36" t="e">
        <f>IF(AND(ISNUMBER(AD34), ISNUMBER(AD38)), INDEX('2.Distancias'!E3:J1446, (AD34*38) + AD38 + 1,4), NA())</f>
        <v>#N/A</v>
      </c>
      <c r="AH36" t="e">
        <f>IF(AND(ISNUMBER(AG34), ISNUMBER(AG38)), INDEX('2.Distancias'!E3:J1446, (AG34*38) + AG38 + 1,3), NA())</f>
        <v>#N/A</v>
      </c>
      <c r="AI36" t="e">
        <f>IF(AND(ISNUMBER(AG34), ISNUMBER(AG38)), INDEX('2.Distancias'!E3:J1446, (AG34*38) + AG38 + 1,4), NA())</f>
        <v>#N/A</v>
      </c>
      <c r="AK36" t="e">
        <f>IF(AND(ISNUMBER(AJ34), ISNUMBER(AJ38)), INDEX('2.Distancias'!E3:J1446, (AJ34*38) + AJ38 + 1,3), NA())</f>
        <v>#N/A</v>
      </c>
      <c r="AL36" t="e">
        <f>IF(AND(ISNUMBER(AJ34), ISNUMBER(AJ38)), INDEX('2.Distancias'!E3:J1446, (AJ34*38) + AJ38 + 1,4), NA())</f>
        <v>#N/A</v>
      </c>
    </row>
    <row r="37" spans="15:38" x14ac:dyDescent="0.25">
      <c r="P37" t="e">
        <f>IF(AND(ISNUMBER(O34), ISNUMBER(O38)), INDEX('2.Distancias'!E3:J1446, (O34*38) + O38 + 1,5), NA())</f>
        <v>#N/A</v>
      </c>
      <c r="Q37" t="e">
        <f>IF(AND(ISNUMBER(O34), ISNUMBER(O38)), INDEX('2.Distancias'!E3:J1446, (O34*38) + O38 + 1,6), NA())</f>
        <v>#N/A</v>
      </c>
      <c r="S37" t="e">
        <f>IF(AND(ISNUMBER(R34), ISNUMBER(R38)), INDEX('2.Distancias'!E3:J1446, (R34*38) + R38 + 1,5), NA())</f>
        <v>#N/A</v>
      </c>
      <c r="T37" t="e">
        <f>IF(AND(ISNUMBER(R34), ISNUMBER(R38)), INDEX('2.Distancias'!E3:J1446, (R34*38) + R38 + 1,6), NA())</f>
        <v>#N/A</v>
      </c>
      <c r="V37" t="e">
        <f>IF(AND(ISNUMBER(U34), ISNUMBER(U38)), INDEX('2.Distancias'!E3:J1446, (U34*38) + U38 + 1,5), NA())</f>
        <v>#N/A</v>
      </c>
      <c r="W37" t="e">
        <f>IF(AND(ISNUMBER(U34), ISNUMBER(U38)), INDEX('2.Distancias'!E3:J1446, (U34*38) + U38 + 1,6), NA())</f>
        <v>#N/A</v>
      </c>
      <c r="Y37" t="e">
        <f>IF(AND(ISNUMBER(X34), ISNUMBER(X38)), INDEX('2.Distancias'!E3:J1446, (X34*38) + X38 + 1,5), NA())</f>
        <v>#N/A</v>
      </c>
      <c r="Z37" t="e">
        <f>IF(AND(ISNUMBER(X34), ISNUMBER(X38)), INDEX('2.Distancias'!E3:J1446, (X34*38) + X38 + 1,6), NA())</f>
        <v>#N/A</v>
      </c>
      <c r="AB37" t="e">
        <f>IF(AND(ISNUMBER(AA34), ISNUMBER(AA38)), INDEX('2.Distancias'!E3:J1446, (AA34*38) + AA38 + 1,5), NA())</f>
        <v>#N/A</v>
      </c>
      <c r="AC37" t="e">
        <f>IF(AND(ISNUMBER(AA34), ISNUMBER(AA38)), INDEX('2.Distancias'!E3:J1446, (AA34*38) + AA38 + 1,6), NA())</f>
        <v>#N/A</v>
      </c>
      <c r="AE37" t="e">
        <f>IF(AND(ISNUMBER(AD34), ISNUMBER(AD38)), INDEX('2.Distancias'!E3:J1446, (AD34*38) + AD38 + 1,5), NA())</f>
        <v>#N/A</v>
      </c>
      <c r="AF37" t="e">
        <f>IF(AND(ISNUMBER(AD34), ISNUMBER(AD38)), INDEX('2.Distancias'!E3:J1446, (AD34*38) + AD38 + 1,6), NA())</f>
        <v>#N/A</v>
      </c>
      <c r="AH37" t="e">
        <f>IF(AND(ISNUMBER(AG34), ISNUMBER(AG38)), INDEX('2.Distancias'!E3:J1446, (AG34*38) + AG38 + 1,5), NA())</f>
        <v>#N/A</v>
      </c>
      <c r="AI37" t="e">
        <f>IF(AND(ISNUMBER(AG34), ISNUMBER(AG38)), INDEX('2.Distancias'!E3:J1446, (AG34*38) + AG38 + 1,6), NA())</f>
        <v>#N/A</v>
      </c>
      <c r="AK37" t="e">
        <f>IF(AND(ISNUMBER(AJ34), ISNUMBER(AJ38)), INDEX('2.Distancias'!E3:J1446, (AJ34*38) + AJ38 + 1,5), NA())</f>
        <v>#N/A</v>
      </c>
      <c r="AL37" t="e">
        <f>IF(AND(ISNUMBER(AJ34), ISNUMBER(AJ38)), INDEX('2.Distancias'!E3:J1446, (AJ34*38) + AJ38 + 1,6), NA())</f>
        <v>#N/A</v>
      </c>
    </row>
    <row r="38" spans="15:38" x14ac:dyDescent="0.25">
      <c r="O38" t="str">
        <f>'4.Solución'!C14</f>
        <v xml:space="preserve"> </v>
      </c>
      <c r="P38" t="e">
        <f>IFERROR(IF(ISNUMBER(O38),INDEX('1 ubicaciones'!$D$2:$D$22,O38 + 1),NA()),NA())</f>
        <v>#N/A</v>
      </c>
      <c r="Q38" t="e">
        <f>IFERROR(IF(ISNUMBER(O38),INDEX('1 ubicaciones'!$E$2:$E$22,O38 + 1),NA()),NA())</f>
        <v>#N/A</v>
      </c>
      <c r="R38" t="str">
        <f>'4.Solución'!T14</f>
        <v xml:space="preserve"> </v>
      </c>
      <c r="S38" t="e">
        <f>IFERROR(IF(ISNUMBER(R38),INDEX('1 ubicaciones'!$D$2:$D$22,R38 + 1),NA()),NA())</f>
        <v>#N/A</v>
      </c>
      <c r="T38" t="e">
        <f>IFERROR(IF(ISNUMBER(R38),INDEX('1 ubicaciones'!$E$2:$E$22,R38 + 1),NA()),NA())</f>
        <v>#N/A</v>
      </c>
      <c r="U38" t="str">
        <f>'4.Solución'!AK14</f>
        <v xml:space="preserve"> </v>
      </c>
      <c r="V38" t="e">
        <f>IFERROR(IF(ISNUMBER(U38),INDEX('1 ubicaciones'!$D$2:$D$22,U38 + 1),NA()),NA())</f>
        <v>#N/A</v>
      </c>
      <c r="W38" t="e">
        <f>IFERROR(IF(ISNUMBER(U38),INDEX('1 ubicaciones'!$E$2:$E$22,U38 + 1),NA()),NA())</f>
        <v>#N/A</v>
      </c>
      <c r="X38" t="str">
        <f>'4.Solución'!BB14</f>
        <v xml:space="preserve"> </v>
      </c>
      <c r="Y38" t="e">
        <f>IFERROR(IF(ISNUMBER(X38),INDEX('1 ubicaciones'!$D$2:$D$22,X38 + 1),NA()),NA())</f>
        <v>#N/A</v>
      </c>
      <c r="Z38" t="e">
        <f>IFERROR(IF(ISNUMBER(X38),INDEX('1 ubicaciones'!$E$2:$E$22,X38 + 1),NA()),NA())</f>
        <v>#N/A</v>
      </c>
      <c r="AA38" t="str">
        <f>'4.Solución'!BS14</f>
        <v xml:space="preserve"> </v>
      </c>
      <c r="AB38" t="e">
        <f>IFERROR(IF(ISNUMBER(AA38),INDEX('1 ubicaciones'!$D$2:$D$22,AA38 + 1),NA()),NA())</f>
        <v>#N/A</v>
      </c>
      <c r="AC38" t="e">
        <f>IFERROR(IF(ISNUMBER(AA38),INDEX('1 ubicaciones'!$E$2:$E$22,AA38 + 1),NA()),NA())</f>
        <v>#N/A</v>
      </c>
      <c r="AD38" t="str">
        <f>'4.Solución'!CJ14</f>
        <v xml:space="preserve"> </v>
      </c>
      <c r="AE38" t="e">
        <f>IFERROR(IF(ISNUMBER(AD38),INDEX('1 ubicaciones'!$D$2:$D$22,AD38 + 1),NA()),NA())</f>
        <v>#N/A</v>
      </c>
      <c r="AF38" t="e">
        <f>IFERROR(IF(ISNUMBER(AD38),INDEX('1 ubicaciones'!$E$2:$E$22,AD38 + 1),NA()),NA())</f>
        <v>#N/A</v>
      </c>
      <c r="AG38" t="str">
        <f>'4.Solución'!DA14</f>
        <v xml:space="preserve"> </v>
      </c>
      <c r="AH38" t="e">
        <f>IFERROR(IF(ISNUMBER(AG38),INDEX('1 ubicaciones'!$D$2:$D$22,AG38 + 1),NA()),NA())</f>
        <v>#N/A</v>
      </c>
      <c r="AI38" t="e">
        <f>IFERROR(IF(ISNUMBER(AG38),INDEX('1 ubicaciones'!$E$2:$E$22,AG38 + 1),NA()),NA())</f>
        <v>#N/A</v>
      </c>
      <c r="AJ38" t="str">
        <f>'4.Solución'!DR14</f>
        <v xml:space="preserve"> </v>
      </c>
      <c r="AK38" t="e">
        <f>IFERROR(IF(ISNUMBER(AJ38),INDEX('1 ubicaciones'!$D$2:$D$22,AJ38 + 1),NA()),NA())</f>
        <v>#N/A</v>
      </c>
      <c r="AL38" t="e">
        <f>IFERROR(IF(ISNUMBER(AJ38),INDEX('1 ubicaciones'!$E$2:$E$22,AJ38 + 1),NA()),NA())</f>
        <v>#N/A</v>
      </c>
    </row>
    <row r="39" spans="15:38" x14ac:dyDescent="0.25">
      <c r="P39" t="e">
        <f>IF(AND(ISNUMBER(O38), ISNUMBER(O42)), INDEX('2.Distancias'!E3:J1446, (O38*38) + O42 + 1,1), NA())</f>
        <v>#N/A</v>
      </c>
      <c r="Q39" t="e">
        <f>IF(AND(ISNUMBER(O38), ISNUMBER(O42)), INDEX('2.Distancias'!E3:J1446, (O38*38) + O42 + 1,2), NA())</f>
        <v>#N/A</v>
      </c>
      <c r="S39" t="e">
        <f>IF(AND(ISNUMBER(R38), ISNUMBER(R42)), INDEX('2.Distancias'!E3:J1446, (R38*38) + R42 + 1,1), NA())</f>
        <v>#N/A</v>
      </c>
      <c r="T39" t="e">
        <f>IF(AND(ISNUMBER(R38), ISNUMBER(R42)), INDEX('2.Distancias'!E3:J1446, (R38*38) + R42 + 1,2), NA())</f>
        <v>#N/A</v>
      </c>
      <c r="V39" t="e">
        <f>IF(AND(ISNUMBER(U38), ISNUMBER(U42)), INDEX('2.Distancias'!E3:J1446, (U38*38) + U42 + 1,1), NA())</f>
        <v>#N/A</v>
      </c>
      <c r="W39" t="e">
        <f>IF(AND(ISNUMBER(U38), ISNUMBER(U42)), INDEX('2.Distancias'!E3:J1446, (U38*38) + U42 + 1,2), NA())</f>
        <v>#N/A</v>
      </c>
      <c r="Y39" t="e">
        <f>IF(AND(ISNUMBER(X38), ISNUMBER(X42)), INDEX('2.Distancias'!E3:J1446, (X38*38) + X42 + 1,1), NA())</f>
        <v>#N/A</v>
      </c>
      <c r="Z39" t="e">
        <f>IF(AND(ISNUMBER(X38), ISNUMBER(X42)), INDEX('2.Distancias'!E3:J1446, (X38*38) + X42 + 1,2), NA())</f>
        <v>#N/A</v>
      </c>
      <c r="AB39" t="e">
        <f>IF(AND(ISNUMBER(AA38), ISNUMBER(AA42)), INDEX('2.Distancias'!E3:J1446, (AA38*38) + AA42 + 1,1), NA())</f>
        <v>#N/A</v>
      </c>
      <c r="AC39" t="e">
        <f>IF(AND(ISNUMBER(AA38), ISNUMBER(AA42)), INDEX('2.Distancias'!E3:J1446, (AA38*38) + AA42 + 1,2), NA())</f>
        <v>#N/A</v>
      </c>
      <c r="AE39" t="e">
        <f>IF(AND(ISNUMBER(AD38), ISNUMBER(AD42)), INDEX('2.Distancias'!E3:J1446, (AD38*38) + AD42 + 1,1), NA())</f>
        <v>#N/A</v>
      </c>
      <c r="AF39" t="e">
        <f>IF(AND(ISNUMBER(AD38), ISNUMBER(AD42)), INDEX('2.Distancias'!E3:J1446, (AD38*38) + AD42 + 1,2), NA())</f>
        <v>#N/A</v>
      </c>
      <c r="AH39" t="e">
        <f>IF(AND(ISNUMBER(AG38), ISNUMBER(AG42)), INDEX('2.Distancias'!E3:J1446, (AG38*38) + AG42 + 1,1), NA())</f>
        <v>#N/A</v>
      </c>
      <c r="AI39" t="e">
        <f>IF(AND(ISNUMBER(AG38), ISNUMBER(AG42)), INDEX('2.Distancias'!E3:J1446, (AG38*38) + AG42 + 1,2), NA())</f>
        <v>#N/A</v>
      </c>
      <c r="AK39" t="e">
        <f>IF(AND(ISNUMBER(AJ38), ISNUMBER(AJ42)), INDEX('2.Distancias'!E3:J1446, (AJ38*38) + AJ42 + 1,1), NA())</f>
        <v>#N/A</v>
      </c>
      <c r="AL39" t="e">
        <f>IF(AND(ISNUMBER(AJ38), ISNUMBER(AJ42)), INDEX('2.Distancias'!E3:J1446, (AJ38*38) + AJ42 + 1,2), NA())</f>
        <v>#N/A</v>
      </c>
    </row>
    <row r="40" spans="15:38" x14ac:dyDescent="0.25">
      <c r="P40" t="e">
        <f>IF(AND(ISNUMBER(O38), ISNUMBER(O42)), INDEX('2.Distancias'!E3:J1446, (O38*38) + O42 + 1,3), NA())</f>
        <v>#N/A</v>
      </c>
      <c r="Q40" t="e">
        <f>IF(AND(ISNUMBER(O38), ISNUMBER(O42)), INDEX('2.Distancias'!E3:J1446, (O38*38) + O42 + 1,4), NA())</f>
        <v>#N/A</v>
      </c>
      <c r="S40" t="e">
        <f>IF(AND(ISNUMBER(R38), ISNUMBER(R42)), INDEX('2.Distancias'!E3:J1446, (R38*38) + R42 + 1,3), NA())</f>
        <v>#N/A</v>
      </c>
      <c r="T40" t="e">
        <f>IF(AND(ISNUMBER(R38), ISNUMBER(R42)), INDEX('2.Distancias'!E3:J1446, (R38*38) + R42 + 1,4), NA())</f>
        <v>#N/A</v>
      </c>
      <c r="V40" t="e">
        <f>IF(AND(ISNUMBER(U38), ISNUMBER(U42)), INDEX('2.Distancias'!E3:J1446, (U38*38) + U42 + 1,3), NA())</f>
        <v>#N/A</v>
      </c>
      <c r="W40" t="e">
        <f>IF(AND(ISNUMBER(U38), ISNUMBER(U42)), INDEX('2.Distancias'!E3:J1446, (U38*38) + U42 + 1,4), NA())</f>
        <v>#N/A</v>
      </c>
      <c r="Y40" t="e">
        <f>IF(AND(ISNUMBER(X38), ISNUMBER(X42)), INDEX('2.Distancias'!E3:J1446, (X38*38) + X42 + 1,3), NA())</f>
        <v>#N/A</v>
      </c>
      <c r="Z40" t="e">
        <f>IF(AND(ISNUMBER(X38), ISNUMBER(X42)), INDEX('2.Distancias'!E3:J1446, (X38*38) + X42 + 1,4), NA())</f>
        <v>#N/A</v>
      </c>
      <c r="AB40" t="e">
        <f>IF(AND(ISNUMBER(AA38), ISNUMBER(AA42)), INDEX('2.Distancias'!E3:J1446, (AA38*38) + AA42 + 1,3), NA())</f>
        <v>#N/A</v>
      </c>
      <c r="AC40" t="e">
        <f>IF(AND(ISNUMBER(AA38), ISNUMBER(AA42)), INDEX('2.Distancias'!E3:J1446, (AA38*38) + AA42 + 1,4), NA())</f>
        <v>#N/A</v>
      </c>
      <c r="AE40" t="e">
        <f>IF(AND(ISNUMBER(AD38), ISNUMBER(AD42)), INDEX('2.Distancias'!E3:J1446, (AD38*38) + AD42 + 1,3), NA())</f>
        <v>#N/A</v>
      </c>
      <c r="AF40" t="e">
        <f>IF(AND(ISNUMBER(AD38), ISNUMBER(AD42)), INDEX('2.Distancias'!E3:J1446, (AD38*38) + AD42 + 1,4), NA())</f>
        <v>#N/A</v>
      </c>
      <c r="AH40" t="e">
        <f>IF(AND(ISNUMBER(AG38), ISNUMBER(AG42)), INDEX('2.Distancias'!E3:J1446, (AG38*38) + AG42 + 1,3), NA())</f>
        <v>#N/A</v>
      </c>
      <c r="AI40" t="e">
        <f>IF(AND(ISNUMBER(AG38), ISNUMBER(AG42)), INDEX('2.Distancias'!E3:J1446, (AG38*38) + AG42 + 1,4), NA())</f>
        <v>#N/A</v>
      </c>
      <c r="AK40" t="e">
        <f>IF(AND(ISNUMBER(AJ38), ISNUMBER(AJ42)), INDEX('2.Distancias'!E3:J1446, (AJ38*38) + AJ42 + 1,3), NA())</f>
        <v>#N/A</v>
      </c>
      <c r="AL40" t="e">
        <f>IF(AND(ISNUMBER(AJ38), ISNUMBER(AJ42)), INDEX('2.Distancias'!E3:J1446, (AJ38*38) + AJ42 + 1,4), NA())</f>
        <v>#N/A</v>
      </c>
    </row>
    <row r="41" spans="15:38" x14ac:dyDescent="0.25">
      <c r="P41" t="e">
        <f>IF(AND(ISNUMBER(O38), ISNUMBER(O42)), INDEX('2.Distancias'!E3:J1446, (O38*38) + O42 + 1,5), NA())</f>
        <v>#N/A</v>
      </c>
      <c r="Q41" t="e">
        <f>IF(AND(ISNUMBER(O38), ISNUMBER(O42)), INDEX('2.Distancias'!E3:J1446, (O38*38) + O42 + 1,6), NA())</f>
        <v>#N/A</v>
      </c>
      <c r="S41" t="e">
        <f>IF(AND(ISNUMBER(R38), ISNUMBER(R42)), INDEX('2.Distancias'!E3:J1446, (R38*38) + R42 + 1,5), NA())</f>
        <v>#N/A</v>
      </c>
      <c r="T41" t="e">
        <f>IF(AND(ISNUMBER(R38), ISNUMBER(R42)), INDEX('2.Distancias'!E3:J1446, (R38*38) + R42 + 1,6), NA())</f>
        <v>#N/A</v>
      </c>
      <c r="V41" t="e">
        <f>IF(AND(ISNUMBER(U38), ISNUMBER(U42)), INDEX('2.Distancias'!E3:J1446, (U38*38) + U42 + 1,5), NA())</f>
        <v>#N/A</v>
      </c>
      <c r="W41" t="e">
        <f>IF(AND(ISNUMBER(U38), ISNUMBER(U42)), INDEX('2.Distancias'!E3:J1446, (U38*38) + U42 + 1,6), NA())</f>
        <v>#N/A</v>
      </c>
      <c r="Y41" t="e">
        <f>IF(AND(ISNUMBER(X38), ISNUMBER(X42)), INDEX('2.Distancias'!E3:J1446, (X38*38) + X42 + 1,5), NA())</f>
        <v>#N/A</v>
      </c>
      <c r="Z41" t="e">
        <f>IF(AND(ISNUMBER(X38), ISNUMBER(X42)), INDEX('2.Distancias'!E3:J1446, (X38*38) + X42 + 1,6), NA())</f>
        <v>#N/A</v>
      </c>
      <c r="AB41" t="e">
        <f>IF(AND(ISNUMBER(AA38), ISNUMBER(AA42)), INDEX('2.Distancias'!E3:J1446, (AA38*38) + AA42 + 1,5), NA())</f>
        <v>#N/A</v>
      </c>
      <c r="AC41" t="e">
        <f>IF(AND(ISNUMBER(AA38), ISNUMBER(AA42)), INDEX('2.Distancias'!E3:J1446, (AA38*38) + AA42 + 1,6), NA())</f>
        <v>#N/A</v>
      </c>
      <c r="AE41" t="e">
        <f>IF(AND(ISNUMBER(AD38), ISNUMBER(AD42)), INDEX('2.Distancias'!E3:J1446, (AD38*38) + AD42 + 1,5), NA())</f>
        <v>#N/A</v>
      </c>
      <c r="AF41" t="e">
        <f>IF(AND(ISNUMBER(AD38), ISNUMBER(AD42)), INDEX('2.Distancias'!E3:J1446, (AD38*38) + AD42 + 1,6), NA())</f>
        <v>#N/A</v>
      </c>
      <c r="AH41" t="e">
        <f>IF(AND(ISNUMBER(AG38), ISNUMBER(AG42)), INDEX('2.Distancias'!E3:J1446, (AG38*38) + AG42 + 1,5), NA())</f>
        <v>#N/A</v>
      </c>
      <c r="AI41" t="e">
        <f>IF(AND(ISNUMBER(AG38), ISNUMBER(AG42)), INDEX('2.Distancias'!E3:J1446, (AG38*38) + AG42 + 1,6), NA())</f>
        <v>#N/A</v>
      </c>
      <c r="AK41" t="e">
        <f>IF(AND(ISNUMBER(AJ38), ISNUMBER(AJ42)), INDEX('2.Distancias'!E3:J1446, (AJ38*38) + AJ42 + 1,5), NA())</f>
        <v>#N/A</v>
      </c>
      <c r="AL41" t="e">
        <f>IF(AND(ISNUMBER(AJ38), ISNUMBER(AJ42)), INDEX('2.Distancias'!E3:J1446, (AJ38*38) + AJ42 + 1,6), NA())</f>
        <v>#N/A</v>
      </c>
    </row>
    <row r="42" spans="15:38" x14ac:dyDescent="0.25">
      <c r="O42" t="str">
        <f>'4.Solución'!C15</f>
        <v xml:space="preserve"> </v>
      </c>
      <c r="P42" t="e">
        <f>IFERROR(IF(ISNUMBER(O42),INDEX('1 ubicaciones'!$D$2:$D$22,O42 + 1),NA()),NA())</f>
        <v>#N/A</v>
      </c>
      <c r="Q42" t="e">
        <f>IFERROR(IF(ISNUMBER(O42),INDEX('1 ubicaciones'!$E$2:$E$22,O42 + 1),NA()),NA())</f>
        <v>#N/A</v>
      </c>
      <c r="R42" t="str">
        <f>'4.Solución'!T15</f>
        <v xml:space="preserve"> </v>
      </c>
      <c r="S42" t="e">
        <f>IFERROR(IF(ISNUMBER(R42),INDEX('1 ubicaciones'!$D$2:$D$22,R42 + 1),NA()),NA())</f>
        <v>#N/A</v>
      </c>
      <c r="T42" t="e">
        <f>IFERROR(IF(ISNUMBER(R42),INDEX('1 ubicaciones'!$E$2:$E$22,R42 + 1),NA()),NA())</f>
        <v>#N/A</v>
      </c>
      <c r="U42" t="str">
        <f>'4.Solución'!AK15</f>
        <v xml:space="preserve"> </v>
      </c>
      <c r="V42" t="e">
        <f>IFERROR(IF(ISNUMBER(U42),INDEX('1 ubicaciones'!$D$2:$D$22,U42 + 1),NA()),NA())</f>
        <v>#N/A</v>
      </c>
      <c r="W42" t="e">
        <f>IFERROR(IF(ISNUMBER(U42),INDEX('1 ubicaciones'!$E$2:$E$22,U42 + 1),NA()),NA())</f>
        <v>#N/A</v>
      </c>
      <c r="X42" t="str">
        <f>'4.Solución'!BB15</f>
        <v xml:space="preserve"> </v>
      </c>
      <c r="Y42" t="e">
        <f>IFERROR(IF(ISNUMBER(X42),INDEX('1 ubicaciones'!$D$2:$D$22,X42 + 1),NA()),NA())</f>
        <v>#N/A</v>
      </c>
      <c r="Z42" t="e">
        <f>IFERROR(IF(ISNUMBER(X42),INDEX('1 ubicaciones'!$E$2:$E$22,X42 + 1),NA()),NA())</f>
        <v>#N/A</v>
      </c>
      <c r="AA42" t="str">
        <f>'4.Solución'!BS15</f>
        <v xml:space="preserve"> </v>
      </c>
      <c r="AB42" t="e">
        <f>IFERROR(IF(ISNUMBER(AA42),INDEX('1 ubicaciones'!$D$2:$D$22,AA42 + 1),NA()),NA())</f>
        <v>#N/A</v>
      </c>
      <c r="AC42" t="e">
        <f>IFERROR(IF(ISNUMBER(AA42),INDEX('1 ubicaciones'!$E$2:$E$22,AA42 + 1),NA()),NA())</f>
        <v>#N/A</v>
      </c>
      <c r="AD42" t="str">
        <f>'4.Solución'!CJ15</f>
        <v xml:space="preserve"> </v>
      </c>
      <c r="AE42" t="e">
        <f>IFERROR(IF(ISNUMBER(AD42),INDEX('1 ubicaciones'!$D$2:$D$22,AD42 + 1),NA()),NA())</f>
        <v>#N/A</v>
      </c>
      <c r="AF42" t="e">
        <f>IFERROR(IF(ISNUMBER(AD42),INDEX('1 ubicaciones'!$E$2:$E$22,AD42 + 1),NA()),NA())</f>
        <v>#N/A</v>
      </c>
      <c r="AG42" t="str">
        <f>'4.Solución'!DA15</f>
        <v xml:space="preserve"> </v>
      </c>
      <c r="AH42" t="e">
        <f>IFERROR(IF(ISNUMBER(AG42),INDEX('1 ubicaciones'!$D$2:$D$22,AG42 + 1),NA()),NA())</f>
        <v>#N/A</v>
      </c>
      <c r="AI42" t="e">
        <f>IFERROR(IF(ISNUMBER(AG42),INDEX('1 ubicaciones'!$E$2:$E$22,AG42 + 1),NA()),NA())</f>
        <v>#N/A</v>
      </c>
      <c r="AJ42" t="str">
        <f>'4.Solución'!DR15</f>
        <v xml:space="preserve"> </v>
      </c>
      <c r="AK42" t="e">
        <f>IFERROR(IF(ISNUMBER(AJ42),INDEX('1 ubicaciones'!$D$2:$D$22,AJ42 + 1),NA()),NA())</f>
        <v>#N/A</v>
      </c>
      <c r="AL42" t="e">
        <f>IFERROR(IF(ISNUMBER(AJ42),INDEX('1 ubicaciones'!$E$2:$E$22,AJ42 + 1),NA()),NA())</f>
        <v>#N/A</v>
      </c>
    </row>
    <row r="43" spans="15:38" x14ac:dyDescent="0.25">
      <c r="P43" t="e">
        <f>IF(AND(ISNUMBER(O42), ISNUMBER(O46)), INDEX('2.Distancias'!E3:J1446, (O42*38) + O46 + 1,1), NA())</f>
        <v>#N/A</v>
      </c>
      <c r="Q43" t="e">
        <f>IF(AND(ISNUMBER(O42), ISNUMBER(O46)), INDEX('2.Distancias'!E3:J1446, (O42*38) + O46 + 1,2), NA())</f>
        <v>#N/A</v>
      </c>
      <c r="S43" t="e">
        <f>IF(AND(ISNUMBER(R42), ISNUMBER(R46)), INDEX('2.Distancias'!E3:J1446, (R42*38) + R46 + 1,1), NA())</f>
        <v>#N/A</v>
      </c>
      <c r="T43" t="e">
        <f>IF(AND(ISNUMBER(R42), ISNUMBER(R46)), INDEX('2.Distancias'!E3:J1446, (R42*38) + R46 + 1,2), NA())</f>
        <v>#N/A</v>
      </c>
      <c r="V43" t="e">
        <f>IF(AND(ISNUMBER(U42), ISNUMBER(U46)), INDEX('2.Distancias'!E3:J1446, (U42*38) + U46 + 1,1), NA())</f>
        <v>#N/A</v>
      </c>
      <c r="W43" t="e">
        <f>IF(AND(ISNUMBER(U42), ISNUMBER(U46)), INDEX('2.Distancias'!E3:J1446, (U42*38) + U46 + 1,2), NA())</f>
        <v>#N/A</v>
      </c>
      <c r="Y43" t="e">
        <f>IF(AND(ISNUMBER(X42), ISNUMBER(X46)), INDEX('2.Distancias'!E3:J1446, (X42*38) + X46 + 1,1), NA())</f>
        <v>#N/A</v>
      </c>
      <c r="Z43" t="e">
        <f>IF(AND(ISNUMBER(X42), ISNUMBER(X46)), INDEX('2.Distancias'!E3:J1446, (X42*38) + X46 + 1,2), NA())</f>
        <v>#N/A</v>
      </c>
      <c r="AB43" t="e">
        <f>IF(AND(ISNUMBER(AA42), ISNUMBER(AA46)), INDEX('2.Distancias'!E3:J1446, (AA42*38) + AA46 + 1,1), NA())</f>
        <v>#N/A</v>
      </c>
      <c r="AC43" t="e">
        <f>IF(AND(ISNUMBER(AA42), ISNUMBER(AA46)), INDEX('2.Distancias'!E3:J1446, (AA42*38) + AA46 + 1,2), NA())</f>
        <v>#N/A</v>
      </c>
      <c r="AE43" t="e">
        <f>IF(AND(ISNUMBER(AD42), ISNUMBER(AD46)), INDEX('2.Distancias'!E3:J1446, (AD42*38) + AD46 + 1,1), NA())</f>
        <v>#N/A</v>
      </c>
      <c r="AF43" t="e">
        <f>IF(AND(ISNUMBER(AD42), ISNUMBER(AD46)), INDEX('2.Distancias'!E3:J1446, (AD42*38) + AD46 + 1,2), NA())</f>
        <v>#N/A</v>
      </c>
      <c r="AH43" t="e">
        <f>IF(AND(ISNUMBER(AG42), ISNUMBER(AG46)), INDEX('2.Distancias'!E3:J1446, (AG42*38) + AG46 + 1,1), NA())</f>
        <v>#N/A</v>
      </c>
      <c r="AI43" t="e">
        <f>IF(AND(ISNUMBER(AG42), ISNUMBER(AG46)), INDEX('2.Distancias'!E3:J1446, (AG42*38) + AG46 + 1,2), NA())</f>
        <v>#N/A</v>
      </c>
      <c r="AK43" t="e">
        <f>IF(AND(ISNUMBER(AJ42), ISNUMBER(AJ46)), INDEX('2.Distancias'!E3:J1446, (AJ42*38) + AJ46 + 1,1), NA())</f>
        <v>#N/A</v>
      </c>
      <c r="AL43" t="e">
        <f>IF(AND(ISNUMBER(AJ42), ISNUMBER(AJ46)), INDEX('2.Distancias'!E3:J1446, (AJ42*38) + AJ46 + 1,2), NA())</f>
        <v>#N/A</v>
      </c>
    </row>
    <row r="44" spans="15:38" x14ac:dyDescent="0.25">
      <c r="P44" t="e">
        <f>IF(AND(ISNUMBER(O42), ISNUMBER(O46)), INDEX('2.Distancias'!E3:J1446, (O42*38) + O46 + 1,3), NA())</f>
        <v>#N/A</v>
      </c>
      <c r="Q44" t="e">
        <f>IF(AND(ISNUMBER(O42), ISNUMBER(O46)), INDEX('2.Distancias'!E3:J1446, (O42*38) + O46 + 1,4), NA())</f>
        <v>#N/A</v>
      </c>
      <c r="S44" t="e">
        <f>IF(AND(ISNUMBER(R42), ISNUMBER(R46)), INDEX('2.Distancias'!E3:J1446, (R42*38) + R46 + 1,3), NA())</f>
        <v>#N/A</v>
      </c>
      <c r="T44" t="e">
        <f>IF(AND(ISNUMBER(R42), ISNUMBER(R46)), INDEX('2.Distancias'!E3:J1446, (R42*38) + R46 + 1,4), NA())</f>
        <v>#N/A</v>
      </c>
      <c r="V44" t="e">
        <f>IF(AND(ISNUMBER(U42), ISNUMBER(U46)), INDEX('2.Distancias'!E3:J1446, (U42*38) + U46 + 1,3), NA())</f>
        <v>#N/A</v>
      </c>
      <c r="W44" t="e">
        <f>IF(AND(ISNUMBER(U42), ISNUMBER(U46)), INDEX('2.Distancias'!E3:J1446, (U42*38) + U46 + 1,4), NA())</f>
        <v>#N/A</v>
      </c>
      <c r="Y44" t="e">
        <f>IF(AND(ISNUMBER(X42), ISNUMBER(X46)), INDEX('2.Distancias'!E3:J1446, (X42*38) + X46 + 1,3), NA())</f>
        <v>#N/A</v>
      </c>
      <c r="Z44" t="e">
        <f>IF(AND(ISNUMBER(X42), ISNUMBER(X46)), INDEX('2.Distancias'!E3:J1446, (X42*38) + X46 + 1,4), NA())</f>
        <v>#N/A</v>
      </c>
      <c r="AB44" t="e">
        <f>IF(AND(ISNUMBER(AA42), ISNUMBER(AA46)), INDEX('2.Distancias'!E3:J1446, (AA42*38) + AA46 + 1,3), NA())</f>
        <v>#N/A</v>
      </c>
      <c r="AC44" t="e">
        <f>IF(AND(ISNUMBER(AA42), ISNUMBER(AA46)), INDEX('2.Distancias'!E3:J1446, (AA42*38) + AA46 + 1,4), NA())</f>
        <v>#N/A</v>
      </c>
      <c r="AE44" t="e">
        <f>IF(AND(ISNUMBER(AD42), ISNUMBER(AD46)), INDEX('2.Distancias'!E3:J1446, (AD42*38) + AD46 + 1,3), NA())</f>
        <v>#N/A</v>
      </c>
      <c r="AF44" t="e">
        <f>IF(AND(ISNUMBER(AD42), ISNUMBER(AD46)), INDEX('2.Distancias'!E3:J1446, (AD42*38) + AD46 + 1,4), NA())</f>
        <v>#N/A</v>
      </c>
      <c r="AH44" t="e">
        <f>IF(AND(ISNUMBER(AG42), ISNUMBER(AG46)), INDEX('2.Distancias'!E3:J1446, (AG42*38) + AG46 + 1,3), NA())</f>
        <v>#N/A</v>
      </c>
      <c r="AI44" t="e">
        <f>IF(AND(ISNUMBER(AG42), ISNUMBER(AG46)), INDEX('2.Distancias'!E3:J1446, (AG42*38) + AG46 + 1,4), NA())</f>
        <v>#N/A</v>
      </c>
      <c r="AK44" t="e">
        <f>IF(AND(ISNUMBER(AJ42), ISNUMBER(AJ46)), INDEX('2.Distancias'!E3:J1446, (AJ42*38) + AJ46 + 1,3), NA())</f>
        <v>#N/A</v>
      </c>
      <c r="AL44" t="e">
        <f>IF(AND(ISNUMBER(AJ42), ISNUMBER(AJ46)), INDEX('2.Distancias'!E3:J1446, (AJ42*38) + AJ46 + 1,4), NA())</f>
        <v>#N/A</v>
      </c>
    </row>
    <row r="45" spans="15:38" x14ac:dyDescent="0.25">
      <c r="P45" t="e">
        <f>IF(AND(ISNUMBER(O42), ISNUMBER(O46)), INDEX('2.Distancias'!E3:J1446, (O42*38) + O46 + 1,5), NA())</f>
        <v>#N/A</v>
      </c>
      <c r="Q45" t="e">
        <f>IF(AND(ISNUMBER(O42), ISNUMBER(O46)), INDEX('2.Distancias'!E3:J1446, (O42*38) + O46 + 1,6), NA())</f>
        <v>#N/A</v>
      </c>
      <c r="S45" t="e">
        <f>IF(AND(ISNUMBER(R42), ISNUMBER(R46)), INDEX('2.Distancias'!E3:J1446, (R42*38) + R46 + 1,5), NA())</f>
        <v>#N/A</v>
      </c>
      <c r="T45" t="e">
        <f>IF(AND(ISNUMBER(R42), ISNUMBER(R46)), INDEX('2.Distancias'!E3:J1446, (R42*38) + R46 + 1,6), NA())</f>
        <v>#N/A</v>
      </c>
      <c r="V45" t="e">
        <f>IF(AND(ISNUMBER(U42), ISNUMBER(U46)), INDEX('2.Distancias'!E3:J1446, (U42*38) + U46 + 1,5), NA())</f>
        <v>#N/A</v>
      </c>
      <c r="W45" t="e">
        <f>IF(AND(ISNUMBER(U42), ISNUMBER(U46)), INDEX('2.Distancias'!E3:J1446, (U42*38) + U46 + 1,6), NA())</f>
        <v>#N/A</v>
      </c>
      <c r="Y45" t="e">
        <f>IF(AND(ISNUMBER(X42), ISNUMBER(X46)), INDEX('2.Distancias'!E3:J1446, (X42*38) + X46 + 1,5), NA())</f>
        <v>#N/A</v>
      </c>
      <c r="Z45" t="e">
        <f>IF(AND(ISNUMBER(X42), ISNUMBER(X46)), INDEX('2.Distancias'!E3:J1446, (X42*38) + X46 + 1,6), NA())</f>
        <v>#N/A</v>
      </c>
      <c r="AB45" t="e">
        <f>IF(AND(ISNUMBER(AA42), ISNUMBER(AA46)), INDEX('2.Distancias'!E3:J1446, (AA42*38) + AA46 + 1,5), NA())</f>
        <v>#N/A</v>
      </c>
      <c r="AC45" t="e">
        <f>IF(AND(ISNUMBER(AA42), ISNUMBER(AA46)), INDEX('2.Distancias'!E3:J1446, (AA42*38) + AA46 + 1,6), NA())</f>
        <v>#N/A</v>
      </c>
      <c r="AE45" t="e">
        <f>IF(AND(ISNUMBER(AD42), ISNUMBER(AD46)), INDEX('2.Distancias'!E3:J1446, (AD42*38) + AD46 + 1,5), NA())</f>
        <v>#N/A</v>
      </c>
      <c r="AF45" t="e">
        <f>IF(AND(ISNUMBER(AD42), ISNUMBER(AD46)), INDEX('2.Distancias'!E3:J1446, (AD42*38) + AD46 + 1,6), NA())</f>
        <v>#N/A</v>
      </c>
      <c r="AH45" t="e">
        <f>IF(AND(ISNUMBER(AG42), ISNUMBER(AG46)), INDEX('2.Distancias'!E3:J1446, (AG42*38) + AG46 + 1,5), NA())</f>
        <v>#N/A</v>
      </c>
      <c r="AI45" t="e">
        <f>IF(AND(ISNUMBER(AG42), ISNUMBER(AG46)), INDEX('2.Distancias'!E3:J1446, (AG42*38) + AG46 + 1,6), NA())</f>
        <v>#N/A</v>
      </c>
      <c r="AK45" t="e">
        <f>IF(AND(ISNUMBER(AJ42), ISNUMBER(AJ46)), INDEX('2.Distancias'!E3:J1446, (AJ42*38) + AJ46 + 1,5), NA())</f>
        <v>#N/A</v>
      </c>
      <c r="AL45" t="e">
        <f>IF(AND(ISNUMBER(AJ42), ISNUMBER(AJ46)), INDEX('2.Distancias'!E3:J1446, (AJ42*38) + AJ46 + 1,6), NA())</f>
        <v>#N/A</v>
      </c>
    </row>
    <row r="46" spans="15:38" x14ac:dyDescent="0.25">
      <c r="O46" t="str">
        <f>'4.Solución'!C16</f>
        <v xml:space="preserve"> </v>
      </c>
      <c r="P46" t="e">
        <f>IFERROR(IF(ISNUMBER(O46),INDEX('1 ubicaciones'!$D$2:$D$22,O46 + 1),NA()),NA())</f>
        <v>#N/A</v>
      </c>
      <c r="Q46" t="e">
        <f>IFERROR(IF(ISNUMBER(O46),INDEX('1 ubicaciones'!$E$2:$E$22,O46 + 1),NA()),NA())</f>
        <v>#N/A</v>
      </c>
      <c r="R46" t="str">
        <f>'4.Solución'!T16</f>
        <v xml:space="preserve"> </v>
      </c>
      <c r="S46" t="e">
        <f>IFERROR(IF(ISNUMBER(R46),INDEX('1 ubicaciones'!$D$2:$D$22,R46 + 1),NA()),NA())</f>
        <v>#N/A</v>
      </c>
      <c r="T46" t="e">
        <f>IFERROR(IF(ISNUMBER(R46),INDEX('1 ubicaciones'!$E$2:$E$22,R46 + 1),NA()),NA())</f>
        <v>#N/A</v>
      </c>
      <c r="U46" t="str">
        <f>'4.Solución'!AK16</f>
        <v xml:space="preserve"> </v>
      </c>
      <c r="V46" t="e">
        <f>IFERROR(IF(ISNUMBER(U46),INDEX('1 ubicaciones'!$D$2:$D$22,U46 + 1),NA()),NA())</f>
        <v>#N/A</v>
      </c>
      <c r="W46" t="e">
        <f>IFERROR(IF(ISNUMBER(U46),INDEX('1 ubicaciones'!$E$2:$E$22,U46 + 1),NA()),NA())</f>
        <v>#N/A</v>
      </c>
      <c r="X46" t="str">
        <f>'4.Solución'!BB16</f>
        <v xml:space="preserve"> </v>
      </c>
      <c r="Y46" t="e">
        <f>IFERROR(IF(ISNUMBER(X46),INDEX('1 ubicaciones'!$D$2:$D$22,X46 + 1),NA()),NA())</f>
        <v>#N/A</v>
      </c>
      <c r="Z46" t="e">
        <f>IFERROR(IF(ISNUMBER(X46),INDEX('1 ubicaciones'!$E$2:$E$22,X46 + 1),NA()),NA())</f>
        <v>#N/A</v>
      </c>
      <c r="AA46" t="str">
        <f>'4.Solución'!BS16</f>
        <v xml:space="preserve"> </v>
      </c>
      <c r="AB46" t="e">
        <f>IFERROR(IF(ISNUMBER(AA46),INDEX('1 ubicaciones'!$D$2:$D$22,AA46 + 1),NA()),NA())</f>
        <v>#N/A</v>
      </c>
      <c r="AC46" t="e">
        <f>IFERROR(IF(ISNUMBER(AA46),INDEX('1 ubicaciones'!$E$2:$E$22,AA46 + 1),NA()),NA())</f>
        <v>#N/A</v>
      </c>
      <c r="AD46" t="str">
        <f>'4.Solución'!CJ16</f>
        <v xml:space="preserve"> </v>
      </c>
      <c r="AE46" t="e">
        <f>IFERROR(IF(ISNUMBER(AD46),INDEX('1 ubicaciones'!$D$2:$D$22,AD46 + 1),NA()),NA())</f>
        <v>#N/A</v>
      </c>
      <c r="AF46" t="e">
        <f>IFERROR(IF(ISNUMBER(AD46),INDEX('1 ubicaciones'!$E$2:$E$22,AD46 + 1),NA()),NA())</f>
        <v>#N/A</v>
      </c>
      <c r="AG46" t="str">
        <f>'4.Solución'!DA16</f>
        <v xml:space="preserve"> </v>
      </c>
      <c r="AH46" t="e">
        <f>IFERROR(IF(ISNUMBER(AG46),INDEX('1 ubicaciones'!$D$2:$D$22,AG46 + 1),NA()),NA())</f>
        <v>#N/A</v>
      </c>
      <c r="AI46" t="e">
        <f>IFERROR(IF(ISNUMBER(AG46),INDEX('1 ubicaciones'!$E$2:$E$22,AG46 + 1),NA()),NA())</f>
        <v>#N/A</v>
      </c>
      <c r="AJ46" t="str">
        <f>'4.Solución'!DR16</f>
        <v xml:space="preserve"> </v>
      </c>
      <c r="AK46" t="e">
        <f>IFERROR(IF(ISNUMBER(AJ46),INDEX('1 ubicaciones'!$D$2:$D$22,AJ46 + 1),NA()),NA())</f>
        <v>#N/A</v>
      </c>
      <c r="AL46" t="e">
        <f>IFERROR(IF(ISNUMBER(AJ46),INDEX('1 ubicaciones'!$E$2:$E$22,AJ46 + 1),NA()),NA())</f>
        <v>#N/A</v>
      </c>
    </row>
    <row r="47" spans="15:38" x14ac:dyDescent="0.25">
      <c r="P47" t="e">
        <f>IF(AND(ISNUMBER(O46), ISNUMBER(O50)), INDEX('2.Distancias'!E3:J1446, (O46*38) + O50 + 1,1), NA())</f>
        <v>#N/A</v>
      </c>
      <c r="Q47" t="e">
        <f>IF(AND(ISNUMBER(O46), ISNUMBER(O50)), INDEX('2.Distancias'!E3:J1446, (O46*38) + O50 + 1,2), NA())</f>
        <v>#N/A</v>
      </c>
      <c r="S47" t="e">
        <f>IF(AND(ISNUMBER(R46), ISNUMBER(R50)), INDEX('2.Distancias'!E3:J1446, (R46*38) + R50 + 1,1), NA())</f>
        <v>#N/A</v>
      </c>
      <c r="T47" t="e">
        <f>IF(AND(ISNUMBER(R46), ISNUMBER(R50)), INDEX('2.Distancias'!E3:J1446, (R46*38) + R50 + 1,2), NA())</f>
        <v>#N/A</v>
      </c>
      <c r="V47" t="e">
        <f>IF(AND(ISNUMBER(U46), ISNUMBER(U50)), INDEX('2.Distancias'!E3:J1446, (U46*38) + U50 + 1,1), NA())</f>
        <v>#N/A</v>
      </c>
      <c r="W47" t="e">
        <f>IF(AND(ISNUMBER(U46), ISNUMBER(U50)), INDEX('2.Distancias'!E3:J1446, (U46*38) + U50 + 1,2), NA())</f>
        <v>#N/A</v>
      </c>
      <c r="Y47" t="e">
        <f>IF(AND(ISNUMBER(X46), ISNUMBER(X50)), INDEX('2.Distancias'!E3:J1446, (X46*38) + X50 + 1,1), NA())</f>
        <v>#N/A</v>
      </c>
      <c r="Z47" t="e">
        <f>IF(AND(ISNUMBER(X46), ISNUMBER(X50)), INDEX('2.Distancias'!E3:J1446, (X46*38) + X50 + 1,2), NA())</f>
        <v>#N/A</v>
      </c>
      <c r="AB47" t="e">
        <f>IF(AND(ISNUMBER(AA46), ISNUMBER(AA50)), INDEX('2.Distancias'!E3:J1446, (AA46*38) + AA50 + 1,1), NA())</f>
        <v>#N/A</v>
      </c>
      <c r="AC47" t="e">
        <f>IF(AND(ISNUMBER(AA46), ISNUMBER(AA50)), INDEX('2.Distancias'!E3:J1446, (AA46*38) + AA50 + 1,2), NA())</f>
        <v>#N/A</v>
      </c>
      <c r="AE47" t="e">
        <f>IF(AND(ISNUMBER(AD46), ISNUMBER(AD50)), INDEX('2.Distancias'!E3:J1446, (AD46*38) + AD50 + 1,1), NA())</f>
        <v>#N/A</v>
      </c>
      <c r="AF47" t="e">
        <f>IF(AND(ISNUMBER(AD46), ISNUMBER(AD50)), INDEX('2.Distancias'!E3:J1446, (AD46*38) + AD50 + 1,2), NA())</f>
        <v>#N/A</v>
      </c>
      <c r="AH47" t="e">
        <f>IF(AND(ISNUMBER(AG46), ISNUMBER(AG50)), INDEX('2.Distancias'!E3:J1446, (AG46*38) + AG50 + 1,1), NA())</f>
        <v>#N/A</v>
      </c>
      <c r="AI47" t="e">
        <f>IF(AND(ISNUMBER(AG46), ISNUMBER(AG50)), INDEX('2.Distancias'!E3:J1446, (AG46*38) + AG50 + 1,2), NA())</f>
        <v>#N/A</v>
      </c>
      <c r="AK47" t="e">
        <f>IF(AND(ISNUMBER(AJ46), ISNUMBER(AJ50)), INDEX('2.Distancias'!E3:J1446, (AJ46*38) + AJ50 + 1,1), NA())</f>
        <v>#N/A</v>
      </c>
      <c r="AL47" t="e">
        <f>IF(AND(ISNUMBER(AJ46), ISNUMBER(AJ50)), INDEX('2.Distancias'!E3:J1446, (AJ46*38) + AJ50 + 1,2), NA())</f>
        <v>#N/A</v>
      </c>
    </row>
    <row r="48" spans="15:38" x14ac:dyDescent="0.25">
      <c r="P48" t="e">
        <f>IF(AND(ISNUMBER(O46), ISNUMBER(O50)), INDEX('2.Distancias'!E3:J1446, (O46*38) + O50 + 1,3), NA())</f>
        <v>#N/A</v>
      </c>
      <c r="Q48" t="e">
        <f>IF(AND(ISNUMBER(O46), ISNUMBER(O50)), INDEX('2.Distancias'!E3:J1446, (O46*38) + O50 + 1,4), NA())</f>
        <v>#N/A</v>
      </c>
      <c r="S48" t="e">
        <f>IF(AND(ISNUMBER(R46), ISNUMBER(R50)), INDEX('2.Distancias'!E3:J1446, (R46*38) + R50 + 1,3), NA())</f>
        <v>#N/A</v>
      </c>
      <c r="T48" t="e">
        <f>IF(AND(ISNUMBER(R46), ISNUMBER(R50)), INDEX('2.Distancias'!E3:J1446, (R46*38) + R50 + 1,4), NA())</f>
        <v>#N/A</v>
      </c>
      <c r="V48" t="e">
        <f>IF(AND(ISNUMBER(U46), ISNUMBER(U50)), INDEX('2.Distancias'!E3:J1446, (U46*38) + U50 + 1,3), NA())</f>
        <v>#N/A</v>
      </c>
      <c r="W48" t="e">
        <f>IF(AND(ISNUMBER(U46), ISNUMBER(U50)), INDEX('2.Distancias'!E3:J1446, (U46*38) + U50 + 1,4), NA())</f>
        <v>#N/A</v>
      </c>
      <c r="Y48" t="e">
        <f>IF(AND(ISNUMBER(X46), ISNUMBER(X50)), INDEX('2.Distancias'!E3:J1446, (X46*38) + X50 + 1,3), NA())</f>
        <v>#N/A</v>
      </c>
      <c r="Z48" t="e">
        <f>IF(AND(ISNUMBER(X46), ISNUMBER(X50)), INDEX('2.Distancias'!E3:J1446, (X46*38) + X50 + 1,4), NA())</f>
        <v>#N/A</v>
      </c>
      <c r="AB48" t="e">
        <f>IF(AND(ISNUMBER(AA46), ISNUMBER(AA50)), INDEX('2.Distancias'!E3:J1446, (AA46*38) + AA50 + 1,3), NA())</f>
        <v>#N/A</v>
      </c>
      <c r="AC48" t="e">
        <f>IF(AND(ISNUMBER(AA46), ISNUMBER(AA50)), INDEX('2.Distancias'!E3:J1446, (AA46*38) + AA50 + 1,4), NA())</f>
        <v>#N/A</v>
      </c>
      <c r="AE48" t="e">
        <f>IF(AND(ISNUMBER(AD46), ISNUMBER(AD50)), INDEX('2.Distancias'!E3:J1446, (AD46*38) + AD50 + 1,3), NA())</f>
        <v>#N/A</v>
      </c>
      <c r="AF48" t="e">
        <f>IF(AND(ISNUMBER(AD46), ISNUMBER(AD50)), INDEX('2.Distancias'!E3:J1446, (AD46*38) + AD50 + 1,4), NA())</f>
        <v>#N/A</v>
      </c>
      <c r="AH48" t="e">
        <f>IF(AND(ISNUMBER(AG46), ISNUMBER(AG50)), INDEX('2.Distancias'!E3:J1446, (AG46*38) + AG50 + 1,3), NA())</f>
        <v>#N/A</v>
      </c>
      <c r="AI48" t="e">
        <f>IF(AND(ISNUMBER(AG46), ISNUMBER(AG50)), INDEX('2.Distancias'!E3:J1446, (AG46*38) + AG50 + 1,4), NA())</f>
        <v>#N/A</v>
      </c>
      <c r="AK48" t="e">
        <f>IF(AND(ISNUMBER(AJ46), ISNUMBER(AJ50)), INDEX('2.Distancias'!E3:J1446, (AJ46*38) + AJ50 + 1,3), NA())</f>
        <v>#N/A</v>
      </c>
      <c r="AL48" t="e">
        <f>IF(AND(ISNUMBER(AJ46), ISNUMBER(AJ50)), INDEX('2.Distancias'!E3:J1446, (AJ46*38) + AJ50 + 1,4), NA())</f>
        <v>#N/A</v>
      </c>
    </row>
    <row r="49" spans="15:38" x14ac:dyDescent="0.25">
      <c r="P49" t="e">
        <f>IF(AND(ISNUMBER(O46), ISNUMBER(O50)), INDEX('2.Distancias'!E3:J1446, (O46*38) + O50 + 1,5), NA())</f>
        <v>#N/A</v>
      </c>
      <c r="Q49" t="e">
        <f>IF(AND(ISNUMBER(O46), ISNUMBER(O50)), INDEX('2.Distancias'!E3:J1446, (O46*38) + O50 + 1,6), NA())</f>
        <v>#N/A</v>
      </c>
      <c r="S49" t="e">
        <f>IF(AND(ISNUMBER(R46), ISNUMBER(R50)), INDEX('2.Distancias'!E3:J1446, (R46*38) + R50 + 1,5), NA())</f>
        <v>#N/A</v>
      </c>
      <c r="T49" t="e">
        <f>IF(AND(ISNUMBER(R46), ISNUMBER(R50)), INDEX('2.Distancias'!E3:J1446, (R46*38) + R50 + 1,6), NA())</f>
        <v>#N/A</v>
      </c>
      <c r="V49" t="e">
        <f>IF(AND(ISNUMBER(U46), ISNUMBER(U50)), INDEX('2.Distancias'!E3:J1446, (U46*38) + U50 + 1,5), NA())</f>
        <v>#N/A</v>
      </c>
      <c r="W49" t="e">
        <f>IF(AND(ISNUMBER(U46), ISNUMBER(U50)), INDEX('2.Distancias'!E3:J1446, (U46*38) + U50 + 1,6), NA())</f>
        <v>#N/A</v>
      </c>
      <c r="Y49" t="e">
        <f>IF(AND(ISNUMBER(X46), ISNUMBER(X50)), INDEX('2.Distancias'!E3:J1446, (X46*38) + X50 + 1,5), NA())</f>
        <v>#N/A</v>
      </c>
      <c r="Z49" t="e">
        <f>IF(AND(ISNUMBER(X46), ISNUMBER(X50)), INDEX('2.Distancias'!E3:J1446, (X46*38) + X50 + 1,6), NA())</f>
        <v>#N/A</v>
      </c>
      <c r="AB49" t="e">
        <f>IF(AND(ISNUMBER(AA46), ISNUMBER(AA50)), INDEX('2.Distancias'!E3:J1446, (AA46*38) + AA50 + 1,5), NA())</f>
        <v>#N/A</v>
      </c>
      <c r="AC49" t="e">
        <f>IF(AND(ISNUMBER(AA46), ISNUMBER(AA50)), INDEX('2.Distancias'!E3:J1446, (AA46*38) + AA50 + 1,6), NA())</f>
        <v>#N/A</v>
      </c>
      <c r="AE49" t="e">
        <f>IF(AND(ISNUMBER(AD46), ISNUMBER(AD50)), INDEX('2.Distancias'!E3:J1446, (AD46*38) + AD50 + 1,5), NA())</f>
        <v>#N/A</v>
      </c>
      <c r="AF49" t="e">
        <f>IF(AND(ISNUMBER(AD46), ISNUMBER(AD50)), INDEX('2.Distancias'!E3:J1446, (AD46*38) + AD50 + 1,6), NA())</f>
        <v>#N/A</v>
      </c>
      <c r="AH49" t="e">
        <f>IF(AND(ISNUMBER(AG46), ISNUMBER(AG50)), INDEX('2.Distancias'!E3:J1446, (AG46*38) + AG50 + 1,5), NA())</f>
        <v>#N/A</v>
      </c>
      <c r="AI49" t="e">
        <f>IF(AND(ISNUMBER(AG46), ISNUMBER(AG50)), INDEX('2.Distancias'!E3:J1446, (AG46*38) + AG50 + 1,6), NA())</f>
        <v>#N/A</v>
      </c>
      <c r="AK49" t="e">
        <f>IF(AND(ISNUMBER(AJ46), ISNUMBER(AJ50)), INDEX('2.Distancias'!E3:J1446, (AJ46*38) + AJ50 + 1,5), NA())</f>
        <v>#N/A</v>
      </c>
      <c r="AL49" t="e">
        <f>IF(AND(ISNUMBER(AJ46), ISNUMBER(AJ50)), INDEX('2.Distancias'!E3:J1446, (AJ46*38) + AJ50 + 1,6), NA())</f>
        <v>#N/A</v>
      </c>
    </row>
    <row r="50" spans="15:38" x14ac:dyDescent="0.25">
      <c r="O50" t="str">
        <f>'4.Solución'!C17</f>
        <v xml:space="preserve"> </v>
      </c>
      <c r="P50" t="e">
        <f>IFERROR(IF(ISNUMBER(O50),INDEX('1 ubicaciones'!$D$2:$D$22,O50 + 1),NA()),NA())</f>
        <v>#N/A</v>
      </c>
      <c r="Q50" t="e">
        <f>IFERROR(IF(ISNUMBER(O50),INDEX('1 ubicaciones'!$E$2:$E$22,O50 + 1),NA()),NA())</f>
        <v>#N/A</v>
      </c>
      <c r="R50" t="str">
        <f>'4.Solución'!T17</f>
        <v xml:space="preserve"> </v>
      </c>
      <c r="S50" t="e">
        <f>IFERROR(IF(ISNUMBER(R50),INDEX('1 ubicaciones'!$D$2:$D$22,R50 + 1),NA()),NA())</f>
        <v>#N/A</v>
      </c>
      <c r="T50" t="e">
        <f>IFERROR(IF(ISNUMBER(R50),INDEX('1 ubicaciones'!$E$2:$E$22,R50 + 1),NA()),NA())</f>
        <v>#N/A</v>
      </c>
      <c r="U50" t="str">
        <f>'4.Solución'!AK17</f>
        <v xml:space="preserve"> </v>
      </c>
      <c r="V50" t="e">
        <f>IFERROR(IF(ISNUMBER(U50),INDEX('1 ubicaciones'!$D$2:$D$22,U50 + 1),NA()),NA())</f>
        <v>#N/A</v>
      </c>
      <c r="W50" t="e">
        <f>IFERROR(IF(ISNUMBER(U50),INDEX('1 ubicaciones'!$E$2:$E$22,U50 + 1),NA()),NA())</f>
        <v>#N/A</v>
      </c>
      <c r="X50" t="str">
        <f>'4.Solución'!BB17</f>
        <v xml:space="preserve"> </v>
      </c>
      <c r="Y50" t="e">
        <f>IFERROR(IF(ISNUMBER(X50),INDEX('1 ubicaciones'!$D$2:$D$22,X50 + 1),NA()),NA())</f>
        <v>#N/A</v>
      </c>
      <c r="Z50" t="e">
        <f>IFERROR(IF(ISNUMBER(X50),INDEX('1 ubicaciones'!$E$2:$E$22,X50 + 1),NA()),NA())</f>
        <v>#N/A</v>
      </c>
      <c r="AA50" t="str">
        <f>'4.Solución'!BS17</f>
        <v xml:space="preserve"> </v>
      </c>
      <c r="AB50" t="e">
        <f>IFERROR(IF(ISNUMBER(AA50),INDEX('1 ubicaciones'!$D$2:$D$22,AA50 + 1),NA()),NA())</f>
        <v>#N/A</v>
      </c>
      <c r="AC50" t="e">
        <f>IFERROR(IF(ISNUMBER(AA50),INDEX('1 ubicaciones'!$E$2:$E$22,AA50 + 1),NA()),NA())</f>
        <v>#N/A</v>
      </c>
      <c r="AD50" t="str">
        <f>'4.Solución'!CJ17</f>
        <v xml:space="preserve"> </v>
      </c>
      <c r="AE50" t="e">
        <f>IFERROR(IF(ISNUMBER(AD50),INDEX('1 ubicaciones'!$D$2:$D$22,AD50 + 1),NA()),NA())</f>
        <v>#N/A</v>
      </c>
      <c r="AF50" t="e">
        <f>IFERROR(IF(ISNUMBER(AD50),INDEX('1 ubicaciones'!$E$2:$E$22,AD50 + 1),NA()),NA())</f>
        <v>#N/A</v>
      </c>
      <c r="AG50" t="str">
        <f>'4.Solución'!DA17</f>
        <v xml:space="preserve"> </v>
      </c>
      <c r="AH50" t="e">
        <f>IFERROR(IF(ISNUMBER(AG50),INDEX('1 ubicaciones'!$D$2:$D$22,AG50 + 1),NA()),NA())</f>
        <v>#N/A</v>
      </c>
      <c r="AI50" t="e">
        <f>IFERROR(IF(ISNUMBER(AG50),INDEX('1 ubicaciones'!$E$2:$E$22,AG50 + 1),NA()),NA())</f>
        <v>#N/A</v>
      </c>
      <c r="AJ50" t="str">
        <f>'4.Solución'!DR17</f>
        <v xml:space="preserve"> </v>
      </c>
      <c r="AK50" t="e">
        <f>IFERROR(IF(ISNUMBER(AJ50),INDEX('1 ubicaciones'!$D$2:$D$22,AJ50 + 1),NA()),NA())</f>
        <v>#N/A</v>
      </c>
      <c r="AL50" t="e">
        <f>IFERROR(IF(ISNUMBER(AJ50),INDEX('1 ubicaciones'!$E$2:$E$22,AJ50 + 1),NA()),NA())</f>
        <v>#N/A</v>
      </c>
    </row>
    <row r="51" spans="15:38" x14ac:dyDescent="0.25">
      <c r="P51" t="e">
        <f>IF(AND(ISNUMBER(O50), ISNUMBER(O54)), INDEX('2.Distancias'!E3:J1446, (O50*38) + O54 + 1,1), NA())</f>
        <v>#N/A</v>
      </c>
      <c r="Q51" t="e">
        <f>IF(AND(ISNUMBER(O50), ISNUMBER(O54)), INDEX('2.Distancias'!E3:J1446, (O50*38) + O54 + 1,2), NA())</f>
        <v>#N/A</v>
      </c>
      <c r="S51" t="e">
        <f>IF(AND(ISNUMBER(R50), ISNUMBER(R54)), INDEX('2.Distancias'!E3:J1446, (R50*38) + R54 + 1,1), NA())</f>
        <v>#N/A</v>
      </c>
      <c r="T51" t="e">
        <f>IF(AND(ISNUMBER(R50), ISNUMBER(R54)), INDEX('2.Distancias'!E3:J1446, (R50*38) + R54 + 1,2), NA())</f>
        <v>#N/A</v>
      </c>
      <c r="V51" t="e">
        <f>IF(AND(ISNUMBER(U50), ISNUMBER(U54)), INDEX('2.Distancias'!E3:J1446, (U50*38) + U54 + 1,1), NA())</f>
        <v>#N/A</v>
      </c>
      <c r="W51" t="e">
        <f>IF(AND(ISNUMBER(U50), ISNUMBER(U54)), INDEX('2.Distancias'!E3:J1446, (U50*38) + U54 + 1,2), NA())</f>
        <v>#N/A</v>
      </c>
      <c r="Y51" t="e">
        <f>IF(AND(ISNUMBER(X50), ISNUMBER(X54)), INDEX('2.Distancias'!E3:J1446, (X50*38) + X54 + 1,1), NA())</f>
        <v>#N/A</v>
      </c>
      <c r="Z51" t="e">
        <f>IF(AND(ISNUMBER(X50), ISNUMBER(X54)), INDEX('2.Distancias'!E3:J1446, (X50*38) + X54 + 1,2), NA())</f>
        <v>#N/A</v>
      </c>
      <c r="AB51" t="e">
        <f>IF(AND(ISNUMBER(AA50), ISNUMBER(AA54)), INDEX('2.Distancias'!E3:J1446, (AA50*38) + AA54 + 1,1), NA())</f>
        <v>#N/A</v>
      </c>
      <c r="AC51" t="e">
        <f>IF(AND(ISNUMBER(AA50), ISNUMBER(AA54)), INDEX('2.Distancias'!E3:J1446, (AA50*38) + AA54 + 1,2), NA())</f>
        <v>#N/A</v>
      </c>
      <c r="AE51" t="e">
        <f>IF(AND(ISNUMBER(AD50), ISNUMBER(AD54)), INDEX('2.Distancias'!E3:J1446, (AD50*38) + AD54 + 1,1), NA())</f>
        <v>#N/A</v>
      </c>
      <c r="AF51" t="e">
        <f>IF(AND(ISNUMBER(AD50), ISNUMBER(AD54)), INDEX('2.Distancias'!E3:J1446, (AD50*38) + AD54 + 1,2), NA())</f>
        <v>#N/A</v>
      </c>
      <c r="AH51" t="e">
        <f>IF(AND(ISNUMBER(AG50), ISNUMBER(AG54)), INDEX('2.Distancias'!E3:J1446, (AG50*38) + AG54 + 1,1), NA())</f>
        <v>#N/A</v>
      </c>
      <c r="AI51" t="e">
        <f>IF(AND(ISNUMBER(AG50), ISNUMBER(AG54)), INDEX('2.Distancias'!E3:J1446, (AG50*38) + AG54 + 1,2), NA())</f>
        <v>#N/A</v>
      </c>
      <c r="AK51" t="e">
        <f>IF(AND(ISNUMBER(AJ50), ISNUMBER(AJ54)), INDEX('2.Distancias'!E3:J1446, (AJ50*38) + AJ54 + 1,1), NA())</f>
        <v>#N/A</v>
      </c>
      <c r="AL51" t="e">
        <f>IF(AND(ISNUMBER(AJ50), ISNUMBER(AJ54)), INDEX('2.Distancias'!E3:J1446, (AJ50*38) + AJ54 + 1,2), NA())</f>
        <v>#N/A</v>
      </c>
    </row>
    <row r="52" spans="15:38" x14ac:dyDescent="0.25">
      <c r="P52" t="e">
        <f>IF(AND(ISNUMBER(O50), ISNUMBER(O54)), INDEX('2.Distancias'!E3:J1446, (O50*38) + O54 + 1,3), NA())</f>
        <v>#N/A</v>
      </c>
      <c r="Q52" t="e">
        <f>IF(AND(ISNUMBER(O50), ISNUMBER(O54)), INDEX('2.Distancias'!E3:J1446, (O50*38) + O54 + 1,4), NA())</f>
        <v>#N/A</v>
      </c>
      <c r="S52" t="e">
        <f>IF(AND(ISNUMBER(R50), ISNUMBER(R54)), INDEX('2.Distancias'!E3:J1446, (R50*38) + R54 + 1,3), NA())</f>
        <v>#N/A</v>
      </c>
      <c r="T52" t="e">
        <f>IF(AND(ISNUMBER(R50), ISNUMBER(R54)), INDEX('2.Distancias'!E3:J1446, (R50*38) + R54 + 1,4), NA())</f>
        <v>#N/A</v>
      </c>
      <c r="V52" t="e">
        <f>IF(AND(ISNUMBER(U50), ISNUMBER(U54)), INDEX('2.Distancias'!E3:J1446, (U50*38) + U54 + 1,3), NA())</f>
        <v>#N/A</v>
      </c>
      <c r="W52" t="e">
        <f>IF(AND(ISNUMBER(U50), ISNUMBER(U54)), INDEX('2.Distancias'!E3:J1446, (U50*38) + U54 + 1,4), NA())</f>
        <v>#N/A</v>
      </c>
      <c r="Y52" t="e">
        <f>IF(AND(ISNUMBER(X50), ISNUMBER(X54)), INDEX('2.Distancias'!E3:J1446, (X50*38) + X54 + 1,3), NA())</f>
        <v>#N/A</v>
      </c>
      <c r="Z52" t="e">
        <f>IF(AND(ISNUMBER(X50), ISNUMBER(X54)), INDEX('2.Distancias'!E3:J1446, (X50*38) + X54 + 1,4), NA())</f>
        <v>#N/A</v>
      </c>
      <c r="AB52" t="e">
        <f>IF(AND(ISNUMBER(AA50), ISNUMBER(AA54)), INDEX('2.Distancias'!E3:J1446, (AA50*38) + AA54 + 1,3), NA())</f>
        <v>#N/A</v>
      </c>
      <c r="AC52" t="e">
        <f>IF(AND(ISNUMBER(AA50), ISNUMBER(AA54)), INDEX('2.Distancias'!E3:J1446, (AA50*38) + AA54 + 1,4), NA())</f>
        <v>#N/A</v>
      </c>
      <c r="AE52" t="e">
        <f>IF(AND(ISNUMBER(AD50), ISNUMBER(AD54)), INDEX('2.Distancias'!E3:J1446, (AD50*38) + AD54 + 1,3), NA())</f>
        <v>#N/A</v>
      </c>
      <c r="AF52" t="e">
        <f>IF(AND(ISNUMBER(AD50), ISNUMBER(AD54)), INDEX('2.Distancias'!E3:J1446, (AD50*38) + AD54 + 1,4), NA())</f>
        <v>#N/A</v>
      </c>
      <c r="AH52" t="e">
        <f>IF(AND(ISNUMBER(AG50), ISNUMBER(AG54)), INDEX('2.Distancias'!E3:J1446, (AG50*38) + AG54 + 1,3), NA())</f>
        <v>#N/A</v>
      </c>
      <c r="AI52" t="e">
        <f>IF(AND(ISNUMBER(AG50), ISNUMBER(AG54)), INDEX('2.Distancias'!E3:J1446, (AG50*38) + AG54 + 1,4), NA())</f>
        <v>#N/A</v>
      </c>
      <c r="AK52" t="e">
        <f>IF(AND(ISNUMBER(AJ50), ISNUMBER(AJ54)), INDEX('2.Distancias'!E3:J1446, (AJ50*38) + AJ54 + 1,3), NA())</f>
        <v>#N/A</v>
      </c>
      <c r="AL52" t="e">
        <f>IF(AND(ISNUMBER(AJ50), ISNUMBER(AJ54)), INDEX('2.Distancias'!E3:J1446, (AJ50*38) + AJ54 + 1,4), NA())</f>
        <v>#N/A</v>
      </c>
    </row>
    <row r="53" spans="15:38" x14ac:dyDescent="0.25">
      <c r="P53" t="e">
        <f>IF(AND(ISNUMBER(O50), ISNUMBER(O54)), INDEX('2.Distancias'!E3:J1446, (O50*38) + O54 + 1,5), NA())</f>
        <v>#N/A</v>
      </c>
      <c r="Q53" t="e">
        <f>IF(AND(ISNUMBER(O50), ISNUMBER(O54)), INDEX('2.Distancias'!E3:J1446, (O50*38) + O54 + 1,6), NA())</f>
        <v>#N/A</v>
      </c>
      <c r="S53" t="e">
        <f>IF(AND(ISNUMBER(R50), ISNUMBER(R54)), INDEX('2.Distancias'!E3:J1446, (R50*38) + R54 + 1,5), NA())</f>
        <v>#N/A</v>
      </c>
      <c r="T53" t="e">
        <f>IF(AND(ISNUMBER(R50), ISNUMBER(R54)), INDEX('2.Distancias'!E3:J1446, (R50*38) + R54 + 1,6), NA())</f>
        <v>#N/A</v>
      </c>
      <c r="V53" t="e">
        <f>IF(AND(ISNUMBER(U50), ISNUMBER(U54)), INDEX('2.Distancias'!E3:J1446, (U50*38) + U54 + 1,5), NA())</f>
        <v>#N/A</v>
      </c>
      <c r="W53" t="e">
        <f>IF(AND(ISNUMBER(U50), ISNUMBER(U54)), INDEX('2.Distancias'!E3:J1446, (U50*38) + U54 + 1,6), NA())</f>
        <v>#N/A</v>
      </c>
      <c r="Y53" t="e">
        <f>IF(AND(ISNUMBER(X50), ISNUMBER(X54)), INDEX('2.Distancias'!E3:J1446, (X50*38) + X54 + 1,5), NA())</f>
        <v>#N/A</v>
      </c>
      <c r="Z53" t="e">
        <f>IF(AND(ISNUMBER(X50), ISNUMBER(X54)), INDEX('2.Distancias'!E3:J1446, (X50*38) + X54 + 1,6), NA())</f>
        <v>#N/A</v>
      </c>
      <c r="AB53" t="e">
        <f>IF(AND(ISNUMBER(AA50), ISNUMBER(AA54)), INDEX('2.Distancias'!E3:J1446, (AA50*38) + AA54 + 1,5), NA())</f>
        <v>#N/A</v>
      </c>
      <c r="AC53" t="e">
        <f>IF(AND(ISNUMBER(AA50), ISNUMBER(AA54)), INDEX('2.Distancias'!E3:J1446, (AA50*38) + AA54 + 1,6), NA())</f>
        <v>#N/A</v>
      </c>
      <c r="AE53" t="e">
        <f>IF(AND(ISNUMBER(AD50), ISNUMBER(AD54)), INDEX('2.Distancias'!E3:J1446, (AD50*38) + AD54 + 1,5), NA())</f>
        <v>#N/A</v>
      </c>
      <c r="AF53" t="e">
        <f>IF(AND(ISNUMBER(AD50), ISNUMBER(AD54)), INDEX('2.Distancias'!E3:J1446, (AD50*38) + AD54 + 1,6), NA())</f>
        <v>#N/A</v>
      </c>
      <c r="AH53" t="e">
        <f>IF(AND(ISNUMBER(AG50), ISNUMBER(AG54)), INDEX('2.Distancias'!E3:J1446, (AG50*38) + AG54 + 1,5), NA())</f>
        <v>#N/A</v>
      </c>
      <c r="AI53" t="e">
        <f>IF(AND(ISNUMBER(AG50), ISNUMBER(AG54)), INDEX('2.Distancias'!E3:J1446, (AG50*38) + AG54 + 1,6), NA())</f>
        <v>#N/A</v>
      </c>
      <c r="AK53" t="e">
        <f>IF(AND(ISNUMBER(AJ50), ISNUMBER(AJ54)), INDEX('2.Distancias'!E3:J1446, (AJ50*38) + AJ54 + 1,5), NA())</f>
        <v>#N/A</v>
      </c>
      <c r="AL53" t="e">
        <f>IF(AND(ISNUMBER(AJ50), ISNUMBER(AJ54)), INDEX('2.Distancias'!E3:J1446, (AJ50*38) + AJ54 + 1,6), NA())</f>
        <v>#N/A</v>
      </c>
    </row>
    <row r="54" spans="15:38" x14ac:dyDescent="0.25">
      <c r="O54" t="str">
        <f>'4.Solución'!C18</f>
        <v xml:space="preserve"> </v>
      </c>
      <c r="P54" t="e">
        <f>IFERROR(IF(ISNUMBER(O54),INDEX('1 ubicaciones'!$D$2:$D$22,O54 + 1),NA()),NA())</f>
        <v>#N/A</v>
      </c>
      <c r="Q54" t="e">
        <f>IFERROR(IF(ISNUMBER(O54),INDEX('1 ubicaciones'!$E$2:$E$22,O54 + 1),NA()),NA())</f>
        <v>#N/A</v>
      </c>
      <c r="R54" t="str">
        <f>'4.Solución'!T18</f>
        <v xml:space="preserve"> </v>
      </c>
      <c r="S54" t="e">
        <f>IFERROR(IF(ISNUMBER(R54),INDEX('1 ubicaciones'!$D$2:$D$22,R54 + 1),NA()),NA())</f>
        <v>#N/A</v>
      </c>
      <c r="T54" t="e">
        <f>IFERROR(IF(ISNUMBER(R54),INDEX('1 ubicaciones'!$E$2:$E$22,R54 + 1),NA()),NA())</f>
        <v>#N/A</v>
      </c>
      <c r="U54" t="str">
        <f>'4.Solución'!AK18</f>
        <v xml:space="preserve"> </v>
      </c>
      <c r="V54" t="e">
        <f>IFERROR(IF(ISNUMBER(U54),INDEX('1 ubicaciones'!$D$2:$D$22,U54 + 1),NA()),NA())</f>
        <v>#N/A</v>
      </c>
      <c r="W54" t="e">
        <f>IFERROR(IF(ISNUMBER(U54),INDEX('1 ubicaciones'!$E$2:$E$22,U54 + 1),NA()),NA())</f>
        <v>#N/A</v>
      </c>
      <c r="X54" t="str">
        <f>'4.Solución'!BB18</f>
        <v xml:space="preserve"> </v>
      </c>
      <c r="Y54" t="e">
        <f>IFERROR(IF(ISNUMBER(X54),INDEX('1 ubicaciones'!$D$2:$D$22,X54 + 1),NA()),NA())</f>
        <v>#N/A</v>
      </c>
      <c r="Z54" t="e">
        <f>IFERROR(IF(ISNUMBER(X54),INDEX('1 ubicaciones'!$E$2:$E$22,X54 + 1),NA()),NA())</f>
        <v>#N/A</v>
      </c>
      <c r="AA54" t="str">
        <f>'4.Solución'!BS18</f>
        <v xml:space="preserve"> </v>
      </c>
      <c r="AB54" t="e">
        <f>IFERROR(IF(ISNUMBER(AA54),INDEX('1 ubicaciones'!$D$2:$D$22,AA54 + 1),NA()),NA())</f>
        <v>#N/A</v>
      </c>
      <c r="AC54" t="e">
        <f>IFERROR(IF(ISNUMBER(AA54),INDEX('1 ubicaciones'!$E$2:$E$22,AA54 + 1),NA()),NA())</f>
        <v>#N/A</v>
      </c>
      <c r="AD54" t="str">
        <f>'4.Solución'!CJ18</f>
        <v xml:space="preserve"> </v>
      </c>
      <c r="AE54" t="e">
        <f>IFERROR(IF(ISNUMBER(AD54),INDEX('1 ubicaciones'!$D$2:$D$22,AD54 + 1),NA()),NA())</f>
        <v>#N/A</v>
      </c>
      <c r="AF54" t="e">
        <f>IFERROR(IF(ISNUMBER(AD54),INDEX('1 ubicaciones'!$E$2:$E$22,AD54 + 1),NA()),NA())</f>
        <v>#N/A</v>
      </c>
      <c r="AG54" t="str">
        <f>'4.Solución'!DA18</f>
        <v xml:space="preserve"> </v>
      </c>
      <c r="AH54" t="e">
        <f>IFERROR(IF(ISNUMBER(AG54),INDEX('1 ubicaciones'!$D$2:$D$22,AG54 + 1),NA()),NA())</f>
        <v>#N/A</v>
      </c>
      <c r="AI54" t="e">
        <f>IFERROR(IF(ISNUMBER(AG54),INDEX('1 ubicaciones'!$E$2:$E$22,AG54 + 1),NA()),NA())</f>
        <v>#N/A</v>
      </c>
      <c r="AJ54" t="str">
        <f>'4.Solución'!DR18</f>
        <v xml:space="preserve"> </v>
      </c>
      <c r="AK54" t="e">
        <f>IFERROR(IF(ISNUMBER(AJ54),INDEX('1 ubicaciones'!$D$2:$D$22,AJ54 + 1),NA()),NA())</f>
        <v>#N/A</v>
      </c>
      <c r="AL54" t="e">
        <f>IFERROR(IF(ISNUMBER(AJ54),INDEX('1 ubicaciones'!$E$2:$E$22,AJ54 + 1),NA()),NA())</f>
        <v>#N/A</v>
      </c>
    </row>
    <row r="55" spans="15:38" x14ac:dyDescent="0.25">
      <c r="P55" t="e">
        <f>IF(AND(ISNUMBER(O54), ISNUMBER(O58)), INDEX('2.Distancias'!E3:J1446, (O54*38) + O58 + 1,1), NA())</f>
        <v>#N/A</v>
      </c>
      <c r="Q55" t="e">
        <f>IF(AND(ISNUMBER(O54), ISNUMBER(O58)), INDEX('2.Distancias'!E3:J1446, (O54*38) + O58 + 1,2), NA())</f>
        <v>#N/A</v>
      </c>
      <c r="S55" t="e">
        <f>IF(AND(ISNUMBER(R54), ISNUMBER(R58)), INDEX('2.Distancias'!E3:J1446, (R54*38) + R58 + 1,1), NA())</f>
        <v>#N/A</v>
      </c>
      <c r="T55" t="e">
        <f>IF(AND(ISNUMBER(R54), ISNUMBER(R58)), INDEX('2.Distancias'!E3:J1446, (R54*38) + R58 + 1,2), NA())</f>
        <v>#N/A</v>
      </c>
      <c r="V55" t="e">
        <f>IF(AND(ISNUMBER(U54), ISNUMBER(U58)), INDEX('2.Distancias'!E3:J1446, (U54*38) + U58 + 1,1), NA())</f>
        <v>#N/A</v>
      </c>
      <c r="W55" t="e">
        <f>IF(AND(ISNUMBER(U54), ISNUMBER(U58)), INDEX('2.Distancias'!E3:J1446, (U54*38) + U58 + 1,2), NA())</f>
        <v>#N/A</v>
      </c>
      <c r="Y55" t="e">
        <f>IF(AND(ISNUMBER(X54), ISNUMBER(X58)), INDEX('2.Distancias'!E3:J1446, (X54*38) + X58 + 1,1), NA())</f>
        <v>#N/A</v>
      </c>
      <c r="Z55" t="e">
        <f>IF(AND(ISNUMBER(X54), ISNUMBER(X58)), INDEX('2.Distancias'!E3:J1446, (X54*38) + X58 + 1,2), NA())</f>
        <v>#N/A</v>
      </c>
      <c r="AB55" t="e">
        <f>IF(AND(ISNUMBER(AA54), ISNUMBER(AA58)), INDEX('2.Distancias'!E3:J1446, (AA54*38) + AA58 + 1,1), NA())</f>
        <v>#N/A</v>
      </c>
      <c r="AC55" t="e">
        <f>IF(AND(ISNUMBER(AA54), ISNUMBER(AA58)), INDEX('2.Distancias'!E3:J1446, (AA54*38) + AA58 + 1,2), NA())</f>
        <v>#N/A</v>
      </c>
      <c r="AE55" t="e">
        <f>IF(AND(ISNUMBER(AD54), ISNUMBER(AD58)), INDEX('2.Distancias'!E3:J1446, (AD54*38) + AD58 + 1,1), NA())</f>
        <v>#N/A</v>
      </c>
      <c r="AF55" t="e">
        <f>IF(AND(ISNUMBER(AD54), ISNUMBER(AD58)), INDEX('2.Distancias'!E3:J1446, (AD54*38) + AD58 + 1,2), NA())</f>
        <v>#N/A</v>
      </c>
      <c r="AH55" t="e">
        <f>IF(AND(ISNUMBER(AG54), ISNUMBER(AG58)), INDEX('2.Distancias'!E3:J1446, (AG54*38) + AG58 + 1,1), NA())</f>
        <v>#N/A</v>
      </c>
      <c r="AI55" t="e">
        <f>IF(AND(ISNUMBER(AG54), ISNUMBER(AG58)), INDEX('2.Distancias'!E3:J1446, (AG54*38) + AG58 + 1,2), NA())</f>
        <v>#N/A</v>
      </c>
      <c r="AK55" t="e">
        <f>IF(AND(ISNUMBER(AJ54), ISNUMBER(AJ58)), INDEX('2.Distancias'!E3:J1446, (AJ54*38) + AJ58 + 1,1), NA())</f>
        <v>#N/A</v>
      </c>
      <c r="AL55" t="e">
        <f>IF(AND(ISNUMBER(AJ54), ISNUMBER(AJ58)), INDEX('2.Distancias'!E3:J1446, (AJ54*38) + AJ58 + 1,2), NA())</f>
        <v>#N/A</v>
      </c>
    </row>
    <row r="56" spans="15:38" x14ac:dyDescent="0.25">
      <c r="P56" t="e">
        <f>IF(AND(ISNUMBER(O54), ISNUMBER(O58)), INDEX('2.Distancias'!E3:J1446, (O54*38) + O58 + 1,3), NA())</f>
        <v>#N/A</v>
      </c>
      <c r="Q56" t="e">
        <f>IF(AND(ISNUMBER(O54), ISNUMBER(O58)), INDEX('2.Distancias'!E3:J1446, (O54*38) + O58 + 1,4), NA())</f>
        <v>#N/A</v>
      </c>
      <c r="S56" t="e">
        <f>IF(AND(ISNUMBER(R54), ISNUMBER(R58)), INDEX('2.Distancias'!E3:J1446, (R54*38) + R58 + 1,3), NA())</f>
        <v>#N/A</v>
      </c>
      <c r="T56" t="e">
        <f>IF(AND(ISNUMBER(R54), ISNUMBER(R58)), INDEX('2.Distancias'!E3:J1446, (R54*38) + R58 + 1,4), NA())</f>
        <v>#N/A</v>
      </c>
      <c r="V56" t="e">
        <f>IF(AND(ISNUMBER(U54), ISNUMBER(U58)), INDEX('2.Distancias'!E3:J1446, (U54*38) + U58 + 1,3), NA())</f>
        <v>#N/A</v>
      </c>
      <c r="W56" t="e">
        <f>IF(AND(ISNUMBER(U54), ISNUMBER(U58)), INDEX('2.Distancias'!E3:J1446, (U54*38) + U58 + 1,4), NA())</f>
        <v>#N/A</v>
      </c>
      <c r="Y56" t="e">
        <f>IF(AND(ISNUMBER(X54), ISNUMBER(X58)), INDEX('2.Distancias'!E3:J1446, (X54*38) + X58 + 1,3), NA())</f>
        <v>#N/A</v>
      </c>
      <c r="Z56" t="e">
        <f>IF(AND(ISNUMBER(X54), ISNUMBER(X58)), INDEX('2.Distancias'!E3:J1446, (X54*38) + X58 + 1,4), NA())</f>
        <v>#N/A</v>
      </c>
      <c r="AB56" t="e">
        <f>IF(AND(ISNUMBER(AA54), ISNUMBER(AA58)), INDEX('2.Distancias'!E3:J1446, (AA54*38) + AA58 + 1,3), NA())</f>
        <v>#N/A</v>
      </c>
      <c r="AC56" t="e">
        <f>IF(AND(ISNUMBER(AA54), ISNUMBER(AA58)), INDEX('2.Distancias'!E3:J1446, (AA54*38) + AA58 + 1,4), NA())</f>
        <v>#N/A</v>
      </c>
      <c r="AE56" t="e">
        <f>IF(AND(ISNUMBER(AD54), ISNUMBER(AD58)), INDEX('2.Distancias'!E3:J1446, (AD54*38) + AD58 + 1,3), NA())</f>
        <v>#N/A</v>
      </c>
      <c r="AF56" t="e">
        <f>IF(AND(ISNUMBER(AD54), ISNUMBER(AD58)), INDEX('2.Distancias'!E3:J1446, (AD54*38) + AD58 + 1,4), NA())</f>
        <v>#N/A</v>
      </c>
      <c r="AH56" t="e">
        <f>IF(AND(ISNUMBER(AG54), ISNUMBER(AG58)), INDEX('2.Distancias'!E3:J1446, (AG54*38) + AG58 + 1,3), NA())</f>
        <v>#N/A</v>
      </c>
      <c r="AI56" t="e">
        <f>IF(AND(ISNUMBER(AG54), ISNUMBER(AG58)), INDEX('2.Distancias'!E3:J1446, (AG54*38) + AG58 + 1,4), NA())</f>
        <v>#N/A</v>
      </c>
      <c r="AK56" t="e">
        <f>IF(AND(ISNUMBER(AJ54), ISNUMBER(AJ58)), INDEX('2.Distancias'!E3:J1446, (AJ54*38) + AJ58 + 1,3), NA())</f>
        <v>#N/A</v>
      </c>
      <c r="AL56" t="e">
        <f>IF(AND(ISNUMBER(AJ54), ISNUMBER(AJ58)), INDEX('2.Distancias'!E3:J1446, (AJ54*38) + AJ58 + 1,4), NA())</f>
        <v>#N/A</v>
      </c>
    </row>
    <row r="57" spans="15:38" x14ac:dyDescent="0.25">
      <c r="P57" t="e">
        <f>IF(AND(ISNUMBER(O54), ISNUMBER(O58)), INDEX('2.Distancias'!E3:J1446, (O54*38) + O58 + 1,5), NA())</f>
        <v>#N/A</v>
      </c>
      <c r="Q57" t="e">
        <f>IF(AND(ISNUMBER(O54), ISNUMBER(O58)), INDEX('2.Distancias'!E3:J1446, (O54*38) + O58 + 1,6), NA())</f>
        <v>#N/A</v>
      </c>
      <c r="S57" t="e">
        <f>IF(AND(ISNUMBER(R54), ISNUMBER(R58)), INDEX('2.Distancias'!E3:J1446, (R54*38) + R58 + 1,5), NA())</f>
        <v>#N/A</v>
      </c>
      <c r="T57" t="e">
        <f>IF(AND(ISNUMBER(R54), ISNUMBER(R58)), INDEX('2.Distancias'!E3:J1446, (R54*38) + R58 + 1,6), NA())</f>
        <v>#N/A</v>
      </c>
      <c r="V57" t="e">
        <f>IF(AND(ISNUMBER(U54), ISNUMBER(U58)), INDEX('2.Distancias'!E3:J1446, (U54*38) + U58 + 1,5), NA())</f>
        <v>#N/A</v>
      </c>
      <c r="W57" t="e">
        <f>IF(AND(ISNUMBER(U54), ISNUMBER(U58)), INDEX('2.Distancias'!E3:J1446, (U54*38) + U58 + 1,6), NA())</f>
        <v>#N/A</v>
      </c>
      <c r="Y57" t="e">
        <f>IF(AND(ISNUMBER(X54), ISNUMBER(X58)), INDEX('2.Distancias'!E3:J1446, (X54*38) + X58 + 1,5), NA())</f>
        <v>#N/A</v>
      </c>
      <c r="Z57" t="e">
        <f>IF(AND(ISNUMBER(X54), ISNUMBER(X58)), INDEX('2.Distancias'!E3:J1446, (X54*38) + X58 + 1,6), NA())</f>
        <v>#N/A</v>
      </c>
      <c r="AB57" t="e">
        <f>IF(AND(ISNUMBER(AA54), ISNUMBER(AA58)), INDEX('2.Distancias'!E3:J1446, (AA54*38) + AA58 + 1,5), NA())</f>
        <v>#N/A</v>
      </c>
      <c r="AC57" t="e">
        <f>IF(AND(ISNUMBER(AA54), ISNUMBER(AA58)), INDEX('2.Distancias'!E3:J1446, (AA54*38) + AA58 + 1,6), NA())</f>
        <v>#N/A</v>
      </c>
      <c r="AE57" t="e">
        <f>IF(AND(ISNUMBER(AD54), ISNUMBER(AD58)), INDEX('2.Distancias'!E3:J1446, (AD54*38) + AD58 + 1,5), NA())</f>
        <v>#N/A</v>
      </c>
      <c r="AF57" t="e">
        <f>IF(AND(ISNUMBER(AD54), ISNUMBER(AD58)), INDEX('2.Distancias'!E3:J1446, (AD54*38) + AD58 + 1,6), NA())</f>
        <v>#N/A</v>
      </c>
      <c r="AH57" t="e">
        <f>IF(AND(ISNUMBER(AG54), ISNUMBER(AG58)), INDEX('2.Distancias'!E3:J1446, (AG54*38) + AG58 + 1,5), NA())</f>
        <v>#N/A</v>
      </c>
      <c r="AI57" t="e">
        <f>IF(AND(ISNUMBER(AG54), ISNUMBER(AG58)), INDEX('2.Distancias'!E3:J1446, (AG54*38) + AG58 + 1,6), NA())</f>
        <v>#N/A</v>
      </c>
      <c r="AK57" t="e">
        <f>IF(AND(ISNUMBER(AJ54), ISNUMBER(AJ58)), INDEX('2.Distancias'!E3:J1446, (AJ54*38) + AJ58 + 1,5), NA())</f>
        <v>#N/A</v>
      </c>
      <c r="AL57" t="e">
        <f>IF(AND(ISNUMBER(AJ54), ISNUMBER(AJ58)), INDEX('2.Distancias'!E3:J1446, (AJ54*38) + AJ58 + 1,6), NA())</f>
        <v>#N/A</v>
      </c>
    </row>
    <row r="58" spans="15:38" x14ac:dyDescent="0.25">
      <c r="O58" t="str">
        <f>'4.Solución'!C19</f>
        <v xml:space="preserve"> </v>
      </c>
      <c r="P58" t="e">
        <f>IFERROR(IF(ISNUMBER(O58),INDEX('1 ubicaciones'!$D$2:$D$22,O58 + 1),NA()),NA())</f>
        <v>#N/A</v>
      </c>
      <c r="Q58" t="e">
        <f>IFERROR(IF(ISNUMBER(O58),INDEX('1 ubicaciones'!$E$2:$E$22,O58 + 1),NA()),NA())</f>
        <v>#N/A</v>
      </c>
      <c r="R58" t="str">
        <f>'4.Solución'!T19</f>
        <v xml:space="preserve"> </v>
      </c>
      <c r="S58" t="e">
        <f>IFERROR(IF(ISNUMBER(R58),INDEX('1 ubicaciones'!$D$2:$D$22,R58 + 1),NA()),NA())</f>
        <v>#N/A</v>
      </c>
      <c r="T58" t="e">
        <f>IFERROR(IF(ISNUMBER(R58),INDEX('1 ubicaciones'!$E$2:$E$22,R58 + 1),NA()),NA())</f>
        <v>#N/A</v>
      </c>
      <c r="U58" t="str">
        <f>'4.Solución'!AK19</f>
        <v xml:space="preserve"> </v>
      </c>
      <c r="V58" t="e">
        <f>IFERROR(IF(ISNUMBER(U58),INDEX('1 ubicaciones'!$D$2:$D$22,U58 + 1),NA()),NA())</f>
        <v>#N/A</v>
      </c>
      <c r="W58" t="e">
        <f>IFERROR(IF(ISNUMBER(U58),INDEX('1 ubicaciones'!$E$2:$E$22,U58 + 1),NA()),NA())</f>
        <v>#N/A</v>
      </c>
      <c r="X58" t="str">
        <f>'4.Solución'!BB19</f>
        <v xml:space="preserve"> </v>
      </c>
      <c r="Y58" t="e">
        <f>IFERROR(IF(ISNUMBER(X58),INDEX('1 ubicaciones'!$D$2:$D$22,X58 + 1),NA()),NA())</f>
        <v>#N/A</v>
      </c>
      <c r="Z58" t="e">
        <f>IFERROR(IF(ISNUMBER(X58),INDEX('1 ubicaciones'!$E$2:$E$22,X58 + 1),NA()),NA())</f>
        <v>#N/A</v>
      </c>
      <c r="AA58" t="str">
        <f>'4.Solución'!BS19</f>
        <v xml:space="preserve"> </v>
      </c>
      <c r="AB58" t="e">
        <f>IFERROR(IF(ISNUMBER(AA58),INDEX('1 ubicaciones'!$D$2:$D$22,AA58 + 1),NA()),NA())</f>
        <v>#N/A</v>
      </c>
      <c r="AC58" t="e">
        <f>IFERROR(IF(ISNUMBER(AA58),INDEX('1 ubicaciones'!$E$2:$E$22,AA58 + 1),NA()),NA())</f>
        <v>#N/A</v>
      </c>
      <c r="AD58" t="str">
        <f>'4.Solución'!CJ19</f>
        <v xml:space="preserve"> </v>
      </c>
      <c r="AE58" t="e">
        <f>IFERROR(IF(ISNUMBER(AD58),INDEX('1 ubicaciones'!$D$2:$D$22,AD58 + 1),NA()),NA())</f>
        <v>#N/A</v>
      </c>
      <c r="AF58" t="e">
        <f>IFERROR(IF(ISNUMBER(AD58),INDEX('1 ubicaciones'!$E$2:$E$22,AD58 + 1),NA()),NA())</f>
        <v>#N/A</v>
      </c>
      <c r="AG58" t="str">
        <f>'4.Solución'!DA19</f>
        <v xml:space="preserve"> </v>
      </c>
      <c r="AH58" t="e">
        <f>IFERROR(IF(ISNUMBER(AG58),INDEX('1 ubicaciones'!$D$2:$D$22,AG58 + 1),NA()),NA())</f>
        <v>#N/A</v>
      </c>
      <c r="AI58" t="e">
        <f>IFERROR(IF(ISNUMBER(AG58),INDEX('1 ubicaciones'!$E$2:$E$22,AG58 + 1),NA()),NA())</f>
        <v>#N/A</v>
      </c>
      <c r="AJ58" t="str">
        <f>'4.Solución'!DR19</f>
        <v xml:space="preserve"> </v>
      </c>
      <c r="AK58" t="e">
        <f>IFERROR(IF(ISNUMBER(AJ58),INDEX('1 ubicaciones'!$D$2:$D$22,AJ58 + 1),NA()),NA())</f>
        <v>#N/A</v>
      </c>
      <c r="AL58" t="e">
        <f>IFERROR(IF(ISNUMBER(AJ58),INDEX('1 ubicaciones'!$E$2:$E$22,AJ58 + 1),NA()),NA())</f>
        <v>#N/A</v>
      </c>
    </row>
    <row r="59" spans="15:38" x14ac:dyDescent="0.25">
      <c r="P59" t="e">
        <f>IF(AND(ISNUMBER(O58), ISNUMBER(O62)), INDEX('2.Distancias'!E3:J1446, (O58*38) + O62 + 1,1), NA())</f>
        <v>#N/A</v>
      </c>
      <c r="Q59" t="e">
        <f>IF(AND(ISNUMBER(O58), ISNUMBER(O62)), INDEX('2.Distancias'!E3:J1446, (O58*38) + O62 + 1,2), NA())</f>
        <v>#N/A</v>
      </c>
      <c r="S59" t="e">
        <f>IF(AND(ISNUMBER(R58), ISNUMBER(R62)), INDEX('2.Distancias'!E3:J1446, (R58*38) + R62 + 1,1), NA())</f>
        <v>#N/A</v>
      </c>
      <c r="T59" t="e">
        <f>IF(AND(ISNUMBER(R58), ISNUMBER(R62)), INDEX('2.Distancias'!E3:J1446, (R58*38) + R62 + 1,2), NA())</f>
        <v>#N/A</v>
      </c>
      <c r="V59" t="e">
        <f>IF(AND(ISNUMBER(U58), ISNUMBER(U62)), INDEX('2.Distancias'!E3:J1446, (U58*38) + U62 + 1,1), NA())</f>
        <v>#N/A</v>
      </c>
      <c r="W59" t="e">
        <f>IF(AND(ISNUMBER(U58), ISNUMBER(U62)), INDEX('2.Distancias'!E3:J1446, (U58*38) + U62 + 1,2), NA())</f>
        <v>#N/A</v>
      </c>
      <c r="Y59" t="e">
        <f>IF(AND(ISNUMBER(X58), ISNUMBER(X62)), INDEX('2.Distancias'!E3:J1446, (X58*38) + X62 + 1,1), NA())</f>
        <v>#N/A</v>
      </c>
      <c r="Z59" t="e">
        <f>IF(AND(ISNUMBER(X58), ISNUMBER(X62)), INDEX('2.Distancias'!E3:J1446, (X58*38) + X62 + 1,2), NA())</f>
        <v>#N/A</v>
      </c>
      <c r="AB59" t="e">
        <f>IF(AND(ISNUMBER(AA58), ISNUMBER(AA62)), INDEX('2.Distancias'!E3:J1446, (AA58*38) + AA62 + 1,1), NA())</f>
        <v>#N/A</v>
      </c>
      <c r="AC59" t="e">
        <f>IF(AND(ISNUMBER(AA58), ISNUMBER(AA62)), INDEX('2.Distancias'!E3:J1446, (AA58*38) + AA62 + 1,2), NA())</f>
        <v>#N/A</v>
      </c>
      <c r="AE59" t="e">
        <f>IF(AND(ISNUMBER(AD58), ISNUMBER(AD62)), INDEX('2.Distancias'!E3:J1446, (AD58*38) + AD62 + 1,1), NA())</f>
        <v>#N/A</v>
      </c>
      <c r="AF59" t="e">
        <f>IF(AND(ISNUMBER(AD58), ISNUMBER(AD62)), INDEX('2.Distancias'!E3:J1446, (AD58*38) + AD62 + 1,2), NA())</f>
        <v>#N/A</v>
      </c>
      <c r="AH59" t="e">
        <f>IF(AND(ISNUMBER(AG58), ISNUMBER(AG62)), INDEX('2.Distancias'!E3:J1446, (AG58*38) + AG62 + 1,1), NA())</f>
        <v>#N/A</v>
      </c>
      <c r="AI59" t="e">
        <f>IF(AND(ISNUMBER(AG58), ISNUMBER(AG62)), INDEX('2.Distancias'!E3:J1446, (AG58*38) + AG62 + 1,2), NA())</f>
        <v>#N/A</v>
      </c>
      <c r="AK59" t="e">
        <f>IF(AND(ISNUMBER(AJ58), ISNUMBER(AJ62)), INDEX('2.Distancias'!E3:J1446, (AJ58*38) + AJ62 + 1,1), NA())</f>
        <v>#N/A</v>
      </c>
      <c r="AL59" t="e">
        <f>IF(AND(ISNUMBER(AJ58), ISNUMBER(AJ62)), INDEX('2.Distancias'!E3:J1446, (AJ58*38) + AJ62 + 1,2), NA())</f>
        <v>#N/A</v>
      </c>
    </row>
    <row r="60" spans="15:38" x14ac:dyDescent="0.25">
      <c r="P60" t="e">
        <f>IF(AND(ISNUMBER(O58), ISNUMBER(O62)), INDEX('2.Distancias'!E3:J1446, (O58*38) + O62 + 1,3), NA())</f>
        <v>#N/A</v>
      </c>
      <c r="Q60" t="e">
        <f>IF(AND(ISNUMBER(O58), ISNUMBER(O62)), INDEX('2.Distancias'!E3:J1446, (O58*38) + O62 + 1,4), NA())</f>
        <v>#N/A</v>
      </c>
      <c r="S60" t="e">
        <f>IF(AND(ISNUMBER(R58), ISNUMBER(R62)), INDEX('2.Distancias'!E3:J1446, (R58*38) + R62 + 1,3), NA())</f>
        <v>#N/A</v>
      </c>
      <c r="T60" t="e">
        <f>IF(AND(ISNUMBER(R58), ISNUMBER(R62)), INDEX('2.Distancias'!E3:J1446, (R58*38) + R62 + 1,4), NA())</f>
        <v>#N/A</v>
      </c>
      <c r="V60" t="e">
        <f>IF(AND(ISNUMBER(U58), ISNUMBER(U62)), INDEX('2.Distancias'!E3:J1446, (U58*38) + U62 + 1,3), NA())</f>
        <v>#N/A</v>
      </c>
      <c r="W60" t="e">
        <f>IF(AND(ISNUMBER(U58), ISNUMBER(U62)), INDEX('2.Distancias'!E3:J1446, (U58*38) + U62 + 1,4), NA())</f>
        <v>#N/A</v>
      </c>
      <c r="Y60" t="e">
        <f>IF(AND(ISNUMBER(X58), ISNUMBER(X62)), INDEX('2.Distancias'!E3:J1446, (X58*38) + X62 + 1,3), NA())</f>
        <v>#N/A</v>
      </c>
      <c r="Z60" t="e">
        <f>IF(AND(ISNUMBER(X58), ISNUMBER(X62)), INDEX('2.Distancias'!E3:J1446, (X58*38) + X62 + 1,4), NA())</f>
        <v>#N/A</v>
      </c>
      <c r="AB60" t="e">
        <f>IF(AND(ISNUMBER(AA58), ISNUMBER(AA62)), INDEX('2.Distancias'!E3:J1446, (AA58*38) + AA62 + 1,3), NA())</f>
        <v>#N/A</v>
      </c>
      <c r="AC60" t="e">
        <f>IF(AND(ISNUMBER(AA58), ISNUMBER(AA62)), INDEX('2.Distancias'!E3:J1446, (AA58*38) + AA62 + 1,4), NA())</f>
        <v>#N/A</v>
      </c>
      <c r="AE60" t="e">
        <f>IF(AND(ISNUMBER(AD58), ISNUMBER(AD62)), INDEX('2.Distancias'!E3:J1446, (AD58*38) + AD62 + 1,3), NA())</f>
        <v>#N/A</v>
      </c>
      <c r="AF60" t="e">
        <f>IF(AND(ISNUMBER(AD58), ISNUMBER(AD62)), INDEX('2.Distancias'!E3:J1446, (AD58*38) + AD62 + 1,4), NA())</f>
        <v>#N/A</v>
      </c>
      <c r="AH60" t="e">
        <f>IF(AND(ISNUMBER(AG58), ISNUMBER(AG62)), INDEX('2.Distancias'!E3:J1446, (AG58*38) + AG62 + 1,3), NA())</f>
        <v>#N/A</v>
      </c>
      <c r="AI60" t="e">
        <f>IF(AND(ISNUMBER(AG58), ISNUMBER(AG62)), INDEX('2.Distancias'!E3:J1446, (AG58*38) + AG62 + 1,4), NA())</f>
        <v>#N/A</v>
      </c>
      <c r="AK60" t="e">
        <f>IF(AND(ISNUMBER(AJ58), ISNUMBER(AJ62)), INDEX('2.Distancias'!E3:J1446, (AJ58*38) + AJ62 + 1,3), NA())</f>
        <v>#N/A</v>
      </c>
      <c r="AL60" t="e">
        <f>IF(AND(ISNUMBER(AJ58), ISNUMBER(AJ62)), INDEX('2.Distancias'!E3:J1446, (AJ58*38) + AJ62 + 1,4), NA())</f>
        <v>#N/A</v>
      </c>
    </row>
    <row r="61" spans="15:38" x14ac:dyDescent="0.25">
      <c r="P61" t="e">
        <f>IF(AND(ISNUMBER(O58), ISNUMBER(O62)), INDEX('2.Distancias'!E3:J1446, (O58*38) + O62 + 1,5), NA())</f>
        <v>#N/A</v>
      </c>
      <c r="Q61" t="e">
        <f>IF(AND(ISNUMBER(O58), ISNUMBER(O62)), INDEX('2.Distancias'!E3:J1446, (O58*38) + O62 + 1,6), NA())</f>
        <v>#N/A</v>
      </c>
      <c r="S61" t="e">
        <f>IF(AND(ISNUMBER(R58), ISNUMBER(R62)), INDEX('2.Distancias'!E3:J1446, (R58*38) + R62 + 1,5), NA())</f>
        <v>#N/A</v>
      </c>
      <c r="T61" t="e">
        <f>IF(AND(ISNUMBER(R58), ISNUMBER(R62)), INDEX('2.Distancias'!E3:J1446, (R58*38) + R62 + 1,6), NA())</f>
        <v>#N/A</v>
      </c>
      <c r="V61" t="e">
        <f>IF(AND(ISNUMBER(U58), ISNUMBER(U62)), INDEX('2.Distancias'!E3:J1446, (U58*38) + U62 + 1,5), NA())</f>
        <v>#N/A</v>
      </c>
      <c r="W61" t="e">
        <f>IF(AND(ISNUMBER(U58), ISNUMBER(U62)), INDEX('2.Distancias'!E3:J1446, (U58*38) + U62 + 1,6), NA())</f>
        <v>#N/A</v>
      </c>
      <c r="Y61" t="e">
        <f>IF(AND(ISNUMBER(X58), ISNUMBER(X62)), INDEX('2.Distancias'!E3:J1446, (X58*38) + X62 + 1,5), NA())</f>
        <v>#N/A</v>
      </c>
      <c r="Z61" t="e">
        <f>IF(AND(ISNUMBER(X58), ISNUMBER(X62)), INDEX('2.Distancias'!E3:J1446, (X58*38) + X62 + 1,6), NA())</f>
        <v>#N/A</v>
      </c>
      <c r="AB61" t="e">
        <f>IF(AND(ISNUMBER(AA58), ISNUMBER(AA62)), INDEX('2.Distancias'!E3:J1446, (AA58*38) + AA62 + 1,5), NA())</f>
        <v>#N/A</v>
      </c>
      <c r="AC61" t="e">
        <f>IF(AND(ISNUMBER(AA58), ISNUMBER(AA62)), INDEX('2.Distancias'!E3:J1446, (AA58*38) + AA62 + 1,6), NA())</f>
        <v>#N/A</v>
      </c>
      <c r="AE61" t="e">
        <f>IF(AND(ISNUMBER(AD58), ISNUMBER(AD62)), INDEX('2.Distancias'!E3:J1446, (AD58*38) + AD62 + 1,5), NA())</f>
        <v>#N/A</v>
      </c>
      <c r="AF61" t="e">
        <f>IF(AND(ISNUMBER(AD58), ISNUMBER(AD62)), INDEX('2.Distancias'!E3:J1446, (AD58*38) + AD62 + 1,6), NA())</f>
        <v>#N/A</v>
      </c>
      <c r="AH61" t="e">
        <f>IF(AND(ISNUMBER(AG58), ISNUMBER(AG62)), INDEX('2.Distancias'!E3:J1446, (AG58*38) + AG62 + 1,5), NA())</f>
        <v>#N/A</v>
      </c>
      <c r="AI61" t="e">
        <f>IF(AND(ISNUMBER(AG58), ISNUMBER(AG62)), INDEX('2.Distancias'!E3:J1446, (AG58*38) + AG62 + 1,6), NA())</f>
        <v>#N/A</v>
      </c>
      <c r="AK61" t="e">
        <f>IF(AND(ISNUMBER(AJ58), ISNUMBER(AJ62)), INDEX('2.Distancias'!E3:J1446, (AJ58*38) + AJ62 + 1,5), NA())</f>
        <v>#N/A</v>
      </c>
      <c r="AL61" t="e">
        <f>IF(AND(ISNUMBER(AJ58), ISNUMBER(AJ62)), INDEX('2.Distancias'!E3:J1446, (AJ58*38) + AJ62 + 1,6), NA())</f>
        <v>#N/A</v>
      </c>
    </row>
    <row r="62" spans="15:38" x14ac:dyDescent="0.25">
      <c r="O62" t="str">
        <f>'4.Solución'!C20</f>
        <v xml:space="preserve"> </v>
      </c>
      <c r="P62" t="e">
        <f>IFERROR(IF(ISNUMBER(O62),INDEX('1 ubicaciones'!$D$2:$D$22,O62 + 1),NA()),NA())</f>
        <v>#N/A</v>
      </c>
      <c r="Q62" t="e">
        <f>IFERROR(IF(ISNUMBER(O62),INDEX('1 ubicaciones'!$E$2:$E$22,O62 + 1),NA()),NA())</f>
        <v>#N/A</v>
      </c>
      <c r="R62" t="str">
        <f>'4.Solución'!T20</f>
        <v xml:space="preserve"> </v>
      </c>
      <c r="S62" t="e">
        <f>IFERROR(IF(ISNUMBER(R62),INDEX('1 ubicaciones'!$D$2:$D$22,R62 + 1),NA()),NA())</f>
        <v>#N/A</v>
      </c>
      <c r="T62" t="e">
        <f>IFERROR(IF(ISNUMBER(R62),INDEX('1 ubicaciones'!$E$2:$E$22,R62 + 1),NA()),NA())</f>
        <v>#N/A</v>
      </c>
      <c r="U62" t="str">
        <f>'4.Solución'!AK20</f>
        <v xml:space="preserve"> </v>
      </c>
      <c r="V62" t="e">
        <f>IFERROR(IF(ISNUMBER(U62),INDEX('1 ubicaciones'!$D$2:$D$22,U62 + 1),NA()),NA())</f>
        <v>#N/A</v>
      </c>
      <c r="W62" t="e">
        <f>IFERROR(IF(ISNUMBER(U62),INDEX('1 ubicaciones'!$E$2:$E$22,U62 + 1),NA()),NA())</f>
        <v>#N/A</v>
      </c>
      <c r="X62" t="str">
        <f>'4.Solución'!BB20</f>
        <v xml:space="preserve"> </v>
      </c>
      <c r="Y62" t="e">
        <f>IFERROR(IF(ISNUMBER(X62),INDEX('1 ubicaciones'!$D$2:$D$22,X62 + 1),NA()),NA())</f>
        <v>#N/A</v>
      </c>
      <c r="Z62" t="e">
        <f>IFERROR(IF(ISNUMBER(X62),INDEX('1 ubicaciones'!$E$2:$E$22,X62 + 1),NA()),NA())</f>
        <v>#N/A</v>
      </c>
      <c r="AA62" t="str">
        <f>'4.Solución'!BS20</f>
        <v xml:space="preserve"> </v>
      </c>
      <c r="AB62" t="e">
        <f>IFERROR(IF(ISNUMBER(AA62),INDEX('1 ubicaciones'!$D$2:$D$22,AA62 + 1),NA()),NA())</f>
        <v>#N/A</v>
      </c>
      <c r="AC62" t="e">
        <f>IFERROR(IF(ISNUMBER(AA62),INDEX('1 ubicaciones'!$E$2:$E$22,AA62 + 1),NA()),NA())</f>
        <v>#N/A</v>
      </c>
      <c r="AD62" t="str">
        <f>'4.Solución'!CJ20</f>
        <v xml:space="preserve"> </v>
      </c>
      <c r="AE62" t="e">
        <f>IFERROR(IF(ISNUMBER(AD62),INDEX('1 ubicaciones'!$D$2:$D$22,AD62 + 1),NA()),NA())</f>
        <v>#N/A</v>
      </c>
      <c r="AF62" t="e">
        <f>IFERROR(IF(ISNUMBER(AD62),INDEX('1 ubicaciones'!$E$2:$E$22,AD62 + 1),NA()),NA())</f>
        <v>#N/A</v>
      </c>
      <c r="AG62" t="str">
        <f>'4.Solución'!DA20</f>
        <v xml:space="preserve"> </v>
      </c>
      <c r="AH62" t="e">
        <f>IFERROR(IF(ISNUMBER(AG62),INDEX('1 ubicaciones'!$D$2:$D$22,AG62 + 1),NA()),NA())</f>
        <v>#N/A</v>
      </c>
      <c r="AI62" t="e">
        <f>IFERROR(IF(ISNUMBER(AG62),INDEX('1 ubicaciones'!$E$2:$E$22,AG62 + 1),NA()),NA())</f>
        <v>#N/A</v>
      </c>
      <c r="AJ62" t="str">
        <f>'4.Solución'!DR20</f>
        <v xml:space="preserve"> </v>
      </c>
      <c r="AK62" t="e">
        <f>IFERROR(IF(ISNUMBER(AJ62),INDEX('1 ubicaciones'!$D$2:$D$22,AJ62 + 1),NA()),NA())</f>
        <v>#N/A</v>
      </c>
      <c r="AL62" t="e">
        <f>IFERROR(IF(ISNUMBER(AJ62),INDEX('1 ubicaciones'!$E$2:$E$22,AJ62 + 1),NA()),NA())</f>
        <v>#N/A</v>
      </c>
    </row>
    <row r="63" spans="15:38" x14ac:dyDescent="0.25">
      <c r="P63" t="e">
        <f>IF(AND(ISNUMBER(O62), ISNUMBER(O66)), INDEX('2.Distancias'!E3:J1446, (O62*38) + O66 + 1,1), NA())</f>
        <v>#N/A</v>
      </c>
      <c r="Q63" t="e">
        <f>IF(AND(ISNUMBER(O62), ISNUMBER(O66)), INDEX('2.Distancias'!E3:J1446, (O62*38) + O66 + 1,2), NA())</f>
        <v>#N/A</v>
      </c>
      <c r="S63" t="e">
        <f>IF(AND(ISNUMBER(R62), ISNUMBER(R66)), INDEX('2.Distancias'!E3:J1446, (R62*38) + R66 + 1,1), NA())</f>
        <v>#N/A</v>
      </c>
      <c r="T63" t="e">
        <f>IF(AND(ISNUMBER(R62), ISNUMBER(R66)), INDEX('2.Distancias'!E3:J1446, (R62*38) + R66 + 1,2), NA())</f>
        <v>#N/A</v>
      </c>
      <c r="V63" t="e">
        <f>IF(AND(ISNUMBER(U62), ISNUMBER(U66)), INDEX('2.Distancias'!E3:J1446, (U62*38) + U66 + 1,1), NA())</f>
        <v>#N/A</v>
      </c>
      <c r="W63" t="e">
        <f>IF(AND(ISNUMBER(U62), ISNUMBER(U66)), INDEX('2.Distancias'!E3:J1446, (U62*38) + U66 + 1,2), NA())</f>
        <v>#N/A</v>
      </c>
      <c r="Y63" t="e">
        <f>IF(AND(ISNUMBER(X62), ISNUMBER(X66)), INDEX('2.Distancias'!E3:J1446, (X62*38) + X66 + 1,1), NA())</f>
        <v>#N/A</v>
      </c>
      <c r="Z63" t="e">
        <f>IF(AND(ISNUMBER(X62), ISNUMBER(X66)), INDEX('2.Distancias'!E3:J1446, (X62*38) + X66 + 1,2), NA())</f>
        <v>#N/A</v>
      </c>
      <c r="AB63" t="e">
        <f>IF(AND(ISNUMBER(AA62), ISNUMBER(AA66)), INDEX('2.Distancias'!E3:J1446, (AA62*38) + AA66 + 1,1), NA())</f>
        <v>#N/A</v>
      </c>
      <c r="AC63" t="e">
        <f>IF(AND(ISNUMBER(AA62), ISNUMBER(AA66)), INDEX('2.Distancias'!E3:J1446, (AA62*38) + AA66 + 1,2), NA())</f>
        <v>#N/A</v>
      </c>
      <c r="AE63" t="e">
        <f>IF(AND(ISNUMBER(AD62), ISNUMBER(AD66)), INDEX('2.Distancias'!E3:J1446, (AD62*38) + AD66 + 1,1), NA())</f>
        <v>#N/A</v>
      </c>
      <c r="AF63" t="e">
        <f>IF(AND(ISNUMBER(AD62), ISNUMBER(AD66)), INDEX('2.Distancias'!E3:J1446, (AD62*38) + AD66 + 1,2), NA())</f>
        <v>#N/A</v>
      </c>
      <c r="AH63" t="e">
        <f>IF(AND(ISNUMBER(AG62), ISNUMBER(AG66)), INDEX('2.Distancias'!E3:J1446, (AG62*38) + AG66 + 1,1), NA())</f>
        <v>#N/A</v>
      </c>
      <c r="AI63" t="e">
        <f>IF(AND(ISNUMBER(AG62), ISNUMBER(AG66)), INDEX('2.Distancias'!E3:J1446, (AG62*38) + AG66 + 1,2), NA())</f>
        <v>#N/A</v>
      </c>
      <c r="AK63" t="e">
        <f>IF(AND(ISNUMBER(AJ62), ISNUMBER(AJ66)), INDEX('2.Distancias'!E3:J1446, (AJ62*38) + AJ66 + 1,1), NA())</f>
        <v>#N/A</v>
      </c>
      <c r="AL63" t="e">
        <f>IF(AND(ISNUMBER(AJ62), ISNUMBER(AJ66)), INDEX('2.Distancias'!E3:J1446, (AJ62*38) + AJ66 + 1,2), NA())</f>
        <v>#N/A</v>
      </c>
    </row>
    <row r="64" spans="15:38" x14ac:dyDescent="0.25">
      <c r="P64" t="e">
        <f>IF(AND(ISNUMBER(O62), ISNUMBER(O66)), INDEX('2.Distancias'!E3:J1446, (O62*38) + O66 + 1,3), NA())</f>
        <v>#N/A</v>
      </c>
      <c r="Q64" t="e">
        <f>IF(AND(ISNUMBER(O62), ISNUMBER(O66)), INDEX('2.Distancias'!E3:J1446, (O62*38) + O66 + 1,4), NA())</f>
        <v>#N/A</v>
      </c>
      <c r="S64" t="e">
        <f>IF(AND(ISNUMBER(R62), ISNUMBER(R66)), INDEX('2.Distancias'!E3:J1446, (R62*38) + R66 + 1,3), NA())</f>
        <v>#N/A</v>
      </c>
      <c r="T64" t="e">
        <f>IF(AND(ISNUMBER(R62), ISNUMBER(R66)), INDEX('2.Distancias'!E3:J1446, (R62*38) + R66 + 1,4), NA())</f>
        <v>#N/A</v>
      </c>
      <c r="V64" t="e">
        <f>IF(AND(ISNUMBER(U62), ISNUMBER(U66)), INDEX('2.Distancias'!E3:J1446, (U62*38) + U66 + 1,3), NA())</f>
        <v>#N/A</v>
      </c>
      <c r="W64" t="e">
        <f>IF(AND(ISNUMBER(U62), ISNUMBER(U66)), INDEX('2.Distancias'!E3:J1446, (U62*38) + U66 + 1,4), NA())</f>
        <v>#N/A</v>
      </c>
      <c r="Y64" t="e">
        <f>IF(AND(ISNUMBER(X62), ISNUMBER(X66)), INDEX('2.Distancias'!E3:J1446, (X62*38) + X66 + 1,3), NA())</f>
        <v>#N/A</v>
      </c>
      <c r="Z64" t="e">
        <f>IF(AND(ISNUMBER(X62), ISNUMBER(X66)), INDEX('2.Distancias'!E3:J1446, (X62*38) + X66 + 1,4), NA())</f>
        <v>#N/A</v>
      </c>
      <c r="AB64" t="e">
        <f>IF(AND(ISNUMBER(AA62), ISNUMBER(AA66)), INDEX('2.Distancias'!E3:J1446, (AA62*38) + AA66 + 1,3), NA())</f>
        <v>#N/A</v>
      </c>
      <c r="AC64" t="e">
        <f>IF(AND(ISNUMBER(AA62), ISNUMBER(AA66)), INDEX('2.Distancias'!E3:J1446, (AA62*38) + AA66 + 1,4), NA())</f>
        <v>#N/A</v>
      </c>
      <c r="AE64" t="e">
        <f>IF(AND(ISNUMBER(AD62), ISNUMBER(AD66)), INDEX('2.Distancias'!E3:J1446, (AD62*38) + AD66 + 1,3), NA())</f>
        <v>#N/A</v>
      </c>
      <c r="AF64" t="e">
        <f>IF(AND(ISNUMBER(AD62), ISNUMBER(AD66)), INDEX('2.Distancias'!E3:J1446, (AD62*38) + AD66 + 1,4), NA())</f>
        <v>#N/A</v>
      </c>
      <c r="AH64" t="e">
        <f>IF(AND(ISNUMBER(AG62), ISNUMBER(AG66)), INDEX('2.Distancias'!E3:J1446, (AG62*38) + AG66 + 1,3), NA())</f>
        <v>#N/A</v>
      </c>
      <c r="AI64" t="e">
        <f>IF(AND(ISNUMBER(AG62), ISNUMBER(AG66)), INDEX('2.Distancias'!E3:J1446, (AG62*38) + AG66 + 1,4), NA())</f>
        <v>#N/A</v>
      </c>
      <c r="AK64" t="e">
        <f>IF(AND(ISNUMBER(AJ62), ISNUMBER(AJ66)), INDEX('2.Distancias'!E3:J1446, (AJ62*38) + AJ66 + 1,3), NA())</f>
        <v>#N/A</v>
      </c>
      <c r="AL64" t="e">
        <f>IF(AND(ISNUMBER(AJ62), ISNUMBER(AJ66)), INDEX('2.Distancias'!E3:J1446, (AJ62*38) + AJ66 + 1,4), NA())</f>
        <v>#N/A</v>
      </c>
    </row>
    <row r="65" spans="15:38" x14ac:dyDescent="0.25">
      <c r="P65" t="e">
        <f>IF(AND(ISNUMBER(O62), ISNUMBER(O66)), INDEX('2.Distancias'!E3:J1446, (O62*38) + O66 + 1,5), NA())</f>
        <v>#N/A</v>
      </c>
      <c r="Q65" t="e">
        <f>IF(AND(ISNUMBER(O62), ISNUMBER(O66)), INDEX('2.Distancias'!E3:J1446, (O62*38) + O66 + 1,6), NA())</f>
        <v>#N/A</v>
      </c>
      <c r="S65" t="e">
        <f>IF(AND(ISNUMBER(R62), ISNUMBER(R66)), INDEX('2.Distancias'!E3:J1446, (R62*38) + R66 + 1,5), NA())</f>
        <v>#N/A</v>
      </c>
      <c r="T65" t="e">
        <f>IF(AND(ISNUMBER(R62), ISNUMBER(R66)), INDEX('2.Distancias'!E3:J1446, (R62*38) + R66 + 1,6), NA())</f>
        <v>#N/A</v>
      </c>
      <c r="V65" t="e">
        <f>IF(AND(ISNUMBER(U62), ISNUMBER(U66)), INDEX('2.Distancias'!E3:J1446, (U62*38) + U66 + 1,5), NA())</f>
        <v>#N/A</v>
      </c>
      <c r="W65" t="e">
        <f>IF(AND(ISNUMBER(U62), ISNUMBER(U66)), INDEX('2.Distancias'!E3:J1446, (U62*38) + U66 + 1,6), NA())</f>
        <v>#N/A</v>
      </c>
      <c r="Y65" t="e">
        <f>IF(AND(ISNUMBER(X62), ISNUMBER(X66)), INDEX('2.Distancias'!E3:J1446, (X62*38) + X66 + 1,5), NA())</f>
        <v>#N/A</v>
      </c>
      <c r="Z65" t="e">
        <f>IF(AND(ISNUMBER(X62), ISNUMBER(X66)), INDEX('2.Distancias'!E3:J1446, (X62*38) + X66 + 1,6), NA())</f>
        <v>#N/A</v>
      </c>
      <c r="AB65" t="e">
        <f>IF(AND(ISNUMBER(AA62), ISNUMBER(AA66)), INDEX('2.Distancias'!E3:J1446, (AA62*38) + AA66 + 1,5), NA())</f>
        <v>#N/A</v>
      </c>
      <c r="AC65" t="e">
        <f>IF(AND(ISNUMBER(AA62), ISNUMBER(AA66)), INDEX('2.Distancias'!E3:J1446, (AA62*38) + AA66 + 1,6), NA())</f>
        <v>#N/A</v>
      </c>
      <c r="AE65" t="e">
        <f>IF(AND(ISNUMBER(AD62), ISNUMBER(AD66)), INDEX('2.Distancias'!E3:J1446, (AD62*38) + AD66 + 1,5), NA())</f>
        <v>#N/A</v>
      </c>
      <c r="AF65" t="e">
        <f>IF(AND(ISNUMBER(AD62), ISNUMBER(AD66)), INDEX('2.Distancias'!E3:J1446, (AD62*38) + AD66 + 1,6), NA())</f>
        <v>#N/A</v>
      </c>
      <c r="AH65" t="e">
        <f>IF(AND(ISNUMBER(AG62), ISNUMBER(AG66)), INDEX('2.Distancias'!E3:J1446, (AG62*38) + AG66 + 1,5), NA())</f>
        <v>#N/A</v>
      </c>
      <c r="AI65" t="e">
        <f>IF(AND(ISNUMBER(AG62), ISNUMBER(AG66)), INDEX('2.Distancias'!E3:J1446, (AG62*38) + AG66 + 1,6), NA())</f>
        <v>#N/A</v>
      </c>
      <c r="AK65" t="e">
        <f>IF(AND(ISNUMBER(AJ62), ISNUMBER(AJ66)), INDEX('2.Distancias'!E3:J1446, (AJ62*38) + AJ66 + 1,5), NA())</f>
        <v>#N/A</v>
      </c>
      <c r="AL65" t="e">
        <f>IF(AND(ISNUMBER(AJ62), ISNUMBER(AJ66)), INDEX('2.Distancias'!E3:J1446, (AJ62*38) + AJ66 + 1,6), NA())</f>
        <v>#N/A</v>
      </c>
    </row>
    <row r="66" spans="15:38" x14ac:dyDescent="0.25">
      <c r="O66" t="str">
        <f>'4.Solución'!C21</f>
        <v xml:space="preserve"> </v>
      </c>
      <c r="P66" t="e">
        <f>IFERROR(IF(ISNUMBER(O66),INDEX('1 ubicaciones'!$D$2:$D$22,O66 + 1),NA()),NA())</f>
        <v>#N/A</v>
      </c>
      <c r="Q66" t="e">
        <f>IFERROR(IF(ISNUMBER(O66),INDEX('1 ubicaciones'!$E$2:$E$22,O66 + 1),NA()),NA())</f>
        <v>#N/A</v>
      </c>
      <c r="R66" t="str">
        <f>'4.Solución'!T21</f>
        <v xml:space="preserve"> </v>
      </c>
      <c r="S66" t="e">
        <f>IFERROR(IF(ISNUMBER(R66),INDEX('1 ubicaciones'!$D$2:$D$22,R66 + 1),NA()),NA())</f>
        <v>#N/A</v>
      </c>
      <c r="T66" t="e">
        <f>IFERROR(IF(ISNUMBER(R66),INDEX('1 ubicaciones'!$E$2:$E$22,R66 + 1),NA()),NA())</f>
        <v>#N/A</v>
      </c>
      <c r="U66" t="str">
        <f>'4.Solución'!AK21</f>
        <v xml:space="preserve"> </v>
      </c>
      <c r="V66" t="e">
        <f>IFERROR(IF(ISNUMBER(U66),INDEX('1 ubicaciones'!$D$2:$D$22,U66 + 1),NA()),NA())</f>
        <v>#N/A</v>
      </c>
      <c r="W66" t="e">
        <f>IFERROR(IF(ISNUMBER(U66),INDEX('1 ubicaciones'!$E$2:$E$22,U66 + 1),NA()),NA())</f>
        <v>#N/A</v>
      </c>
      <c r="X66" t="str">
        <f>'4.Solución'!BB21</f>
        <v xml:space="preserve"> </v>
      </c>
      <c r="Y66" t="e">
        <f>IFERROR(IF(ISNUMBER(X66),INDEX('1 ubicaciones'!$D$2:$D$22,X66 + 1),NA()),NA())</f>
        <v>#N/A</v>
      </c>
      <c r="Z66" t="e">
        <f>IFERROR(IF(ISNUMBER(X66),INDEX('1 ubicaciones'!$E$2:$E$22,X66 + 1),NA()),NA())</f>
        <v>#N/A</v>
      </c>
      <c r="AA66" t="str">
        <f>'4.Solución'!BS21</f>
        <v xml:space="preserve"> </v>
      </c>
      <c r="AB66" t="e">
        <f>IFERROR(IF(ISNUMBER(AA66),INDEX('1 ubicaciones'!$D$2:$D$22,AA66 + 1),NA()),NA())</f>
        <v>#N/A</v>
      </c>
      <c r="AC66" t="e">
        <f>IFERROR(IF(ISNUMBER(AA66),INDEX('1 ubicaciones'!$E$2:$E$22,AA66 + 1),NA()),NA())</f>
        <v>#N/A</v>
      </c>
      <c r="AD66" t="str">
        <f>'4.Solución'!CJ21</f>
        <v xml:space="preserve"> </v>
      </c>
      <c r="AE66" t="e">
        <f>IFERROR(IF(ISNUMBER(AD66),INDEX('1 ubicaciones'!$D$2:$D$22,AD66 + 1),NA()),NA())</f>
        <v>#N/A</v>
      </c>
      <c r="AF66" t="e">
        <f>IFERROR(IF(ISNUMBER(AD66),INDEX('1 ubicaciones'!$E$2:$E$22,AD66 + 1),NA()),NA())</f>
        <v>#N/A</v>
      </c>
      <c r="AG66" t="str">
        <f>'4.Solución'!DA21</f>
        <v xml:space="preserve"> </v>
      </c>
      <c r="AH66" t="e">
        <f>IFERROR(IF(ISNUMBER(AG66),INDEX('1 ubicaciones'!$D$2:$D$22,AG66 + 1),NA()),NA())</f>
        <v>#N/A</v>
      </c>
      <c r="AI66" t="e">
        <f>IFERROR(IF(ISNUMBER(AG66),INDEX('1 ubicaciones'!$E$2:$E$22,AG66 + 1),NA()),NA())</f>
        <v>#N/A</v>
      </c>
      <c r="AJ66" t="str">
        <f>'4.Solución'!DR21</f>
        <v xml:space="preserve"> </v>
      </c>
      <c r="AK66" t="e">
        <f>IFERROR(IF(ISNUMBER(AJ66),INDEX('1 ubicaciones'!$D$2:$D$22,AJ66 + 1),NA()),NA())</f>
        <v>#N/A</v>
      </c>
      <c r="AL66" t="e">
        <f>IFERROR(IF(ISNUMBER(AJ66),INDEX('1 ubicaciones'!$E$2:$E$22,AJ66 + 1),NA()),NA())</f>
        <v>#N/A</v>
      </c>
    </row>
    <row r="67" spans="15:38" x14ac:dyDescent="0.25">
      <c r="P67" t="e">
        <f>IF(AND(ISNUMBER(O66), ISNUMBER(O70)), INDEX('2.Distancias'!E3:J1446, (O66*38) + O70 + 1,1), NA())</f>
        <v>#N/A</v>
      </c>
      <c r="Q67" t="e">
        <f>IF(AND(ISNUMBER(O66), ISNUMBER(O70)), INDEX('2.Distancias'!E3:J1446, (O66*38) + O70 + 1,2), NA())</f>
        <v>#N/A</v>
      </c>
      <c r="S67" t="e">
        <f>IF(AND(ISNUMBER(R66), ISNUMBER(R70)), INDEX('2.Distancias'!E3:J1446, (R66*38) + R70 + 1,1), NA())</f>
        <v>#N/A</v>
      </c>
      <c r="T67" t="e">
        <f>IF(AND(ISNUMBER(R66), ISNUMBER(R70)), INDEX('2.Distancias'!E3:J1446, (R66*38) + R70 + 1,2), NA())</f>
        <v>#N/A</v>
      </c>
      <c r="V67" t="e">
        <f>IF(AND(ISNUMBER(U66), ISNUMBER(U70)), INDEX('2.Distancias'!E3:J1446, (U66*38) + U70 + 1,1), NA())</f>
        <v>#N/A</v>
      </c>
      <c r="W67" t="e">
        <f>IF(AND(ISNUMBER(U66), ISNUMBER(U70)), INDEX('2.Distancias'!E3:J1446, (U66*38) + U70 + 1,2), NA())</f>
        <v>#N/A</v>
      </c>
      <c r="Y67" t="e">
        <f>IF(AND(ISNUMBER(X66), ISNUMBER(X70)), INDEX('2.Distancias'!E3:J1446, (X66*38) + X70 + 1,1), NA())</f>
        <v>#N/A</v>
      </c>
      <c r="Z67" t="e">
        <f>IF(AND(ISNUMBER(X66), ISNUMBER(X70)), INDEX('2.Distancias'!E3:J1446, (X66*38) + X70 + 1,2), NA())</f>
        <v>#N/A</v>
      </c>
      <c r="AB67" t="e">
        <f>IF(AND(ISNUMBER(AA66), ISNUMBER(AA70)), INDEX('2.Distancias'!E3:J1446, (AA66*38) + AA70 + 1,1), NA())</f>
        <v>#N/A</v>
      </c>
      <c r="AC67" t="e">
        <f>IF(AND(ISNUMBER(AA66), ISNUMBER(AA70)), INDEX('2.Distancias'!E3:J1446, (AA66*38) + AA70 + 1,2), NA())</f>
        <v>#N/A</v>
      </c>
      <c r="AE67" t="e">
        <f>IF(AND(ISNUMBER(AD66), ISNUMBER(AD70)), INDEX('2.Distancias'!E3:J1446, (AD66*38) + AD70 + 1,1), NA())</f>
        <v>#N/A</v>
      </c>
      <c r="AF67" t="e">
        <f>IF(AND(ISNUMBER(AD66), ISNUMBER(AD70)), INDEX('2.Distancias'!E3:J1446, (AD66*38) + AD70 + 1,2), NA())</f>
        <v>#N/A</v>
      </c>
      <c r="AH67" t="e">
        <f>IF(AND(ISNUMBER(AG66), ISNUMBER(AG70)), INDEX('2.Distancias'!E3:J1446, (AG66*38) + AG70 + 1,1), NA())</f>
        <v>#N/A</v>
      </c>
      <c r="AI67" t="e">
        <f>IF(AND(ISNUMBER(AG66), ISNUMBER(AG70)), INDEX('2.Distancias'!E3:J1446, (AG66*38) + AG70 + 1,2), NA())</f>
        <v>#N/A</v>
      </c>
      <c r="AK67" t="e">
        <f>IF(AND(ISNUMBER(AJ66), ISNUMBER(AJ70)), INDEX('2.Distancias'!E3:J1446, (AJ66*38) + AJ70 + 1,1), NA())</f>
        <v>#N/A</v>
      </c>
      <c r="AL67" t="e">
        <f>IF(AND(ISNUMBER(AJ66), ISNUMBER(AJ70)), INDEX('2.Distancias'!E3:J1446, (AJ66*38) + AJ70 + 1,2), NA())</f>
        <v>#N/A</v>
      </c>
    </row>
    <row r="68" spans="15:38" x14ac:dyDescent="0.25">
      <c r="P68" t="e">
        <f>IF(AND(ISNUMBER(O66), ISNUMBER(O70)), INDEX('2.Distancias'!E3:J1446, (O66*38) + O70 + 1,3), NA())</f>
        <v>#N/A</v>
      </c>
      <c r="Q68" t="e">
        <f>IF(AND(ISNUMBER(O66), ISNUMBER(O70)), INDEX('2.Distancias'!E3:J1446, (O66*38) + O70 + 1,4), NA())</f>
        <v>#N/A</v>
      </c>
      <c r="S68" t="e">
        <f>IF(AND(ISNUMBER(R66), ISNUMBER(R70)), INDEX('2.Distancias'!E3:J1446, (R66*38) + R70 + 1,3), NA())</f>
        <v>#N/A</v>
      </c>
      <c r="T68" t="e">
        <f>IF(AND(ISNUMBER(R66), ISNUMBER(R70)), INDEX('2.Distancias'!E3:J1446, (R66*38) + R70 + 1,4), NA())</f>
        <v>#N/A</v>
      </c>
      <c r="V68" t="e">
        <f>IF(AND(ISNUMBER(U66), ISNUMBER(U70)), INDEX('2.Distancias'!E3:J1446, (U66*38) + U70 + 1,3), NA())</f>
        <v>#N/A</v>
      </c>
      <c r="W68" t="e">
        <f>IF(AND(ISNUMBER(U66), ISNUMBER(U70)), INDEX('2.Distancias'!E3:J1446, (U66*38) + U70 + 1,4), NA())</f>
        <v>#N/A</v>
      </c>
      <c r="Y68" t="e">
        <f>IF(AND(ISNUMBER(X66), ISNUMBER(X70)), INDEX('2.Distancias'!E3:J1446, (X66*38) + X70 + 1,3), NA())</f>
        <v>#N/A</v>
      </c>
      <c r="Z68" t="e">
        <f>IF(AND(ISNUMBER(X66), ISNUMBER(X70)), INDEX('2.Distancias'!E3:J1446, (X66*38) + X70 + 1,4), NA())</f>
        <v>#N/A</v>
      </c>
      <c r="AB68" t="e">
        <f>IF(AND(ISNUMBER(AA66), ISNUMBER(AA70)), INDEX('2.Distancias'!E3:J1446, (AA66*38) + AA70 + 1,3), NA())</f>
        <v>#N/A</v>
      </c>
      <c r="AC68" t="e">
        <f>IF(AND(ISNUMBER(AA66), ISNUMBER(AA70)), INDEX('2.Distancias'!E3:J1446, (AA66*38) + AA70 + 1,4), NA())</f>
        <v>#N/A</v>
      </c>
      <c r="AE68" t="e">
        <f>IF(AND(ISNUMBER(AD66), ISNUMBER(AD70)), INDEX('2.Distancias'!E3:J1446, (AD66*38) + AD70 + 1,3), NA())</f>
        <v>#N/A</v>
      </c>
      <c r="AF68" t="e">
        <f>IF(AND(ISNUMBER(AD66), ISNUMBER(AD70)), INDEX('2.Distancias'!E3:J1446, (AD66*38) + AD70 + 1,4), NA())</f>
        <v>#N/A</v>
      </c>
      <c r="AH68" t="e">
        <f>IF(AND(ISNUMBER(AG66), ISNUMBER(AG70)), INDEX('2.Distancias'!E3:J1446, (AG66*38) + AG70 + 1,3), NA())</f>
        <v>#N/A</v>
      </c>
      <c r="AI68" t="e">
        <f>IF(AND(ISNUMBER(AG66), ISNUMBER(AG70)), INDEX('2.Distancias'!E3:J1446, (AG66*38) + AG70 + 1,4), NA())</f>
        <v>#N/A</v>
      </c>
      <c r="AK68" t="e">
        <f>IF(AND(ISNUMBER(AJ66), ISNUMBER(AJ70)), INDEX('2.Distancias'!E3:J1446, (AJ66*38) + AJ70 + 1,3), NA())</f>
        <v>#N/A</v>
      </c>
      <c r="AL68" t="e">
        <f>IF(AND(ISNUMBER(AJ66), ISNUMBER(AJ70)), INDEX('2.Distancias'!E3:J1446, (AJ66*38) + AJ70 + 1,4), NA())</f>
        <v>#N/A</v>
      </c>
    </row>
    <row r="69" spans="15:38" x14ac:dyDescent="0.25">
      <c r="P69" t="e">
        <f>IF(AND(ISNUMBER(O66), ISNUMBER(O70)), INDEX('2.Distancias'!E3:J1446, (O66*38) + O70 + 1,5), NA())</f>
        <v>#N/A</v>
      </c>
      <c r="Q69" t="e">
        <f>IF(AND(ISNUMBER(O66), ISNUMBER(O70)), INDEX('2.Distancias'!E3:J1446, (O66*38) + O70 + 1,6), NA())</f>
        <v>#N/A</v>
      </c>
      <c r="S69" t="e">
        <f>IF(AND(ISNUMBER(R66), ISNUMBER(R70)), INDEX('2.Distancias'!E3:J1446, (R66*38) + R70 + 1,5), NA())</f>
        <v>#N/A</v>
      </c>
      <c r="T69" t="e">
        <f>IF(AND(ISNUMBER(R66), ISNUMBER(R70)), INDEX('2.Distancias'!E3:J1446, (R66*38) + R70 + 1,6), NA())</f>
        <v>#N/A</v>
      </c>
      <c r="V69" t="e">
        <f>IF(AND(ISNUMBER(U66), ISNUMBER(U70)), INDEX('2.Distancias'!E3:J1446, (U66*38) + U70 + 1,5), NA())</f>
        <v>#N/A</v>
      </c>
      <c r="W69" t="e">
        <f>IF(AND(ISNUMBER(U66), ISNUMBER(U70)), INDEX('2.Distancias'!E3:J1446, (U66*38) + U70 + 1,6), NA())</f>
        <v>#N/A</v>
      </c>
      <c r="Y69" t="e">
        <f>IF(AND(ISNUMBER(X66), ISNUMBER(X70)), INDEX('2.Distancias'!E3:J1446, (X66*38) + X70 + 1,5), NA())</f>
        <v>#N/A</v>
      </c>
      <c r="Z69" t="e">
        <f>IF(AND(ISNUMBER(X66), ISNUMBER(X70)), INDEX('2.Distancias'!E3:J1446, (X66*38) + X70 + 1,6), NA())</f>
        <v>#N/A</v>
      </c>
      <c r="AB69" t="e">
        <f>IF(AND(ISNUMBER(AA66), ISNUMBER(AA70)), INDEX('2.Distancias'!E3:J1446, (AA66*38) + AA70 + 1,5), NA())</f>
        <v>#N/A</v>
      </c>
      <c r="AC69" t="e">
        <f>IF(AND(ISNUMBER(AA66), ISNUMBER(AA70)), INDEX('2.Distancias'!E3:J1446, (AA66*38) + AA70 + 1,6), NA())</f>
        <v>#N/A</v>
      </c>
      <c r="AE69" t="e">
        <f>IF(AND(ISNUMBER(AD66), ISNUMBER(AD70)), INDEX('2.Distancias'!E3:J1446, (AD66*38) + AD70 + 1,5), NA())</f>
        <v>#N/A</v>
      </c>
      <c r="AF69" t="e">
        <f>IF(AND(ISNUMBER(AD66), ISNUMBER(AD70)), INDEX('2.Distancias'!E3:J1446, (AD66*38) + AD70 + 1,6), NA())</f>
        <v>#N/A</v>
      </c>
      <c r="AH69" t="e">
        <f>IF(AND(ISNUMBER(AG66), ISNUMBER(AG70)), INDEX('2.Distancias'!E3:J1446, (AG66*38) + AG70 + 1,5), NA())</f>
        <v>#N/A</v>
      </c>
      <c r="AI69" t="e">
        <f>IF(AND(ISNUMBER(AG66), ISNUMBER(AG70)), INDEX('2.Distancias'!E3:J1446, (AG66*38) + AG70 + 1,6), NA())</f>
        <v>#N/A</v>
      </c>
      <c r="AK69" t="e">
        <f>IF(AND(ISNUMBER(AJ66), ISNUMBER(AJ70)), INDEX('2.Distancias'!E3:J1446, (AJ66*38) + AJ70 + 1,5), NA())</f>
        <v>#N/A</v>
      </c>
      <c r="AL69" t="e">
        <f>IF(AND(ISNUMBER(AJ66), ISNUMBER(AJ70)), INDEX('2.Distancias'!E3:J1446, (AJ66*38) + AJ70 + 1,6), NA())</f>
        <v>#N/A</v>
      </c>
    </row>
    <row r="70" spans="15:38" x14ac:dyDescent="0.25">
      <c r="O70" t="str">
        <f>'4.Solución'!C22</f>
        <v xml:space="preserve"> </v>
      </c>
      <c r="P70" t="e">
        <f>IFERROR(IF(ISNUMBER(O70),INDEX('1 ubicaciones'!$D$2:$D$22,O70 + 1),NA()),NA())</f>
        <v>#N/A</v>
      </c>
      <c r="Q70" t="e">
        <f>IFERROR(IF(ISNUMBER(O70),INDEX('1 ubicaciones'!$E$2:$E$22,O70 + 1),NA()),NA())</f>
        <v>#N/A</v>
      </c>
      <c r="R70" t="str">
        <f>'4.Solución'!T22</f>
        <v xml:space="preserve"> </v>
      </c>
      <c r="S70" t="e">
        <f>IFERROR(IF(ISNUMBER(R70),INDEX('1 ubicaciones'!$D$2:$D$22,R70 + 1),NA()),NA())</f>
        <v>#N/A</v>
      </c>
      <c r="T70" t="e">
        <f>IFERROR(IF(ISNUMBER(R70),INDEX('1 ubicaciones'!$E$2:$E$22,R70 + 1),NA()),NA())</f>
        <v>#N/A</v>
      </c>
      <c r="U70" t="str">
        <f>'4.Solución'!AK22</f>
        <v xml:space="preserve"> </v>
      </c>
      <c r="V70" t="e">
        <f>IFERROR(IF(ISNUMBER(U70),INDEX('1 ubicaciones'!$D$2:$D$22,U70 + 1),NA()),NA())</f>
        <v>#N/A</v>
      </c>
      <c r="W70" t="e">
        <f>IFERROR(IF(ISNUMBER(U70),INDEX('1 ubicaciones'!$E$2:$E$22,U70 + 1),NA()),NA())</f>
        <v>#N/A</v>
      </c>
      <c r="X70" t="str">
        <f>'4.Solución'!BB22</f>
        <v xml:space="preserve"> </v>
      </c>
      <c r="Y70" t="e">
        <f>IFERROR(IF(ISNUMBER(X70),INDEX('1 ubicaciones'!$D$2:$D$22,X70 + 1),NA()),NA())</f>
        <v>#N/A</v>
      </c>
      <c r="Z70" t="e">
        <f>IFERROR(IF(ISNUMBER(X70),INDEX('1 ubicaciones'!$E$2:$E$22,X70 + 1),NA()),NA())</f>
        <v>#N/A</v>
      </c>
      <c r="AA70" t="str">
        <f>'4.Solución'!BS22</f>
        <v xml:space="preserve"> </v>
      </c>
      <c r="AB70" t="e">
        <f>IFERROR(IF(ISNUMBER(AA70),INDEX('1 ubicaciones'!$D$2:$D$22,AA70 + 1),NA()),NA())</f>
        <v>#N/A</v>
      </c>
      <c r="AC70" t="e">
        <f>IFERROR(IF(ISNUMBER(AA70),INDEX('1 ubicaciones'!$E$2:$E$22,AA70 + 1),NA()),NA())</f>
        <v>#N/A</v>
      </c>
      <c r="AD70" t="str">
        <f>'4.Solución'!CJ22</f>
        <v xml:space="preserve"> </v>
      </c>
      <c r="AE70" t="e">
        <f>IFERROR(IF(ISNUMBER(AD70),INDEX('1 ubicaciones'!$D$2:$D$22,AD70 + 1),NA()),NA())</f>
        <v>#N/A</v>
      </c>
      <c r="AF70" t="e">
        <f>IFERROR(IF(ISNUMBER(AD70),INDEX('1 ubicaciones'!$E$2:$E$22,AD70 + 1),NA()),NA())</f>
        <v>#N/A</v>
      </c>
      <c r="AG70" t="str">
        <f>'4.Solución'!DA22</f>
        <v xml:space="preserve"> </v>
      </c>
      <c r="AH70" t="e">
        <f>IFERROR(IF(ISNUMBER(AG70),INDEX('1 ubicaciones'!$D$2:$D$22,AG70 + 1),NA()),NA())</f>
        <v>#N/A</v>
      </c>
      <c r="AI70" t="e">
        <f>IFERROR(IF(ISNUMBER(AG70),INDEX('1 ubicaciones'!$E$2:$E$22,AG70 + 1),NA()),NA())</f>
        <v>#N/A</v>
      </c>
      <c r="AJ70" t="str">
        <f>'4.Solución'!DR22</f>
        <v xml:space="preserve"> </v>
      </c>
      <c r="AK70" t="e">
        <f>IFERROR(IF(ISNUMBER(AJ70),INDEX('1 ubicaciones'!$D$2:$D$22,AJ70 + 1),NA()),NA())</f>
        <v>#N/A</v>
      </c>
      <c r="AL70" t="e">
        <f>IFERROR(IF(ISNUMBER(AJ70),INDEX('1 ubicaciones'!$E$2:$E$22,AJ70 + 1),NA()),NA())</f>
        <v>#N/A</v>
      </c>
    </row>
    <row r="71" spans="15:38" x14ac:dyDescent="0.25">
      <c r="P71" t="e">
        <f>IF(AND(ISNUMBER(O70), ISNUMBER(O74)), INDEX('2.Distancias'!E3:J1446, (O70*38) + O74 + 1,1), NA())</f>
        <v>#N/A</v>
      </c>
      <c r="Q71" t="e">
        <f>IF(AND(ISNUMBER(O70), ISNUMBER(O74)), INDEX('2.Distancias'!E3:J1446, (O70*38) + O74 + 1,2), NA())</f>
        <v>#N/A</v>
      </c>
      <c r="S71" t="e">
        <f>IF(AND(ISNUMBER(R70), ISNUMBER(R74)), INDEX('2.Distancias'!E3:J1446, (R70*38) + R74 + 1,1), NA())</f>
        <v>#N/A</v>
      </c>
      <c r="T71" t="e">
        <f>IF(AND(ISNUMBER(R70), ISNUMBER(R74)), INDEX('2.Distancias'!E3:J1446, (R70*38) + R74 + 1,2), NA())</f>
        <v>#N/A</v>
      </c>
      <c r="V71" t="e">
        <f>IF(AND(ISNUMBER(U70), ISNUMBER(U74)), INDEX('2.Distancias'!E3:J1446, (U70*38) + U74 + 1,1), NA())</f>
        <v>#N/A</v>
      </c>
      <c r="W71" t="e">
        <f>IF(AND(ISNUMBER(U70), ISNUMBER(U74)), INDEX('2.Distancias'!E3:J1446, (U70*38) + U74 + 1,2), NA())</f>
        <v>#N/A</v>
      </c>
      <c r="Y71" t="e">
        <f>IF(AND(ISNUMBER(X70), ISNUMBER(X74)), INDEX('2.Distancias'!E3:J1446, (X70*38) + X74 + 1,1), NA())</f>
        <v>#N/A</v>
      </c>
      <c r="Z71" t="e">
        <f>IF(AND(ISNUMBER(X70), ISNUMBER(X74)), INDEX('2.Distancias'!E3:J1446, (X70*38) + X74 + 1,2), NA())</f>
        <v>#N/A</v>
      </c>
      <c r="AB71" t="e">
        <f>IF(AND(ISNUMBER(AA70), ISNUMBER(AA74)), INDEX('2.Distancias'!E3:J1446, (AA70*38) + AA74 + 1,1), NA())</f>
        <v>#N/A</v>
      </c>
      <c r="AC71" t="e">
        <f>IF(AND(ISNUMBER(AA70), ISNUMBER(AA74)), INDEX('2.Distancias'!E3:J1446, (AA70*38) + AA74 + 1,2), NA())</f>
        <v>#N/A</v>
      </c>
      <c r="AE71" t="e">
        <f>IF(AND(ISNUMBER(AD70), ISNUMBER(AD74)), INDEX('2.Distancias'!E3:J1446, (AD70*38) + AD74 + 1,1), NA())</f>
        <v>#N/A</v>
      </c>
      <c r="AF71" t="e">
        <f>IF(AND(ISNUMBER(AD70), ISNUMBER(AD74)), INDEX('2.Distancias'!E3:J1446, (AD70*38) + AD74 + 1,2), NA())</f>
        <v>#N/A</v>
      </c>
      <c r="AH71" t="e">
        <f>IF(AND(ISNUMBER(AG70), ISNUMBER(AG74)), INDEX('2.Distancias'!E3:J1446, (AG70*38) + AG74 + 1,1), NA())</f>
        <v>#N/A</v>
      </c>
      <c r="AI71" t="e">
        <f>IF(AND(ISNUMBER(AG70), ISNUMBER(AG74)), INDEX('2.Distancias'!E3:J1446, (AG70*38) + AG74 + 1,2), NA())</f>
        <v>#N/A</v>
      </c>
      <c r="AK71" t="e">
        <f>IF(AND(ISNUMBER(AJ70), ISNUMBER(AJ74)), INDEX('2.Distancias'!E3:J1446, (AJ70*38) + AJ74 + 1,1), NA())</f>
        <v>#N/A</v>
      </c>
      <c r="AL71" t="e">
        <f>IF(AND(ISNUMBER(AJ70), ISNUMBER(AJ74)), INDEX('2.Distancias'!E3:J1446, (AJ70*38) + AJ74 + 1,2), NA())</f>
        <v>#N/A</v>
      </c>
    </row>
    <row r="72" spans="15:38" x14ac:dyDescent="0.25">
      <c r="P72" t="e">
        <f>IF(AND(ISNUMBER(O70), ISNUMBER(O74)), INDEX('2.Distancias'!E3:J1446, (O70*38) + O74 + 1,3), NA())</f>
        <v>#N/A</v>
      </c>
      <c r="Q72" t="e">
        <f>IF(AND(ISNUMBER(O70), ISNUMBER(O74)), INDEX('2.Distancias'!E3:J1446, (O70*38) + O74 + 1,4), NA())</f>
        <v>#N/A</v>
      </c>
      <c r="S72" t="e">
        <f>IF(AND(ISNUMBER(R70), ISNUMBER(R74)), INDEX('2.Distancias'!E3:J1446, (R70*38) + R74 + 1,3), NA())</f>
        <v>#N/A</v>
      </c>
      <c r="T72" t="e">
        <f>IF(AND(ISNUMBER(R70), ISNUMBER(R74)), INDEX('2.Distancias'!E3:J1446, (R70*38) + R74 + 1,4), NA())</f>
        <v>#N/A</v>
      </c>
      <c r="V72" t="e">
        <f>IF(AND(ISNUMBER(U70), ISNUMBER(U74)), INDEX('2.Distancias'!E3:J1446, (U70*38) + U74 + 1,3), NA())</f>
        <v>#N/A</v>
      </c>
      <c r="W72" t="e">
        <f>IF(AND(ISNUMBER(U70), ISNUMBER(U74)), INDEX('2.Distancias'!E3:J1446, (U70*38) + U74 + 1,4), NA())</f>
        <v>#N/A</v>
      </c>
      <c r="Y72" t="e">
        <f>IF(AND(ISNUMBER(X70), ISNUMBER(X74)), INDEX('2.Distancias'!E3:J1446, (X70*38) + X74 + 1,3), NA())</f>
        <v>#N/A</v>
      </c>
      <c r="Z72" t="e">
        <f>IF(AND(ISNUMBER(X70), ISNUMBER(X74)), INDEX('2.Distancias'!E3:J1446, (X70*38) + X74 + 1,4), NA())</f>
        <v>#N/A</v>
      </c>
      <c r="AB72" t="e">
        <f>IF(AND(ISNUMBER(AA70), ISNUMBER(AA74)), INDEX('2.Distancias'!E3:J1446, (AA70*38) + AA74 + 1,3), NA())</f>
        <v>#N/A</v>
      </c>
      <c r="AC72" t="e">
        <f>IF(AND(ISNUMBER(AA70), ISNUMBER(AA74)), INDEX('2.Distancias'!E3:J1446, (AA70*38) + AA74 + 1,4), NA())</f>
        <v>#N/A</v>
      </c>
      <c r="AE72" t="e">
        <f>IF(AND(ISNUMBER(AD70), ISNUMBER(AD74)), INDEX('2.Distancias'!E3:J1446, (AD70*38) + AD74 + 1,3), NA())</f>
        <v>#N/A</v>
      </c>
      <c r="AF72" t="e">
        <f>IF(AND(ISNUMBER(AD70), ISNUMBER(AD74)), INDEX('2.Distancias'!E3:J1446, (AD70*38) + AD74 + 1,4), NA())</f>
        <v>#N/A</v>
      </c>
      <c r="AH72" t="e">
        <f>IF(AND(ISNUMBER(AG70), ISNUMBER(AG74)), INDEX('2.Distancias'!E3:J1446, (AG70*38) + AG74 + 1,3), NA())</f>
        <v>#N/A</v>
      </c>
      <c r="AI72" t="e">
        <f>IF(AND(ISNUMBER(AG70), ISNUMBER(AG74)), INDEX('2.Distancias'!E3:J1446, (AG70*38) + AG74 + 1,4), NA())</f>
        <v>#N/A</v>
      </c>
      <c r="AK72" t="e">
        <f>IF(AND(ISNUMBER(AJ70), ISNUMBER(AJ74)), INDEX('2.Distancias'!E3:J1446, (AJ70*38) + AJ74 + 1,3), NA())</f>
        <v>#N/A</v>
      </c>
      <c r="AL72" t="e">
        <f>IF(AND(ISNUMBER(AJ70), ISNUMBER(AJ74)), INDEX('2.Distancias'!E3:J1446, (AJ70*38) + AJ74 + 1,4), NA())</f>
        <v>#N/A</v>
      </c>
    </row>
    <row r="73" spans="15:38" x14ac:dyDescent="0.25">
      <c r="P73" t="e">
        <f>IF(AND(ISNUMBER(O70), ISNUMBER(O74)), INDEX('2.Distancias'!E3:J1446, (O70*38) + O74 + 1,5), NA())</f>
        <v>#N/A</v>
      </c>
      <c r="Q73" t="e">
        <f>IF(AND(ISNUMBER(O70), ISNUMBER(O74)), INDEX('2.Distancias'!E3:J1446, (O70*38) + O74 + 1,6), NA())</f>
        <v>#N/A</v>
      </c>
      <c r="S73" t="e">
        <f>IF(AND(ISNUMBER(R70), ISNUMBER(R74)), INDEX('2.Distancias'!E3:J1446, (R70*38) + R74 + 1,5), NA())</f>
        <v>#N/A</v>
      </c>
      <c r="T73" t="e">
        <f>IF(AND(ISNUMBER(R70), ISNUMBER(R74)), INDEX('2.Distancias'!E3:J1446, (R70*38) + R74 + 1,6), NA())</f>
        <v>#N/A</v>
      </c>
      <c r="V73" t="e">
        <f>IF(AND(ISNUMBER(U70), ISNUMBER(U74)), INDEX('2.Distancias'!E3:J1446, (U70*38) + U74 + 1,5), NA())</f>
        <v>#N/A</v>
      </c>
      <c r="W73" t="e">
        <f>IF(AND(ISNUMBER(U70), ISNUMBER(U74)), INDEX('2.Distancias'!E3:J1446, (U70*38) + U74 + 1,6), NA())</f>
        <v>#N/A</v>
      </c>
      <c r="Y73" t="e">
        <f>IF(AND(ISNUMBER(X70), ISNUMBER(X74)), INDEX('2.Distancias'!E3:J1446, (X70*38) + X74 + 1,5), NA())</f>
        <v>#N/A</v>
      </c>
      <c r="Z73" t="e">
        <f>IF(AND(ISNUMBER(X70), ISNUMBER(X74)), INDEX('2.Distancias'!E3:J1446, (X70*38) + X74 + 1,6), NA())</f>
        <v>#N/A</v>
      </c>
      <c r="AB73" t="e">
        <f>IF(AND(ISNUMBER(AA70), ISNUMBER(AA74)), INDEX('2.Distancias'!E3:J1446, (AA70*38) + AA74 + 1,5), NA())</f>
        <v>#N/A</v>
      </c>
      <c r="AC73" t="e">
        <f>IF(AND(ISNUMBER(AA70), ISNUMBER(AA74)), INDEX('2.Distancias'!E3:J1446, (AA70*38) + AA74 + 1,6), NA())</f>
        <v>#N/A</v>
      </c>
      <c r="AE73" t="e">
        <f>IF(AND(ISNUMBER(AD70), ISNUMBER(AD74)), INDEX('2.Distancias'!E3:J1446, (AD70*38) + AD74 + 1,5), NA())</f>
        <v>#N/A</v>
      </c>
      <c r="AF73" t="e">
        <f>IF(AND(ISNUMBER(AD70), ISNUMBER(AD74)), INDEX('2.Distancias'!E3:J1446, (AD70*38) + AD74 + 1,6), NA())</f>
        <v>#N/A</v>
      </c>
      <c r="AH73" t="e">
        <f>IF(AND(ISNUMBER(AG70), ISNUMBER(AG74)), INDEX('2.Distancias'!E3:J1446, (AG70*38) + AG74 + 1,5), NA())</f>
        <v>#N/A</v>
      </c>
      <c r="AI73" t="e">
        <f>IF(AND(ISNUMBER(AG70), ISNUMBER(AG74)), INDEX('2.Distancias'!E3:J1446, (AG70*38) + AG74 + 1,6), NA())</f>
        <v>#N/A</v>
      </c>
      <c r="AK73" t="e">
        <f>IF(AND(ISNUMBER(AJ70), ISNUMBER(AJ74)), INDEX('2.Distancias'!E3:J1446, (AJ70*38) + AJ74 + 1,5), NA())</f>
        <v>#N/A</v>
      </c>
      <c r="AL73" t="e">
        <f>IF(AND(ISNUMBER(AJ70), ISNUMBER(AJ74)), INDEX('2.Distancias'!E3:J1446, (AJ70*38) + AJ74 + 1,6), NA())</f>
        <v>#N/A</v>
      </c>
    </row>
    <row r="74" spans="15:38" x14ac:dyDescent="0.25">
      <c r="O74" t="str">
        <f>'4.Solución'!C23</f>
        <v xml:space="preserve"> </v>
      </c>
      <c r="P74" t="e">
        <f>IFERROR(IF(ISNUMBER(O74),INDEX('1 ubicaciones'!$D$2:$D$22,O74 + 1),NA()),NA())</f>
        <v>#N/A</v>
      </c>
      <c r="Q74" t="e">
        <f>IFERROR(IF(ISNUMBER(O74),INDEX('1 ubicaciones'!$E$2:$E$22,O74 + 1),NA()),NA())</f>
        <v>#N/A</v>
      </c>
      <c r="R74" t="str">
        <f>'4.Solución'!T23</f>
        <v xml:space="preserve"> </v>
      </c>
      <c r="S74" t="e">
        <f>IFERROR(IF(ISNUMBER(R74),INDEX('1 ubicaciones'!$D$2:$D$22,R74 + 1),NA()),NA())</f>
        <v>#N/A</v>
      </c>
      <c r="T74" t="e">
        <f>IFERROR(IF(ISNUMBER(R74),INDEX('1 ubicaciones'!$E$2:$E$22,R74 + 1),NA()),NA())</f>
        <v>#N/A</v>
      </c>
      <c r="U74" t="str">
        <f>'4.Solución'!AK23</f>
        <v xml:space="preserve"> </v>
      </c>
      <c r="V74" t="e">
        <f>IFERROR(IF(ISNUMBER(U74),INDEX('1 ubicaciones'!$D$2:$D$22,U74 + 1),NA()),NA())</f>
        <v>#N/A</v>
      </c>
      <c r="W74" t="e">
        <f>IFERROR(IF(ISNUMBER(U74),INDEX('1 ubicaciones'!$E$2:$E$22,U74 + 1),NA()),NA())</f>
        <v>#N/A</v>
      </c>
      <c r="X74" t="str">
        <f>'4.Solución'!BB23</f>
        <v xml:space="preserve"> </v>
      </c>
      <c r="Y74" t="e">
        <f>IFERROR(IF(ISNUMBER(X74),INDEX('1 ubicaciones'!$D$2:$D$22,X74 + 1),NA()),NA())</f>
        <v>#N/A</v>
      </c>
      <c r="Z74" t="e">
        <f>IFERROR(IF(ISNUMBER(X74),INDEX('1 ubicaciones'!$E$2:$E$22,X74 + 1),NA()),NA())</f>
        <v>#N/A</v>
      </c>
      <c r="AA74" t="str">
        <f>'4.Solución'!BS23</f>
        <v xml:space="preserve"> </v>
      </c>
      <c r="AB74" t="e">
        <f>IFERROR(IF(ISNUMBER(AA74),INDEX('1 ubicaciones'!$D$2:$D$22,AA74 + 1),NA()),NA())</f>
        <v>#N/A</v>
      </c>
      <c r="AC74" t="e">
        <f>IFERROR(IF(ISNUMBER(AA74),INDEX('1 ubicaciones'!$E$2:$E$22,AA74 + 1),NA()),NA())</f>
        <v>#N/A</v>
      </c>
      <c r="AD74" t="str">
        <f>'4.Solución'!CJ23</f>
        <v xml:space="preserve"> </v>
      </c>
      <c r="AE74" t="e">
        <f>IFERROR(IF(ISNUMBER(AD74),INDEX('1 ubicaciones'!$D$2:$D$22,AD74 + 1),NA()),NA())</f>
        <v>#N/A</v>
      </c>
      <c r="AF74" t="e">
        <f>IFERROR(IF(ISNUMBER(AD74),INDEX('1 ubicaciones'!$E$2:$E$22,AD74 + 1),NA()),NA())</f>
        <v>#N/A</v>
      </c>
      <c r="AG74" t="str">
        <f>'4.Solución'!DA23</f>
        <v xml:space="preserve"> </v>
      </c>
      <c r="AH74" t="e">
        <f>IFERROR(IF(ISNUMBER(AG74),INDEX('1 ubicaciones'!$D$2:$D$22,AG74 + 1),NA()),NA())</f>
        <v>#N/A</v>
      </c>
      <c r="AI74" t="e">
        <f>IFERROR(IF(ISNUMBER(AG74),INDEX('1 ubicaciones'!$E$2:$E$22,AG74 + 1),NA()),NA())</f>
        <v>#N/A</v>
      </c>
      <c r="AJ74" t="str">
        <f>'4.Solución'!DR23</f>
        <v xml:space="preserve"> </v>
      </c>
      <c r="AK74" t="e">
        <f>IFERROR(IF(ISNUMBER(AJ74),INDEX('1 ubicaciones'!$D$2:$D$22,AJ74 + 1),NA()),NA())</f>
        <v>#N/A</v>
      </c>
      <c r="AL74" t="e">
        <f>IFERROR(IF(ISNUMBER(AJ74),INDEX('1 ubicaciones'!$E$2:$E$22,AJ74 + 1),NA()),NA())</f>
        <v>#N/A</v>
      </c>
    </row>
    <row r="75" spans="15:38" x14ac:dyDescent="0.25">
      <c r="P75" t="e">
        <f>IF(AND(ISNUMBER(O74), ISNUMBER(O78)), INDEX('2.Distancias'!E3:J1446, (O74*38) + O78 + 1,1), NA())</f>
        <v>#N/A</v>
      </c>
      <c r="Q75" t="e">
        <f>IF(AND(ISNUMBER(O74), ISNUMBER(O78)), INDEX('2.Distancias'!E3:J1446, (O74*38) + O78 + 1,2), NA())</f>
        <v>#N/A</v>
      </c>
      <c r="S75" t="e">
        <f>IF(AND(ISNUMBER(R74), ISNUMBER(R78)), INDEX('2.Distancias'!E3:J1446, (R74*38) + R78 + 1,1), NA())</f>
        <v>#N/A</v>
      </c>
      <c r="T75" t="e">
        <f>IF(AND(ISNUMBER(R74), ISNUMBER(R78)), INDEX('2.Distancias'!E3:J1446, (R74*38) + R78 + 1,2), NA())</f>
        <v>#N/A</v>
      </c>
      <c r="V75" t="e">
        <f>IF(AND(ISNUMBER(U74), ISNUMBER(U78)), INDEX('2.Distancias'!E3:J1446, (U74*38) + U78 + 1,1), NA())</f>
        <v>#N/A</v>
      </c>
      <c r="W75" t="e">
        <f>IF(AND(ISNUMBER(U74), ISNUMBER(U78)), INDEX('2.Distancias'!E3:J1446, (U74*38) + U78 + 1,2), NA())</f>
        <v>#N/A</v>
      </c>
      <c r="Y75" t="e">
        <f>IF(AND(ISNUMBER(X74), ISNUMBER(X78)), INDEX('2.Distancias'!E3:J1446, (X74*38) + X78 + 1,1), NA())</f>
        <v>#N/A</v>
      </c>
      <c r="Z75" t="e">
        <f>IF(AND(ISNUMBER(X74), ISNUMBER(X78)), INDEX('2.Distancias'!E3:J1446, (X74*38) + X78 + 1,2), NA())</f>
        <v>#N/A</v>
      </c>
      <c r="AB75" t="e">
        <f>IF(AND(ISNUMBER(AA74), ISNUMBER(AA78)), INDEX('2.Distancias'!E3:J1446, (AA74*38) + AA78 + 1,1), NA())</f>
        <v>#N/A</v>
      </c>
      <c r="AC75" t="e">
        <f>IF(AND(ISNUMBER(AA74), ISNUMBER(AA78)), INDEX('2.Distancias'!E3:J1446, (AA74*38) + AA78 + 1,2), NA())</f>
        <v>#N/A</v>
      </c>
      <c r="AE75" t="e">
        <f>IF(AND(ISNUMBER(AD74), ISNUMBER(AD78)), INDEX('2.Distancias'!E3:J1446, (AD74*38) + AD78 + 1,1), NA())</f>
        <v>#N/A</v>
      </c>
      <c r="AF75" t="e">
        <f>IF(AND(ISNUMBER(AD74), ISNUMBER(AD78)), INDEX('2.Distancias'!E3:J1446, (AD74*38) + AD78 + 1,2), NA())</f>
        <v>#N/A</v>
      </c>
      <c r="AH75" t="e">
        <f>IF(AND(ISNUMBER(AG74), ISNUMBER(AG78)), INDEX('2.Distancias'!E3:J1446, (AG74*38) + AG78 + 1,1), NA())</f>
        <v>#N/A</v>
      </c>
      <c r="AI75" t="e">
        <f>IF(AND(ISNUMBER(AG74), ISNUMBER(AG78)), INDEX('2.Distancias'!E3:J1446, (AG74*38) + AG78 + 1,2), NA())</f>
        <v>#N/A</v>
      </c>
      <c r="AK75" t="e">
        <f>IF(AND(ISNUMBER(AJ74), ISNUMBER(AJ78)), INDEX('2.Distancias'!E3:J1446, (AJ74*38) + AJ78 + 1,1), NA())</f>
        <v>#N/A</v>
      </c>
      <c r="AL75" t="e">
        <f>IF(AND(ISNUMBER(AJ74), ISNUMBER(AJ78)), INDEX('2.Distancias'!E3:J1446, (AJ74*38) + AJ78 + 1,2), NA())</f>
        <v>#N/A</v>
      </c>
    </row>
    <row r="76" spans="15:38" x14ac:dyDescent="0.25">
      <c r="P76" t="e">
        <f>IF(AND(ISNUMBER(O74), ISNUMBER(O78)), INDEX('2.Distancias'!E3:J1446, (O74*38) + O78 + 1,3), NA())</f>
        <v>#N/A</v>
      </c>
      <c r="Q76" t="e">
        <f>IF(AND(ISNUMBER(O74), ISNUMBER(O78)), INDEX('2.Distancias'!E3:J1446, (O74*38) + O78 + 1,4), NA())</f>
        <v>#N/A</v>
      </c>
      <c r="S76" t="e">
        <f>IF(AND(ISNUMBER(R74), ISNUMBER(R78)), INDEX('2.Distancias'!E3:J1446, (R74*38) + R78 + 1,3), NA())</f>
        <v>#N/A</v>
      </c>
      <c r="T76" t="e">
        <f>IF(AND(ISNUMBER(R74), ISNUMBER(R78)), INDEX('2.Distancias'!E3:J1446, (R74*38) + R78 + 1,4), NA())</f>
        <v>#N/A</v>
      </c>
      <c r="V76" t="e">
        <f>IF(AND(ISNUMBER(U74), ISNUMBER(U78)), INDEX('2.Distancias'!E3:J1446, (U74*38) + U78 + 1,3), NA())</f>
        <v>#N/A</v>
      </c>
      <c r="W76" t="e">
        <f>IF(AND(ISNUMBER(U74), ISNUMBER(U78)), INDEX('2.Distancias'!E3:J1446, (U74*38) + U78 + 1,4), NA())</f>
        <v>#N/A</v>
      </c>
      <c r="Y76" t="e">
        <f>IF(AND(ISNUMBER(X74), ISNUMBER(X78)), INDEX('2.Distancias'!E3:J1446, (X74*38) + X78 + 1,3), NA())</f>
        <v>#N/A</v>
      </c>
      <c r="Z76" t="e">
        <f>IF(AND(ISNUMBER(X74), ISNUMBER(X78)), INDEX('2.Distancias'!E3:J1446, (X74*38) + X78 + 1,4), NA())</f>
        <v>#N/A</v>
      </c>
      <c r="AB76" t="e">
        <f>IF(AND(ISNUMBER(AA74), ISNUMBER(AA78)), INDEX('2.Distancias'!E3:J1446, (AA74*38) + AA78 + 1,3), NA())</f>
        <v>#N/A</v>
      </c>
      <c r="AC76" t="e">
        <f>IF(AND(ISNUMBER(AA74), ISNUMBER(AA78)), INDEX('2.Distancias'!E3:J1446, (AA74*38) + AA78 + 1,4), NA())</f>
        <v>#N/A</v>
      </c>
      <c r="AE76" t="e">
        <f>IF(AND(ISNUMBER(AD74), ISNUMBER(AD78)), INDEX('2.Distancias'!E3:J1446, (AD74*38) + AD78 + 1,3), NA())</f>
        <v>#N/A</v>
      </c>
      <c r="AF76" t="e">
        <f>IF(AND(ISNUMBER(AD74), ISNUMBER(AD78)), INDEX('2.Distancias'!E3:J1446, (AD74*38) + AD78 + 1,4), NA())</f>
        <v>#N/A</v>
      </c>
      <c r="AH76" t="e">
        <f>IF(AND(ISNUMBER(AG74), ISNUMBER(AG78)), INDEX('2.Distancias'!E3:J1446, (AG74*38) + AG78 + 1,3), NA())</f>
        <v>#N/A</v>
      </c>
      <c r="AI76" t="e">
        <f>IF(AND(ISNUMBER(AG74), ISNUMBER(AG78)), INDEX('2.Distancias'!E3:J1446, (AG74*38) + AG78 + 1,4), NA())</f>
        <v>#N/A</v>
      </c>
      <c r="AK76" t="e">
        <f>IF(AND(ISNUMBER(AJ74), ISNUMBER(AJ78)), INDEX('2.Distancias'!E3:J1446, (AJ74*38) + AJ78 + 1,3), NA())</f>
        <v>#N/A</v>
      </c>
      <c r="AL76" t="e">
        <f>IF(AND(ISNUMBER(AJ74), ISNUMBER(AJ78)), INDEX('2.Distancias'!E3:J1446, (AJ74*38) + AJ78 + 1,4), NA())</f>
        <v>#N/A</v>
      </c>
    </row>
    <row r="77" spans="15:38" x14ac:dyDescent="0.25">
      <c r="P77" t="e">
        <f>IF(AND(ISNUMBER(O74), ISNUMBER(O78)), INDEX('2.Distancias'!E3:J1446, (O74*38) + O78 + 1,5), NA())</f>
        <v>#N/A</v>
      </c>
      <c r="Q77" t="e">
        <f>IF(AND(ISNUMBER(O74), ISNUMBER(O78)), INDEX('2.Distancias'!E3:J1446, (O74*38) + O78 + 1,6), NA())</f>
        <v>#N/A</v>
      </c>
      <c r="S77" t="e">
        <f>IF(AND(ISNUMBER(R74), ISNUMBER(R78)), INDEX('2.Distancias'!E3:J1446, (R74*38) + R78 + 1,5), NA())</f>
        <v>#N/A</v>
      </c>
      <c r="T77" t="e">
        <f>IF(AND(ISNUMBER(R74), ISNUMBER(R78)), INDEX('2.Distancias'!E3:J1446, (R74*38) + R78 + 1,6), NA())</f>
        <v>#N/A</v>
      </c>
      <c r="V77" t="e">
        <f>IF(AND(ISNUMBER(U74), ISNUMBER(U78)), INDEX('2.Distancias'!E3:J1446, (U74*38) + U78 + 1,5), NA())</f>
        <v>#N/A</v>
      </c>
      <c r="W77" t="e">
        <f>IF(AND(ISNUMBER(U74), ISNUMBER(U78)), INDEX('2.Distancias'!E3:J1446, (U74*38) + U78 + 1,6), NA())</f>
        <v>#N/A</v>
      </c>
      <c r="Y77" t="e">
        <f>IF(AND(ISNUMBER(X74), ISNUMBER(X78)), INDEX('2.Distancias'!E3:J1446, (X74*38) + X78 + 1,5), NA())</f>
        <v>#N/A</v>
      </c>
      <c r="Z77" t="e">
        <f>IF(AND(ISNUMBER(X74), ISNUMBER(X78)), INDEX('2.Distancias'!E3:J1446, (X74*38) + X78 + 1,6), NA())</f>
        <v>#N/A</v>
      </c>
      <c r="AB77" t="e">
        <f>IF(AND(ISNUMBER(AA74), ISNUMBER(AA78)), INDEX('2.Distancias'!E3:J1446, (AA74*38) + AA78 + 1,5), NA())</f>
        <v>#N/A</v>
      </c>
      <c r="AC77" t="e">
        <f>IF(AND(ISNUMBER(AA74), ISNUMBER(AA78)), INDEX('2.Distancias'!E3:J1446, (AA74*38) + AA78 + 1,6), NA())</f>
        <v>#N/A</v>
      </c>
      <c r="AE77" t="e">
        <f>IF(AND(ISNUMBER(AD74), ISNUMBER(AD78)), INDEX('2.Distancias'!E3:J1446, (AD74*38) + AD78 + 1,5), NA())</f>
        <v>#N/A</v>
      </c>
      <c r="AF77" t="e">
        <f>IF(AND(ISNUMBER(AD74), ISNUMBER(AD78)), INDEX('2.Distancias'!E3:J1446, (AD74*38) + AD78 + 1,6), NA())</f>
        <v>#N/A</v>
      </c>
      <c r="AH77" t="e">
        <f>IF(AND(ISNUMBER(AG74), ISNUMBER(AG78)), INDEX('2.Distancias'!E3:J1446, (AG74*38) + AG78 + 1,5), NA())</f>
        <v>#N/A</v>
      </c>
      <c r="AI77" t="e">
        <f>IF(AND(ISNUMBER(AG74), ISNUMBER(AG78)), INDEX('2.Distancias'!E3:J1446, (AG74*38) + AG78 + 1,6), NA())</f>
        <v>#N/A</v>
      </c>
      <c r="AK77" t="e">
        <f>IF(AND(ISNUMBER(AJ74), ISNUMBER(AJ78)), INDEX('2.Distancias'!E3:J1446, (AJ74*38) + AJ78 + 1,5), NA())</f>
        <v>#N/A</v>
      </c>
      <c r="AL77" t="e">
        <f>IF(AND(ISNUMBER(AJ74), ISNUMBER(AJ78)), INDEX('2.Distancias'!E3:J1446, (AJ74*38) + AJ78 + 1,6), NA())</f>
        <v>#N/A</v>
      </c>
    </row>
    <row r="78" spans="15:38" x14ac:dyDescent="0.25">
      <c r="O78" t="str">
        <f>'4.Solución'!C24</f>
        <v xml:space="preserve"> </v>
      </c>
      <c r="P78" t="e">
        <f>IFERROR(IF(ISNUMBER(O78),INDEX('1 ubicaciones'!$D$2:$D$22,O78 + 1),NA()),NA())</f>
        <v>#N/A</v>
      </c>
      <c r="Q78" t="e">
        <f>IFERROR(IF(ISNUMBER(O78),INDEX('1 ubicaciones'!$E$2:$E$22,O78 + 1),NA()),NA())</f>
        <v>#N/A</v>
      </c>
      <c r="R78" t="str">
        <f>'4.Solución'!T24</f>
        <v xml:space="preserve"> </v>
      </c>
      <c r="S78" t="e">
        <f>IFERROR(IF(ISNUMBER(R78),INDEX('1 ubicaciones'!$D$2:$D$22,R78 + 1),NA()),NA())</f>
        <v>#N/A</v>
      </c>
      <c r="T78" t="e">
        <f>IFERROR(IF(ISNUMBER(R78),INDEX('1 ubicaciones'!$E$2:$E$22,R78 + 1),NA()),NA())</f>
        <v>#N/A</v>
      </c>
      <c r="U78" t="str">
        <f>'4.Solución'!AK24</f>
        <v xml:space="preserve"> </v>
      </c>
      <c r="V78" t="e">
        <f>IFERROR(IF(ISNUMBER(U78),INDEX('1 ubicaciones'!$D$2:$D$22,U78 + 1),NA()),NA())</f>
        <v>#N/A</v>
      </c>
      <c r="W78" t="e">
        <f>IFERROR(IF(ISNUMBER(U78),INDEX('1 ubicaciones'!$E$2:$E$22,U78 + 1),NA()),NA())</f>
        <v>#N/A</v>
      </c>
      <c r="X78" t="str">
        <f>'4.Solución'!BB24</f>
        <v xml:space="preserve"> </v>
      </c>
      <c r="Y78" t="e">
        <f>IFERROR(IF(ISNUMBER(X78),INDEX('1 ubicaciones'!$D$2:$D$22,X78 + 1),NA()),NA())</f>
        <v>#N/A</v>
      </c>
      <c r="Z78" t="e">
        <f>IFERROR(IF(ISNUMBER(X78),INDEX('1 ubicaciones'!$E$2:$E$22,X78 + 1),NA()),NA())</f>
        <v>#N/A</v>
      </c>
      <c r="AA78" t="str">
        <f>'4.Solución'!BS24</f>
        <v xml:space="preserve"> </v>
      </c>
      <c r="AB78" t="e">
        <f>IFERROR(IF(ISNUMBER(AA78),INDEX('1 ubicaciones'!$D$2:$D$22,AA78 + 1),NA()),NA())</f>
        <v>#N/A</v>
      </c>
      <c r="AC78" t="e">
        <f>IFERROR(IF(ISNUMBER(AA78),INDEX('1 ubicaciones'!$E$2:$E$22,AA78 + 1),NA()),NA())</f>
        <v>#N/A</v>
      </c>
      <c r="AD78" t="str">
        <f>'4.Solución'!CJ24</f>
        <v xml:space="preserve"> </v>
      </c>
      <c r="AE78" t="e">
        <f>IFERROR(IF(ISNUMBER(AD78),INDEX('1 ubicaciones'!$D$2:$D$22,AD78 + 1),NA()),NA())</f>
        <v>#N/A</v>
      </c>
      <c r="AF78" t="e">
        <f>IFERROR(IF(ISNUMBER(AD78),INDEX('1 ubicaciones'!$E$2:$E$22,AD78 + 1),NA()),NA())</f>
        <v>#N/A</v>
      </c>
      <c r="AG78" t="str">
        <f>'4.Solución'!DA24</f>
        <v xml:space="preserve"> </v>
      </c>
      <c r="AH78" t="e">
        <f>IFERROR(IF(ISNUMBER(AG78),INDEX('1 ubicaciones'!$D$2:$D$22,AG78 + 1),NA()),NA())</f>
        <v>#N/A</v>
      </c>
      <c r="AI78" t="e">
        <f>IFERROR(IF(ISNUMBER(AG78),INDEX('1 ubicaciones'!$E$2:$E$22,AG78 + 1),NA()),NA())</f>
        <v>#N/A</v>
      </c>
      <c r="AJ78" t="str">
        <f>'4.Solución'!DR24</f>
        <v xml:space="preserve"> </v>
      </c>
      <c r="AK78" t="e">
        <f>IFERROR(IF(ISNUMBER(AJ78),INDEX('1 ubicaciones'!$D$2:$D$22,AJ78 + 1),NA()),NA())</f>
        <v>#N/A</v>
      </c>
      <c r="AL78" t="e">
        <f>IFERROR(IF(ISNUMBER(AJ78),INDEX('1 ubicaciones'!$E$2:$E$22,AJ78 + 1),NA()),NA())</f>
        <v>#N/A</v>
      </c>
    </row>
    <row r="79" spans="15:38" x14ac:dyDescent="0.25">
      <c r="P79" t="e">
        <f>IF(AND(ISNUMBER(O78), ISNUMBER(O82)), INDEX('2.Distancias'!E3:J1446, (O78*38) + O82 + 1,1), NA())</f>
        <v>#N/A</v>
      </c>
      <c r="Q79" t="e">
        <f>IF(AND(ISNUMBER(O78), ISNUMBER(O82)), INDEX('2.Distancias'!E3:J1446, (O78*38) + O82 + 1,2), NA())</f>
        <v>#N/A</v>
      </c>
      <c r="S79" t="e">
        <f>IF(AND(ISNUMBER(R78), ISNUMBER(R82)), INDEX('2.Distancias'!E3:J1446, (R78*38) + R82 + 1,1), NA())</f>
        <v>#N/A</v>
      </c>
      <c r="T79" t="e">
        <f>IF(AND(ISNUMBER(R78), ISNUMBER(R82)), INDEX('2.Distancias'!E3:J1446, (R78*38) + R82 + 1,2), NA())</f>
        <v>#N/A</v>
      </c>
      <c r="V79" t="e">
        <f>IF(AND(ISNUMBER(U78), ISNUMBER(U82)), INDEX('2.Distancias'!E3:J1446, (U78*38) + U82 + 1,1), NA())</f>
        <v>#N/A</v>
      </c>
      <c r="W79" t="e">
        <f>IF(AND(ISNUMBER(U78), ISNUMBER(U82)), INDEX('2.Distancias'!E3:J1446, (U78*38) + U82 + 1,2), NA())</f>
        <v>#N/A</v>
      </c>
      <c r="Y79" t="e">
        <f>IF(AND(ISNUMBER(X78), ISNUMBER(X82)), INDEX('2.Distancias'!E3:J1446, (X78*38) + X82 + 1,1), NA())</f>
        <v>#N/A</v>
      </c>
      <c r="Z79" t="e">
        <f>IF(AND(ISNUMBER(X78), ISNUMBER(X82)), INDEX('2.Distancias'!E3:J1446, (X78*38) + X82 + 1,2), NA())</f>
        <v>#N/A</v>
      </c>
      <c r="AB79" t="e">
        <f>IF(AND(ISNUMBER(AA78), ISNUMBER(AA82)), INDEX('2.Distancias'!E3:J1446, (AA78*38) + AA82 + 1,1), NA())</f>
        <v>#N/A</v>
      </c>
      <c r="AC79" t="e">
        <f>IF(AND(ISNUMBER(AA78), ISNUMBER(AA82)), INDEX('2.Distancias'!E3:J1446, (AA78*38) + AA82 + 1,2), NA())</f>
        <v>#N/A</v>
      </c>
      <c r="AE79" t="e">
        <f>IF(AND(ISNUMBER(AD78), ISNUMBER(AD82)), INDEX('2.Distancias'!E3:J1446, (AD78*38) + AD82 + 1,1), NA())</f>
        <v>#N/A</v>
      </c>
      <c r="AF79" t="e">
        <f>IF(AND(ISNUMBER(AD78), ISNUMBER(AD82)), INDEX('2.Distancias'!E3:J1446, (AD78*38) + AD82 + 1,2), NA())</f>
        <v>#N/A</v>
      </c>
      <c r="AH79" t="e">
        <f>IF(AND(ISNUMBER(AG78), ISNUMBER(AG82)), INDEX('2.Distancias'!E3:J1446, (AG78*38) + AG82 + 1,1), NA())</f>
        <v>#N/A</v>
      </c>
      <c r="AI79" t="e">
        <f>IF(AND(ISNUMBER(AG78), ISNUMBER(AG82)), INDEX('2.Distancias'!E3:J1446, (AG78*38) + AG82 + 1,2), NA())</f>
        <v>#N/A</v>
      </c>
      <c r="AK79" t="e">
        <f>IF(AND(ISNUMBER(AJ78), ISNUMBER(AJ82)), INDEX('2.Distancias'!E3:J1446, (AJ78*38) + AJ82 + 1,1), NA())</f>
        <v>#N/A</v>
      </c>
      <c r="AL79" t="e">
        <f>IF(AND(ISNUMBER(AJ78), ISNUMBER(AJ82)), INDEX('2.Distancias'!E3:J1446, (AJ78*38) + AJ82 + 1,2), NA())</f>
        <v>#N/A</v>
      </c>
    </row>
    <row r="80" spans="15:38" x14ac:dyDescent="0.25">
      <c r="P80" t="e">
        <f>IF(AND(ISNUMBER(O78), ISNUMBER(O82)), INDEX('2.Distancias'!E3:J1446, (O78*38) + O82 + 1,3), NA())</f>
        <v>#N/A</v>
      </c>
      <c r="Q80" t="e">
        <f>IF(AND(ISNUMBER(O78), ISNUMBER(O82)), INDEX('2.Distancias'!E3:J1446, (O78*38) + O82 + 1,4), NA())</f>
        <v>#N/A</v>
      </c>
      <c r="S80" t="e">
        <f>IF(AND(ISNUMBER(R78), ISNUMBER(R82)), INDEX('2.Distancias'!E3:J1446, (R78*38) + R82 + 1,3), NA())</f>
        <v>#N/A</v>
      </c>
      <c r="T80" t="e">
        <f>IF(AND(ISNUMBER(R78), ISNUMBER(R82)), INDEX('2.Distancias'!E3:J1446, (R78*38) + R82 + 1,4), NA())</f>
        <v>#N/A</v>
      </c>
      <c r="V80" t="e">
        <f>IF(AND(ISNUMBER(U78), ISNUMBER(U82)), INDEX('2.Distancias'!E3:J1446, (U78*38) + U82 + 1,3), NA())</f>
        <v>#N/A</v>
      </c>
      <c r="W80" t="e">
        <f>IF(AND(ISNUMBER(U78), ISNUMBER(U82)), INDEX('2.Distancias'!E3:J1446, (U78*38) + U82 + 1,4), NA())</f>
        <v>#N/A</v>
      </c>
      <c r="Y80" t="e">
        <f>IF(AND(ISNUMBER(X78), ISNUMBER(X82)), INDEX('2.Distancias'!E3:J1446, (X78*38) + X82 + 1,3), NA())</f>
        <v>#N/A</v>
      </c>
      <c r="Z80" t="e">
        <f>IF(AND(ISNUMBER(X78), ISNUMBER(X82)), INDEX('2.Distancias'!E3:J1446, (X78*38) + X82 + 1,4), NA())</f>
        <v>#N/A</v>
      </c>
      <c r="AB80" t="e">
        <f>IF(AND(ISNUMBER(AA78), ISNUMBER(AA82)), INDEX('2.Distancias'!E3:J1446, (AA78*38) + AA82 + 1,3), NA())</f>
        <v>#N/A</v>
      </c>
      <c r="AC80" t="e">
        <f>IF(AND(ISNUMBER(AA78), ISNUMBER(AA82)), INDEX('2.Distancias'!E3:J1446, (AA78*38) + AA82 + 1,4), NA())</f>
        <v>#N/A</v>
      </c>
      <c r="AE80" t="e">
        <f>IF(AND(ISNUMBER(AD78), ISNUMBER(AD82)), INDEX('2.Distancias'!E3:J1446, (AD78*38) + AD82 + 1,3), NA())</f>
        <v>#N/A</v>
      </c>
      <c r="AF80" t="e">
        <f>IF(AND(ISNUMBER(AD78), ISNUMBER(AD82)), INDEX('2.Distancias'!E3:J1446, (AD78*38) + AD82 + 1,4), NA())</f>
        <v>#N/A</v>
      </c>
      <c r="AH80" t="e">
        <f>IF(AND(ISNUMBER(AG78), ISNUMBER(AG82)), INDEX('2.Distancias'!E3:J1446, (AG78*38) + AG82 + 1,3), NA())</f>
        <v>#N/A</v>
      </c>
      <c r="AI80" t="e">
        <f>IF(AND(ISNUMBER(AG78), ISNUMBER(AG82)), INDEX('2.Distancias'!E3:J1446, (AG78*38) + AG82 + 1,4), NA())</f>
        <v>#N/A</v>
      </c>
      <c r="AK80" t="e">
        <f>IF(AND(ISNUMBER(AJ78), ISNUMBER(AJ82)), INDEX('2.Distancias'!E3:J1446, (AJ78*38) + AJ82 + 1,3), NA())</f>
        <v>#N/A</v>
      </c>
      <c r="AL80" t="e">
        <f>IF(AND(ISNUMBER(AJ78), ISNUMBER(AJ82)), INDEX('2.Distancias'!E3:J1446, (AJ78*38) + AJ82 + 1,4), NA())</f>
        <v>#N/A</v>
      </c>
    </row>
    <row r="81" spans="15:38" x14ac:dyDescent="0.25">
      <c r="P81" t="e">
        <f>IF(AND(ISNUMBER(O78), ISNUMBER(O82)), INDEX('2.Distancias'!E3:J1446, (O78*38) + O82 + 1,5), NA())</f>
        <v>#N/A</v>
      </c>
      <c r="Q81" t="e">
        <f>IF(AND(ISNUMBER(O78), ISNUMBER(O82)), INDEX('2.Distancias'!E3:J1446, (O78*38) + O82 + 1,6), NA())</f>
        <v>#N/A</v>
      </c>
      <c r="S81" t="e">
        <f>IF(AND(ISNUMBER(R78), ISNUMBER(R82)), INDEX('2.Distancias'!E3:J1446, (R78*38) + R82 + 1,5), NA())</f>
        <v>#N/A</v>
      </c>
      <c r="T81" t="e">
        <f>IF(AND(ISNUMBER(R78), ISNUMBER(R82)), INDEX('2.Distancias'!E3:J1446, (R78*38) + R82 + 1,6), NA())</f>
        <v>#N/A</v>
      </c>
      <c r="V81" t="e">
        <f>IF(AND(ISNUMBER(U78), ISNUMBER(U82)), INDEX('2.Distancias'!E3:J1446, (U78*38) + U82 + 1,5), NA())</f>
        <v>#N/A</v>
      </c>
      <c r="W81" t="e">
        <f>IF(AND(ISNUMBER(U78), ISNUMBER(U82)), INDEX('2.Distancias'!E3:J1446, (U78*38) + U82 + 1,6), NA())</f>
        <v>#N/A</v>
      </c>
      <c r="Y81" t="e">
        <f>IF(AND(ISNUMBER(X78), ISNUMBER(X82)), INDEX('2.Distancias'!E3:J1446, (X78*38) + X82 + 1,5), NA())</f>
        <v>#N/A</v>
      </c>
      <c r="Z81" t="e">
        <f>IF(AND(ISNUMBER(X78), ISNUMBER(X82)), INDEX('2.Distancias'!E3:J1446, (X78*38) + X82 + 1,6), NA())</f>
        <v>#N/A</v>
      </c>
      <c r="AB81" t="e">
        <f>IF(AND(ISNUMBER(AA78), ISNUMBER(AA82)), INDEX('2.Distancias'!E3:J1446, (AA78*38) + AA82 + 1,5), NA())</f>
        <v>#N/A</v>
      </c>
      <c r="AC81" t="e">
        <f>IF(AND(ISNUMBER(AA78), ISNUMBER(AA82)), INDEX('2.Distancias'!E3:J1446, (AA78*38) + AA82 + 1,6), NA())</f>
        <v>#N/A</v>
      </c>
      <c r="AE81" t="e">
        <f>IF(AND(ISNUMBER(AD78), ISNUMBER(AD82)), INDEX('2.Distancias'!E3:J1446, (AD78*38) + AD82 + 1,5), NA())</f>
        <v>#N/A</v>
      </c>
      <c r="AF81" t="e">
        <f>IF(AND(ISNUMBER(AD78), ISNUMBER(AD82)), INDEX('2.Distancias'!E3:J1446, (AD78*38) + AD82 + 1,6), NA())</f>
        <v>#N/A</v>
      </c>
      <c r="AH81" t="e">
        <f>IF(AND(ISNUMBER(AG78), ISNUMBER(AG82)), INDEX('2.Distancias'!E3:J1446, (AG78*38) + AG82 + 1,5), NA())</f>
        <v>#N/A</v>
      </c>
      <c r="AI81" t="e">
        <f>IF(AND(ISNUMBER(AG78), ISNUMBER(AG82)), INDEX('2.Distancias'!E3:J1446, (AG78*38) + AG82 + 1,6), NA())</f>
        <v>#N/A</v>
      </c>
      <c r="AK81" t="e">
        <f>IF(AND(ISNUMBER(AJ78), ISNUMBER(AJ82)), INDEX('2.Distancias'!E3:J1446, (AJ78*38) + AJ82 + 1,5), NA())</f>
        <v>#N/A</v>
      </c>
      <c r="AL81" t="e">
        <f>IF(AND(ISNUMBER(AJ78), ISNUMBER(AJ82)), INDEX('2.Distancias'!E3:J1446, (AJ78*38) + AJ82 + 1,6), NA())</f>
        <v>#N/A</v>
      </c>
    </row>
    <row r="82" spans="15:38" x14ac:dyDescent="0.25">
      <c r="O82" t="str">
        <f>'4.Solución'!C25</f>
        <v xml:space="preserve"> </v>
      </c>
      <c r="P82" t="e">
        <f>IFERROR(IF(ISNUMBER(O82),INDEX('1 ubicaciones'!$D$2:$D$22,O82 + 1),NA()),NA())</f>
        <v>#N/A</v>
      </c>
      <c r="Q82" t="e">
        <f>IFERROR(IF(ISNUMBER(O82),INDEX('1 ubicaciones'!$E$2:$E$22,O82 + 1),NA()),NA())</f>
        <v>#N/A</v>
      </c>
      <c r="R82" t="str">
        <f>'4.Solución'!T25</f>
        <v xml:space="preserve"> </v>
      </c>
      <c r="S82" t="e">
        <f>IFERROR(IF(ISNUMBER(R82),INDEX('1 ubicaciones'!$D$2:$D$22,R82 + 1),NA()),NA())</f>
        <v>#N/A</v>
      </c>
      <c r="T82" t="e">
        <f>IFERROR(IF(ISNUMBER(R82),INDEX('1 ubicaciones'!$E$2:$E$22,R82 + 1),NA()),NA())</f>
        <v>#N/A</v>
      </c>
      <c r="U82" t="str">
        <f>'4.Solución'!AK25</f>
        <v xml:space="preserve"> </v>
      </c>
      <c r="V82" t="e">
        <f>IFERROR(IF(ISNUMBER(U82),INDEX('1 ubicaciones'!$D$2:$D$22,U82 + 1),NA()),NA())</f>
        <v>#N/A</v>
      </c>
      <c r="W82" t="e">
        <f>IFERROR(IF(ISNUMBER(U82),INDEX('1 ubicaciones'!$E$2:$E$22,U82 + 1),NA()),NA())</f>
        <v>#N/A</v>
      </c>
      <c r="X82" t="str">
        <f>'4.Solución'!BB25</f>
        <v xml:space="preserve"> </v>
      </c>
      <c r="Y82" t="e">
        <f>IFERROR(IF(ISNUMBER(X82),INDEX('1 ubicaciones'!$D$2:$D$22,X82 + 1),NA()),NA())</f>
        <v>#N/A</v>
      </c>
      <c r="Z82" t="e">
        <f>IFERROR(IF(ISNUMBER(X82),INDEX('1 ubicaciones'!$E$2:$E$22,X82 + 1),NA()),NA())</f>
        <v>#N/A</v>
      </c>
      <c r="AA82" t="str">
        <f>'4.Solución'!BS25</f>
        <v xml:space="preserve"> </v>
      </c>
      <c r="AB82" t="e">
        <f>IFERROR(IF(ISNUMBER(AA82),INDEX('1 ubicaciones'!$D$2:$D$22,AA82 + 1),NA()),NA())</f>
        <v>#N/A</v>
      </c>
      <c r="AC82" t="e">
        <f>IFERROR(IF(ISNUMBER(AA82),INDEX('1 ubicaciones'!$E$2:$E$22,AA82 + 1),NA()),NA())</f>
        <v>#N/A</v>
      </c>
      <c r="AD82" t="str">
        <f>'4.Solución'!CJ25</f>
        <v xml:space="preserve"> </v>
      </c>
      <c r="AE82" t="e">
        <f>IFERROR(IF(ISNUMBER(AD82),INDEX('1 ubicaciones'!$D$2:$D$22,AD82 + 1),NA()),NA())</f>
        <v>#N/A</v>
      </c>
      <c r="AF82" t="e">
        <f>IFERROR(IF(ISNUMBER(AD82),INDEX('1 ubicaciones'!$E$2:$E$22,AD82 + 1),NA()),NA())</f>
        <v>#N/A</v>
      </c>
      <c r="AG82" t="str">
        <f>'4.Solución'!DA25</f>
        <v xml:space="preserve"> </v>
      </c>
      <c r="AH82" t="e">
        <f>IFERROR(IF(ISNUMBER(AG82),INDEX('1 ubicaciones'!$D$2:$D$22,AG82 + 1),NA()),NA())</f>
        <v>#N/A</v>
      </c>
      <c r="AI82" t="e">
        <f>IFERROR(IF(ISNUMBER(AG82),INDEX('1 ubicaciones'!$E$2:$E$22,AG82 + 1),NA()),NA())</f>
        <v>#N/A</v>
      </c>
      <c r="AJ82" t="str">
        <f>'4.Solución'!DR25</f>
        <v xml:space="preserve"> </v>
      </c>
      <c r="AK82" t="e">
        <f>IFERROR(IF(ISNUMBER(AJ82),INDEX('1 ubicaciones'!$D$2:$D$22,AJ82 + 1),NA()),NA())</f>
        <v>#N/A</v>
      </c>
      <c r="AL82" t="e">
        <f>IFERROR(IF(ISNUMBER(AJ82),INDEX('1 ubicaciones'!$E$2:$E$22,AJ82 + 1),NA()),NA())</f>
        <v>#N/A</v>
      </c>
    </row>
    <row r="83" spans="15:38" x14ac:dyDescent="0.25">
      <c r="P83" t="e">
        <f>IF(AND(ISNUMBER(O82), ISNUMBER(O86)), INDEX('2.Distancias'!E3:J1446, (O82*38) + O86 + 1,1), NA())</f>
        <v>#N/A</v>
      </c>
      <c r="Q83" t="e">
        <f>IF(AND(ISNUMBER(O82), ISNUMBER(O86)), INDEX('2.Distancias'!E3:J1446, (O82*38) + O86 + 1,2), NA())</f>
        <v>#N/A</v>
      </c>
      <c r="S83" t="e">
        <f>IF(AND(ISNUMBER(R82), ISNUMBER(R86)), INDEX('2.Distancias'!E3:J1446, (R82*38) + R86 + 1,1), NA())</f>
        <v>#N/A</v>
      </c>
      <c r="T83" t="e">
        <f>IF(AND(ISNUMBER(R82), ISNUMBER(R86)), INDEX('2.Distancias'!E3:J1446, (R82*38) + R86 + 1,2), NA())</f>
        <v>#N/A</v>
      </c>
      <c r="V83" t="e">
        <f>IF(AND(ISNUMBER(U82), ISNUMBER(U86)), INDEX('2.Distancias'!E3:J1446, (U82*38) + U86 + 1,1), NA())</f>
        <v>#N/A</v>
      </c>
      <c r="W83" t="e">
        <f>IF(AND(ISNUMBER(U82), ISNUMBER(U86)), INDEX('2.Distancias'!E3:J1446, (U82*38) + U86 + 1,2), NA())</f>
        <v>#N/A</v>
      </c>
      <c r="Y83" t="e">
        <f>IF(AND(ISNUMBER(X82), ISNUMBER(X86)), INDEX('2.Distancias'!E3:J1446, (X82*38) + X86 + 1,1), NA())</f>
        <v>#N/A</v>
      </c>
      <c r="Z83" t="e">
        <f>IF(AND(ISNUMBER(X82), ISNUMBER(X86)), INDEX('2.Distancias'!E3:J1446, (X82*38) + X86 + 1,2), NA())</f>
        <v>#N/A</v>
      </c>
      <c r="AB83" t="e">
        <f>IF(AND(ISNUMBER(AA82), ISNUMBER(AA86)), INDEX('2.Distancias'!E3:J1446, (AA82*38) + AA86 + 1,1), NA())</f>
        <v>#N/A</v>
      </c>
      <c r="AC83" t="e">
        <f>IF(AND(ISNUMBER(AA82), ISNUMBER(AA86)), INDEX('2.Distancias'!E3:J1446, (AA82*38) + AA86 + 1,2), NA())</f>
        <v>#N/A</v>
      </c>
      <c r="AE83" t="e">
        <f>IF(AND(ISNUMBER(AD82), ISNUMBER(AD86)), INDEX('2.Distancias'!E3:J1446, (AD82*38) + AD86 + 1,1), NA())</f>
        <v>#N/A</v>
      </c>
      <c r="AF83" t="e">
        <f>IF(AND(ISNUMBER(AD82), ISNUMBER(AD86)), INDEX('2.Distancias'!E3:J1446, (AD82*38) + AD86 + 1,2), NA())</f>
        <v>#N/A</v>
      </c>
      <c r="AH83" t="e">
        <f>IF(AND(ISNUMBER(AG82), ISNUMBER(AG86)), INDEX('2.Distancias'!E3:J1446, (AG82*38) + AG86 + 1,1), NA())</f>
        <v>#N/A</v>
      </c>
      <c r="AI83" t="e">
        <f>IF(AND(ISNUMBER(AG82), ISNUMBER(AG86)), INDEX('2.Distancias'!E3:J1446, (AG82*38) + AG86 + 1,2), NA())</f>
        <v>#N/A</v>
      </c>
      <c r="AK83" t="e">
        <f>IF(AND(ISNUMBER(AJ82), ISNUMBER(AJ86)), INDEX('2.Distancias'!E3:J1446, (AJ82*38) + AJ86 + 1,1), NA())</f>
        <v>#N/A</v>
      </c>
      <c r="AL83" t="e">
        <f>IF(AND(ISNUMBER(AJ82), ISNUMBER(AJ86)), INDEX('2.Distancias'!E3:J1446, (AJ82*38) + AJ86 + 1,2), NA())</f>
        <v>#N/A</v>
      </c>
    </row>
    <row r="84" spans="15:38" x14ac:dyDescent="0.25">
      <c r="P84" t="e">
        <f>IF(AND(ISNUMBER(O82), ISNUMBER(O86)), INDEX('2.Distancias'!E3:J1446, (O82*38) + O86 + 1,3), NA())</f>
        <v>#N/A</v>
      </c>
      <c r="Q84" t="e">
        <f>IF(AND(ISNUMBER(O82), ISNUMBER(O86)), INDEX('2.Distancias'!E3:J1446, (O82*38) + O86 + 1,4), NA())</f>
        <v>#N/A</v>
      </c>
      <c r="S84" t="e">
        <f>IF(AND(ISNUMBER(R82), ISNUMBER(R86)), INDEX('2.Distancias'!E3:J1446, (R82*38) + R86 + 1,3), NA())</f>
        <v>#N/A</v>
      </c>
      <c r="T84" t="e">
        <f>IF(AND(ISNUMBER(R82), ISNUMBER(R86)), INDEX('2.Distancias'!E3:J1446, (R82*38) + R86 + 1,4), NA())</f>
        <v>#N/A</v>
      </c>
      <c r="V84" t="e">
        <f>IF(AND(ISNUMBER(U82), ISNUMBER(U86)), INDEX('2.Distancias'!E3:J1446, (U82*38) + U86 + 1,3), NA())</f>
        <v>#N/A</v>
      </c>
      <c r="W84" t="e">
        <f>IF(AND(ISNUMBER(U82), ISNUMBER(U86)), INDEX('2.Distancias'!E3:J1446, (U82*38) + U86 + 1,4), NA())</f>
        <v>#N/A</v>
      </c>
      <c r="Y84" t="e">
        <f>IF(AND(ISNUMBER(X82), ISNUMBER(X86)), INDEX('2.Distancias'!E3:J1446, (X82*38) + X86 + 1,3), NA())</f>
        <v>#N/A</v>
      </c>
      <c r="Z84" t="e">
        <f>IF(AND(ISNUMBER(X82), ISNUMBER(X86)), INDEX('2.Distancias'!E3:J1446, (X82*38) + X86 + 1,4), NA())</f>
        <v>#N/A</v>
      </c>
      <c r="AB84" t="e">
        <f>IF(AND(ISNUMBER(AA82), ISNUMBER(AA86)), INDEX('2.Distancias'!E3:J1446, (AA82*38) + AA86 + 1,3), NA())</f>
        <v>#N/A</v>
      </c>
      <c r="AC84" t="e">
        <f>IF(AND(ISNUMBER(AA82), ISNUMBER(AA86)), INDEX('2.Distancias'!E3:J1446, (AA82*38) + AA86 + 1,4), NA())</f>
        <v>#N/A</v>
      </c>
      <c r="AE84" t="e">
        <f>IF(AND(ISNUMBER(AD82), ISNUMBER(AD86)), INDEX('2.Distancias'!E3:J1446, (AD82*38) + AD86 + 1,3), NA())</f>
        <v>#N/A</v>
      </c>
      <c r="AF84" t="e">
        <f>IF(AND(ISNUMBER(AD82), ISNUMBER(AD86)), INDEX('2.Distancias'!E3:J1446, (AD82*38) + AD86 + 1,4), NA())</f>
        <v>#N/A</v>
      </c>
      <c r="AH84" t="e">
        <f>IF(AND(ISNUMBER(AG82), ISNUMBER(AG86)), INDEX('2.Distancias'!E3:J1446, (AG82*38) + AG86 + 1,3), NA())</f>
        <v>#N/A</v>
      </c>
      <c r="AI84" t="e">
        <f>IF(AND(ISNUMBER(AG82), ISNUMBER(AG86)), INDEX('2.Distancias'!E3:J1446, (AG82*38) + AG86 + 1,4), NA())</f>
        <v>#N/A</v>
      </c>
      <c r="AK84" t="e">
        <f>IF(AND(ISNUMBER(AJ82), ISNUMBER(AJ86)), INDEX('2.Distancias'!E3:J1446, (AJ82*38) + AJ86 + 1,3), NA())</f>
        <v>#N/A</v>
      </c>
      <c r="AL84" t="e">
        <f>IF(AND(ISNUMBER(AJ82), ISNUMBER(AJ86)), INDEX('2.Distancias'!E3:J1446, (AJ82*38) + AJ86 + 1,4), NA())</f>
        <v>#N/A</v>
      </c>
    </row>
    <row r="85" spans="15:38" x14ac:dyDescent="0.25">
      <c r="P85" t="e">
        <f>IF(AND(ISNUMBER(O82), ISNUMBER(O86)), INDEX('2.Distancias'!E3:J1446, (O82*38) + O86 + 1,5), NA())</f>
        <v>#N/A</v>
      </c>
      <c r="Q85" t="e">
        <f>IF(AND(ISNUMBER(O82), ISNUMBER(O86)), INDEX('2.Distancias'!E3:J1446, (O82*38) + O86 + 1,6), NA())</f>
        <v>#N/A</v>
      </c>
      <c r="S85" t="e">
        <f>IF(AND(ISNUMBER(R82), ISNUMBER(R86)), INDEX('2.Distancias'!E3:J1446, (R82*38) + R86 + 1,5), NA())</f>
        <v>#N/A</v>
      </c>
      <c r="T85" t="e">
        <f>IF(AND(ISNUMBER(R82), ISNUMBER(R86)), INDEX('2.Distancias'!E3:J1446, (R82*38) + R86 + 1,6), NA())</f>
        <v>#N/A</v>
      </c>
      <c r="V85" t="e">
        <f>IF(AND(ISNUMBER(U82), ISNUMBER(U86)), INDEX('2.Distancias'!E3:J1446, (U82*38) + U86 + 1,5), NA())</f>
        <v>#N/A</v>
      </c>
      <c r="W85" t="e">
        <f>IF(AND(ISNUMBER(U82), ISNUMBER(U86)), INDEX('2.Distancias'!E3:J1446, (U82*38) + U86 + 1,6), NA())</f>
        <v>#N/A</v>
      </c>
      <c r="Y85" t="e">
        <f>IF(AND(ISNUMBER(X82), ISNUMBER(X86)), INDEX('2.Distancias'!E3:J1446, (X82*38) + X86 + 1,5), NA())</f>
        <v>#N/A</v>
      </c>
      <c r="Z85" t="e">
        <f>IF(AND(ISNUMBER(X82), ISNUMBER(X86)), INDEX('2.Distancias'!E3:J1446, (X82*38) + X86 + 1,6), NA())</f>
        <v>#N/A</v>
      </c>
      <c r="AB85" t="e">
        <f>IF(AND(ISNUMBER(AA82), ISNUMBER(AA86)), INDEX('2.Distancias'!E3:J1446, (AA82*38) + AA86 + 1,5), NA())</f>
        <v>#N/A</v>
      </c>
      <c r="AC85" t="e">
        <f>IF(AND(ISNUMBER(AA82), ISNUMBER(AA86)), INDEX('2.Distancias'!E3:J1446, (AA82*38) + AA86 + 1,6), NA())</f>
        <v>#N/A</v>
      </c>
      <c r="AE85" t="e">
        <f>IF(AND(ISNUMBER(AD82), ISNUMBER(AD86)), INDEX('2.Distancias'!E3:J1446, (AD82*38) + AD86 + 1,5), NA())</f>
        <v>#N/A</v>
      </c>
      <c r="AF85" t="e">
        <f>IF(AND(ISNUMBER(AD82), ISNUMBER(AD86)), INDEX('2.Distancias'!E3:J1446, (AD82*38) + AD86 + 1,6), NA())</f>
        <v>#N/A</v>
      </c>
      <c r="AH85" t="e">
        <f>IF(AND(ISNUMBER(AG82), ISNUMBER(AG86)), INDEX('2.Distancias'!E3:J1446, (AG82*38) + AG86 + 1,5), NA())</f>
        <v>#N/A</v>
      </c>
      <c r="AI85" t="e">
        <f>IF(AND(ISNUMBER(AG82), ISNUMBER(AG86)), INDEX('2.Distancias'!E3:J1446, (AG82*38) + AG86 + 1,6), NA())</f>
        <v>#N/A</v>
      </c>
      <c r="AK85" t="e">
        <f>IF(AND(ISNUMBER(AJ82), ISNUMBER(AJ86)), INDEX('2.Distancias'!E3:J1446, (AJ82*38) + AJ86 + 1,5), NA())</f>
        <v>#N/A</v>
      </c>
      <c r="AL85" t="e">
        <f>IF(AND(ISNUMBER(AJ82), ISNUMBER(AJ86)), INDEX('2.Distancias'!E3:J1446, (AJ82*38) + AJ86 + 1,6), NA())</f>
        <v>#N/A</v>
      </c>
    </row>
    <row r="86" spans="15:38" x14ac:dyDescent="0.25">
      <c r="O86" t="str">
        <f>'4.Solución'!C26</f>
        <v xml:space="preserve"> </v>
      </c>
      <c r="P86" t="e">
        <f>IFERROR(IF(ISNUMBER(O86),INDEX('1 ubicaciones'!$D$2:$D$22,O86 + 1),NA()),NA())</f>
        <v>#N/A</v>
      </c>
      <c r="Q86" t="e">
        <f>IFERROR(IF(ISNUMBER(O86),INDEX('1 ubicaciones'!$E$2:$E$22,O86 + 1),NA()),NA())</f>
        <v>#N/A</v>
      </c>
      <c r="R86" t="str">
        <f>'4.Solución'!T26</f>
        <v xml:space="preserve"> </v>
      </c>
      <c r="S86" t="e">
        <f>IFERROR(IF(ISNUMBER(R86),INDEX('1 ubicaciones'!$D$2:$D$22,R86 + 1),NA()),NA())</f>
        <v>#N/A</v>
      </c>
      <c r="T86" t="e">
        <f>IFERROR(IF(ISNUMBER(R86),INDEX('1 ubicaciones'!$E$2:$E$22,R86 + 1),NA()),NA())</f>
        <v>#N/A</v>
      </c>
      <c r="U86" t="str">
        <f>'4.Solución'!AK26</f>
        <v xml:space="preserve"> </v>
      </c>
      <c r="V86" t="e">
        <f>IFERROR(IF(ISNUMBER(U86),INDEX('1 ubicaciones'!$D$2:$D$22,U86 + 1),NA()),NA())</f>
        <v>#N/A</v>
      </c>
      <c r="W86" t="e">
        <f>IFERROR(IF(ISNUMBER(U86),INDEX('1 ubicaciones'!$E$2:$E$22,U86 + 1),NA()),NA())</f>
        <v>#N/A</v>
      </c>
      <c r="X86" t="str">
        <f>'4.Solución'!BB26</f>
        <v xml:space="preserve"> </v>
      </c>
      <c r="Y86" t="e">
        <f>IFERROR(IF(ISNUMBER(X86),INDEX('1 ubicaciones'!$D$2:$D$22,X86 + 1),NA()),NA())</f>
        <v>#N/A</v>
      </c>
      <c r="Z86" t="e">
        <f>IFERROR(IF(ISNUMBER(X86),INDEX('1 ubicaciones'!$E$2:$E$22,X86 + 1),NA()),NA())</f>
        <v>#N/A</v>
      </c>
      <c r="AA86" t="str">
        <f>'4.Solución'!BS26</f>
        <v xml:space="preserve"> </v>
      </c>
      <c r="AB86" t="e">
        <f>IFERROR(IF(ISNUMBER(AA86),INDEX('1 ubicaciones'!$D$2:$D$22,AA86 + 1),NA()),NA())</f>
        <v>#N/A</v>
      </c>
      <c r="AC86" t="e">
        <f>IFERROR(IF(ISNUMBER(AA86),INDEX('1 ubicaciones'!$E$2:$E$22,AA86 + 1),NA()),NA())</f>
        <v>#N/A</v>
      </c>
      <c r="AD86" t="str">
        <f>'4.Solución'!CJ26</f>
        <v xml:space="preserve"> </v>
      </c>
      <c r="AE86" t="e">
        <f>IFERROR(IF(ISNUMBER(AD86),INDEX('1 ubicaciones'!$D$2:$D$22,AD86 + 1),NA()),NA())</f>
        <v>#N/A</v>
      </c>
      <c r="AF86" t="e">
        <f>IFERROR(IF(ISNUMBER(AD86),INDEX('1 ubicaciones'!$E$2:$E$22,AD86 + 1),NA()),NA())</f>
        <v>#N/A</v>
      </c>
      <c r="AG86" t="str">
        <f>'4.Solución'!DA26</f>
        <v xml:space="preserve"> </v>
      </c>
      <c r="AH86" t="e">
        <f>IFERROR(IF(ISNUMBER(AG86),INDEX('1 ubicaciones'!$D$2:$D$22,AG86 + 1),NA()),NA())</f>
        <v>#N/A</v>
      </c>
      <c r="AI86" t="e">
        <f>IFERROR(IF(ISNUMBER(AG86),INDEX('1 ubicaciones'!$E$2:$E$22,AG86 + 1),NA()),NA())</f>
        <v>#N/A</v>
      </c>
      <c r="AJ86" t="str">
        <f>'4.Solución'!DR26</f>
        <v xml:space="preserve"> </v>
      </c>
      <c r="AK86" t="e">
        <f>IFERROR(IF(ISNUMBER(AJ86),INDEX('1 ubicaciones'!$D$2:$D$22,AJ86 + 1),NA()),NA())</f>
        <v>#N/A</v>
      </c>
      <c r="AL86" t="e">
        <f>IFERROR(IF(ISNUMBER(AJ86),INDEX('1 ubicaciones'!$E$2:$E$22,AJ86 + 1),NA()),NA())</f>
        <v>#N/A</v>
      </c>
    </row>
    <row r="87" spans="15:38" x14ac:dyDescent="0.25">
      <c r="P87" t="e">
        <f>IF(AND(ISNUMBER(O86), ISNUMBER(O90)), INDEX('2.Distancias'!E3:J1446, (O86*38) + O90 + 1,1), NA())</f>
        <v>#N/A</v>
      </c>
      <c r="Q87" t="e">
        <f>IF(AND(ISNUMBER(O86), ISNUMBER(O90)), INDEX('2.Distancias'!E3:J1446, (O86*38) + O90 + 1,2), NA())</f>
        <v>#N/A</v>
      </c>
      <c r="S87" t="e">
        <f>IF(AND(ISNUMBER(R86), ISNUMBER(R90)), INDEX('2.Distancias'!E3:J1446, (R86*38) + R90 + 1,1), NA())</f>
        <v>#N/A</v>
      </c>
      <c r="T87" t="e">
        <f>IF(AND(ISNUMBER(R86), ISNUMBER(R90)), INDEX('2.Distancias'!E3:J1446, (R86*38) + R90 + 1,2), NA())</f>
        <v>#N/A</v>
      </c>
      <c r="V87" t="e">
        <f>IF(AND(ISNUMBER(U86), ISNUMBER(U90)), INDEX('2.Distancias'!E3:J1446, (U86*38) + U90 + 1,1), NA())</f>
        <v>#N/A</v>
      </c>
      <c r="W87" t="e">
        <f>IF(AND(ISNUMBER(U86), ISNUMBER(U90)), INDEX('2.Distancias'!E3:J1446, (U86*38) + U90 + 1,2), NA())</f>
        <v>#N/A</v>
      </c>
      <c r="Y87" t="e">
        <f>IF(AND(ISNUMBER(X86), ISNUMBER(X90)), INDEX('2.Distancias'!E3:J1446, (X86*38) + X90 + 1,1), NA())</f>
        <v>#N/A</v>
      </c>
      <c r="Z87" t="e">
        <f>IF(AND(ISNUMBER(X86), ISNUMBER(X90)), INDEX('2.Distancias'!E3:J1446, (X86*38) + X90 + 1,2), NA())</f>
        <v>#N/A</v>
      </c>
      <c r="AB87" t="e">
        <f>IF(AND(ISNUMBER(AA86), ISNUMBER(AA90)), INDEX('2.Distancias'!E3:J1446, (AA86*38) + AA90 + 1,1), NA())</f>
        <v>#N/A</v>
      </c>
      <c r="AC87" t="e">
        <f>IF(AND(ISNUMBER(AA86), ISNUMBER(AA90)), INDEX('2.Distancias'!E3:J1446, (AA86*38) + AA90 + 1,2), NA())</f>
        <v>#N/A</v>
      </c>
      <c r="AE87" t="e">
        <f>IF(AND(ISNUMBER(AD86), ISNUMBER(AD90)), INDEX('2.Distancias'!E3:J1446, (AD86*38) + AD90 + 1,1), NA())</f>
        <v>#N/A</v>
      </c>
      <c r="AF87" t="e">
        <f>IF(AND(ISNUMBER(AD86), ISNUMBER(AD90)), INDEX('2.Distancias'!E3:J1446, (AD86*38) + AD90 + 1,2), NA())</f>
        <v>#N/A</v>
      </c>
      <c r="AH87" t="e">
        <f>IF(AND(ISNUMBER(AG86), ISNUMBER(AG90)), INDEX('2.Distancias'!E3:J1446, (AG86*38) + AG90 + 1,1), NA())</f>
        <v>#N/A</v>
      </c>
      <c r="AI87" t="e">
        <f>IF(AND(ISNUMBER(AG86), ISNUMBER(AG90)), INDEX('2.Distancias'!E3:J1446, (AG86*38) + AG90 + 1,2), NA())</f>
        <v>#N/A</v>
      </c>
      <c r="AK87" t="e">
        <f>IF(AND(ISNUMBER(AJ86), ISNUMBER(AJ90)), INDEX('2.Distancias'!E3:J1446, (AJ86*38) + AJ90 + 1,1), NA())</f>
        <v>#N/A</v>
      </c>
      <c r="AL87" t="e">
        <f>IF(AND(ISNUMBER(AJ86), ISNUMBER(AJ90)), INDEX('2.Distancias'!E3:J1446, (AJ86*38) + AJ90 + 1,2), NA())</f>
        <v>#N/A</v>
      </c>
    </row>
    <row r="88" spans="15:38" x14ac:dyDescent="0.25">
      <c r="P88" t="e">
        <f>IF(AND(ISNUMBER(O86), ISNUMBER(O90)), INDEX('2.Distancias'!E3:J1446, (O86*38) + O90 + 1,3), NA())</f>
        <v>#N/A</v>
      </c>
      <c r="Q88" t="e">
        <f>IF(AND(ISNUMBER(O86), ISNUMBER(O90)), INDEX('2.Distancias'!E3:J1446, (O86*38) + O90 + 1,4), NA())</f>
        <v>#N/A</v>
      </c>
      <c r="S88" t="e">
        <f>IF(AND(ISNUMBER(R86), ISNUMBER(R90)), INDEX('2.Distancias'!E3:J1446, (R86*38) + R90 + 1,3), NA())</f>
        <v>#N/A</v>
      </c>
      <c r="T88" t="e">
        <f>IF(AND(ISNUMBER(R86), ISNUMBER(R90)), INDEX('2.Distancias'!E3:J1446, (R86*38) + R90 + 1,4), NA())</f>
        <v>#N/A</v>
      </c>
      <c r="V88" t="e">
        <f>IF(AND(ISNUMBER(U86), ISNUMBER(U90)), INDEX('2.Distancias'!E3:J1446, (U86*38) + U90 + 1,3), NA())</f>
        <v>#N/A</v>
      </c>
      <c r="W88" t="e">
        <f>IF(AND(ISNUMBER(U86), ISNUMBER(U90)), INDEX('2.Distancias'!E3:J1446, (U86*38) + U90 + 1,4), NA())</f>
        <v>#N/A</v>
      </c>
      <c r="Y88" t="e">
        <f>IF(AND(ISNUMBER(X86), ISNUMBER(X90)), INDEX('2.Distancias'!E3:J1446, (X86*38) + X90 + 1,3), NA())</f>
        <v>#N/A</v>
      </c>
      <c r="Z88" t="e">
        <f>IF(AND(ISNUMBER(X86), ISNUMBER(X90)), INDEX('2.Distancias'!E3:J1446, (X86*38) + X90 + 1,4), NA())</f>
        <v>#N/A</v>
      </c>
      <c r="AB88" t="e">
        <f>IF(AND(ISNUMBER(AA86), ISNUMBER(AA90)), INDEX('2.Distancias'!E3:J1446, (AA86*38) + AA90 + 1,3), NA())</f>
        <v>#N/A</v>
      </c>
      <c r="AC88" t="e">
        <f>IF(AND(ISNUMBER(AA86), ISNUMBER(AA90)), INDEX('2.Distancias'!E3:J1446, (AA86*38) + AA90 + 1,4), NA())</f>
        <v>#N/A</v>
      </c>
      <c r="AE88" t="e">
        <f>IF(AND(ISNUMBER(AD86), ISNUMBER(AD90)), INDEX('2.Distancias'!E3:J1446, (AD86*38) + AD90 + 1,3), NA())</f>
        <v>#N/A</v>
      </c>
      <c r="AF88" t="e">
        <f>IF(AND(ISNUMBER(AD86), ISNUMBER(AD90)), INDEX('2.Distancias'!E3:J1446, (AD86*38) + AD90 + 1,4), NA())</f>
        <v>#N/A</v>
      </c>
      <c r="AH88" t="e">
        <f>IF(AND(ISNUMBER(AG86), ISNUMBER(AG90)), INDEX('2.Distancias'!E3:J1446, (AG86*38) + AG90 + 1,3), NA())</f>
        <v>#N/A</v>
      </c>
      <c r="AI88" t="e">
        <f>IF(AND(ISNUMBER(AG86), ISNUMBER(AG90)), INDEX('2.Distancias'!E3:J1446, (AG86*38) + AG90 + 1,4), NA())</f>
        <v>#N/A</v>
      </c>
      <c r="AK88" t="e">
        <f>IF(AND(ISNUMBER(AJ86), ISNUMBER(AJ90)), INDEX('2.Distancias'!E3:J1446, (AJ86*38) + AJ90 + 1,3), NA())</f>
        <v>#N/A</v>
      </c>
      <c r="AL88" t="e">
        <f>IF(AND(ISNUMBER(AJ86), ISNUMBER(AJ90)), INDEX('2.Distancias'!E3:J1446, (AJ86*38) + AJ90 + 1,4), NA())</f>
        <v>#N/A</v>
      </c>
    </row>
    <row r="89" spans="15:38" x14ac:dyDescent="0.25">
      <c r="P89" t="e">
        <f>IF(AND(ISNUMBER(O86), ISNUMBER(O90)), INDEX('2.Distancias'!E3:J1446, (O86*38) + O90 + 1,5), NA())</f>
        <v>#N/A</v>
      </c>
      <c r="Q89" t="e">
        <f>IF(AND(ISNUMBER(O86), ISNUMBER(O90)), INDEX('2.Distancias'!E3:J1446, (O86*38) + O90 + 1,6), NA())</f>
        <v>#N/A</v>
      </c>
      <c r="S89" t="e">
        <f>IF(AND(ISNUMBER(R86), ISNUMBER(R90)), INDEX('2.Distancias'!E3:J1446, (R86*38) + R90 + 1,5), NA())</f>
        <v>#N/A</v>
      </c>
      <c r="T89" t="e">
        <f>IF(AND(ISNUMBER(R86), ISNUMBER(R90)), INDEX('2.Distancias'!E3:J1446, (R86*38) + R90 + 1,6), NA())</f>
        <v>#N/A</v>
      </c>
      <c r="V89" t="e">
        <f>IF(AND(ISNUMBER(U86), ISNUMBER(U90)), INDEX('2.Distancias'!E3:J1446, (U86*38) + U90 + 1,5), NA())</f>
        <v>#N/A</v>
      </c>
      <c r="W89" t="e">
        <f>IF(AND(ISNUMBER(U86), ISNUMBER(U90)), INDEX('2.Distancias'!E3:J1446, (U86*38) + U90 + 1,6), NA())</f>
        <v>#N/A</v>
      </c>
      <c r="Y89" t="e">
        <f>IF(AND(ISNUMBER(X86), ISNUMBER(X90)), INDEX('2.Distancias'!E3:J1446, (X86*38) + X90 + 1,5), NA())</f>
        <v>#N/A</v>
      </c>
      <c r="Z89" t="e">
        <f>IF(AND(ISNUMBER(X86), ISNUMBER(X90)), INDEX('2.Distancias'!E3:J1446, (X86*38) + X90 + 1,6), NA())</f>
        <v>#N/A</v>
      </c>
      <c r="AB89" t="e">
        <f>IF(AND(ISNUMBER(AA86), ISNUMBER(AA90)), INDEX('2.Distancias'!E3:J1446, (AA86*38) + AA90 + 1,5), NA())</f>
        <v>#N/A</v>
      </c>
      <c r="AC89" t="e">
        <f>IF(AND(ISNUMBER(AA86), ISNUMBER(AA90)), INDEX('2.Distancias'!E3:J1446, (AA86*38) + AA90 + 1,6), NA())</f>
        <v>#N/A</v>
      </c>
      <c r="AE89" t="e">
        <f>IF(AND(ISNUMBER(AD86), ISNUMBER(AD90)), INDEX('2.Distancias'!E3:J1446, (AD86*38) + AD90 + 1,5), NA())</f>
        <v>#N/A</v>
      </c>
      <c r="AF89" t="e">
        <f>IF(AND(ISNUMBER(AD86), ISNUMBER(AD90)), INDEX('2.Distancias'!E3:J1446, (AD86*38) + AD90 + 1,6), NA())</f>
        <v>#N/A</v>
      </c>
      <c r="AH89" t="e">
        <f>IF(AND(ISNUMBER(AG86), ISNUMBER(AG90)), INDEX('2.Distancias'!E3:J1446, (AG86*38) + AG90 + 1,5), NA())</f>
        <v>#N/A</v>
      </c>
      <c r="AI89" t="e">
        <f>IF(AND(ISNUMBER(AG86), ISNUMBER(AG90)), INDEX('2.Distancias'!E3:J1446, (AG86*38) + AG90 + 1,6), NA())</f>
        <v>#N/A</v>
      </c>
      <c r="AK89" t="e">
        <f>IF(AND(ISNUMBER(AJ86), ISNUMBER(AJ90)), INDEX('2.Distancias'!E3:J1446, (AJ86*38) + AJ90 + 1,5), NA())</f>
        <v>#N/A</v>
      </c>
      <c r="AL89" t="e">
        <f>IF(AND(ISNUMBER(AJ86), ISNUMBER(AJ90)), INDEX('2.Distancias'!E3:J1446, (AJ86*38) + AJ90 + 1,6), NA())</f>
        <v>#N/A</v>
      </c>
    </row>
    <row r="90" spans="15:38" x14ac:dyDescent="0.25">
      <c r="O90" t="str">
        <f>'4.Solución'!C27</f>
        <v xml:space="preserve"> </v>
      </c>
      <c r="P90" t="e">
        <f>IFERROR(IF(ISNUMBER(O90),INDEX('1 ubicaciones'!$D$2:$D$22,O90 + 1),NA()),NA())</f>
        <v>#N/A</v>
      </c>
      <c r="Q90" t="e">
        <f>IFERROR(IF(ISNUMBER(O90),INDEX('1 ubicaciones'!$E$2:$E$22,O90 + 1),NA()),NA())</f>
        <v>#N/A</v>
      </c>
      <c r="R90" t="str">
        <f>'4.Solución'!T27</f>
        <v xml:space="preserve"> </v>
      </c>
      <c r="S90" t="e">
        <f>IFERROR(IF(ISNUMBER(R90),INDEX('1 ubicaciones'!$D$2:$D$22,R90 + 1),NA()),NA())</f>
        <v>#N/A</v>
      </c>
      <c r="T90" t="e">
        <f>IFERROR(IF(ISNUMBER(R90),INDEX('1 ubicaciones'!$E$2:$E$22,R90 + 1),NA()),NA())</f>
        <v>#N/A</v>
      </c>
      <c r="U90" t="str">
        <f>'4.Solución'!AK27</f>
        <v xml:space="preserve"> </v>
      </c>
      <c r="V90" t="e">
        <f>IFERROR(IF(ISNUMBER(U90),INDEX('1 ubicaciones'!$D$2:$D$22,U90 + 1),NA()),NA())</f>
        <v>#N/A</v>
      </c>
      <c r="W90" t="e">
        <f>IFERROR(IF(ISNUMBER(U90),INDEX('1 ubicaciones'!$E$2:$E$22,U90 + 1),NA()),NA())</f>
        <v>#N/A</v>
      </c>
      <c r="X90" t="str">
        <f>'4.Solución'!BB27</f>
        <v xml:space="preserve"> </v>
      </c>
      <c r="Y90" t="e">
        <f>IFERROR(IF(ISNUMBER(X90),INDEX('1 ubicaciones'!$D$2:$D$22,X90 + 1),NA()),NA())</f>
        <v>#N/A</v>
      </c>
      <c r="Z90" t="e">
        <f>IFERROR(IF(ISNUMBER(X90),INDEX('1 ubicaciones'!$E$2:$E$22,X90 + 1),NA()),NA())</f>
        <v>#N/A</v>
      </c>
      <c r="AA90" t="str">
        <f>'4.Solución'!BS27</f>
        <v xml:space="preserve"> </v>
      </c>
      <c r="AB90" t="e">
        <f>IFERROR(IF(ISNUMBER(AA90),INDEX('1 ubicaciones'!$D$2:$D$22,AA90 + 1),NA()),NA())</f>
        <v>#N/A</v>
      </c>
      <c r="AC90" t="e">
        <f>IFERROR(IF(ISNUMBER(AA90),INDEX('1 ubicaciones'!$E$2:$E$22,AA90 + 1),NA()),NA())</f>
        <v>#N/A</v>
      </c>
      <c r="AD90" t="str">
        <f>'4.Solución'!CJ27</f>
        <v xml:space="preserve"> </v>
      </c>
      <c r="AE90" t="e">
        <f>IFERROR(IF(ISNUMBER(AD90),INDEX('1 ubicaciones'!$D$2:$D$22,AD90 + 1),NA()),NA())</f>
        <v>#N/A</v>
      </c>
      <c r="AF90" t="e">
        <f>IFERROR(IF(ISNUMBER(AD90),INDEX('1 ubicaciones'!$E$2:$E$22,AD90 + 1),NA()),NA())</f>
        <v>#N/A</v>
      </c>
      <c r="AG90" t="str">
        <f>'4.Solución'!DA27</f>
        <v xml:space="preserve"> </v>
      </c>
      <c r="AH90" t="e">
        <f>IFERROR(IF(ISNUMBER(AG90),INDEX('1 ubicaciones'!$D$2:$D$22,AG90 + 1),NA()),NA())</f>
        <v>#N/A</v>
      </c>
      <c r="AI90" t="e">
        <f>IFERROR(IF(ISNUMBER(AG90),INDEX('1 ubicaciones'!$E$2:$E$22,AG90 + 1),NA()),NA())</f>
        <v>#N/A</v>
      </c>
      <c r="AJ90" t="str">
        <f>'4.Solución'!DR27</f>
        <v xml:space="preserve"> </v>
      </c>
      <c r="AK90" t="e">
        <f>IFERROR(IF(ISNUMBER(AJ90),INDEX('1 ubicaciones'!$D$2:$D$22,AJ90 + 1),NA()),NA())</f>
        <v>#N/A</v>
      </c>
      <c r="AL90" t="e">
        <f>IFERROR(IF(ISNUMBER(AJ90),INDEX('1 ubicaciones'!$E$2:$E$22,AJ90 + 1),NA()),NA())</f>
        <v>#N/A</v>
      </c>
    </row>
    <row r="91" spans="15:38" x14ac:dyDescent="0.25">
      <c r="P91" t="e">
        <f>IF(AND(ISNUMBER(O90), ISNUMBER(O94)), INDEX('2.Distancias'!E3:J1446, (O90*38) + O94 + 1,1), NA())</f>
        <v>#N/A</v>
      </c>
      <c r="Q91" t="e">
        <f>IF(AND(ISNUMBER(O90), ISNUMBER(O94)), INDEX('2.Distancias'!E3:J1446, (O90*38) + O94 + 1,2), NA())</f>
        <v>#N/A</v>
      </c>
      <c r="S91" t="e">
        <f>IF(AND(ISNUMBER(R90), ISNUMBER(R94)), INDEX('2.Distancias'!E3:J1446, (R90*38) + R94 + 1,1), NA())</f>
        <v>#N/A</v>
      </c>
      <c r="T91" t="e">
        <f>IF(AND(ISNUMBER(R90), ISNUMBER(R94)), INDEX('2.Distancias'!E3:J1446, (R90*38) + R94 + 1,2), NA())</f>
        <v>#N/A</v>
      </c>
      <c r="V91" t="e">
        <f>IF(AND(ISNUMBER(U90), ISNUMBER(U94)), INDEX('2.Distancias'!E3:J1446, (U90*38) + U94 + 1,1), NA())</f>
        <v>#N/A</v>
      </c>
      <c r="W91" t="e">
        <f>IF(AND(ISNUMBER(U90), ISNUMBER(U94)), INDEX('2.Distancias'!E3:J1446, (U90*38) + U94 + 1,2), NA())</f>
        <v>#N/A</v>
      </c>
      <c r="Y91" t="e">
        <f>IF(AND(ISNUMBER(X90), ISNUMBER(X94)), INDEX('2.Distancias'!E3:J1446, (X90*38) + X94 + 1,1), NA())</f>
        <v>#N/A</v>
      </c>
      <c r="Z91" t="e">
        <f>IF(AND(ISNUMBER(X90), ISNUMBER(X94)), INDEX('2.Distancias'!E3:J1446, (X90*38) + X94 + 1,2), NA())</f>
        <v>#N/A</v>
      </c>
      <c r="AB91" t="e">
        <f>IF(AND(ISNUMBER(AA90), ISNUMBER(AA94)), INDEX('2.Distancias'!E3:J1446, (AA90*38) + AA94 + 1,1), NA())</f>
        <v>#N/A</v>
      </c>
      <c r="AC91" t="e">
        <f>IF(AND(ISNUMBER(AA90), ISNUMBER(AA94)), INDEX('2.Distancias'!E3:J1446, (AA90*38) + AA94 + 1,2), NA())</f>
        <v>#N/A</v>
      </c>
      <c r="AE91" t="e">
        <f>IF(AND(ISNUMBER(AD90), ISNUMBER(AD94)), INDEX('2.Distancias'!E3:J1446, (AD90*38) + AD94 + 1,1), NA())</f>
        <v>#N/A</v>
      </c>
      <c r="AF91" t="e">
        <f>IF(AND(ISNUMBER(AD90), ISNUMBER(AD94)), INDEX('2.Distancias'!E3:J1446, (AD90*38) + AD94 + 1,2), NA())</f>
        <v>#N/A</v>
      </c>
      <c r="AH91" t="e">
        <f>IF(AND(ISNUMBER(AG90), ISNUMBER(AG94)), INDEX('2.Distancias'!E3:J1446, (AG90*38) + AG94 + 1,1), NA())</f>
        <v>#N/A</v>
      </c>
      <c r="AI91" t="e">
        <f>IF(AND(ISNUMBER(AG90), ISNUMBER(AG94)), INDEX('2.Distancias'!E3:J1446, (AG90*38) + AG94 + 1,2), NA())</f>
        <v>#N/A</v>
      </c>
      <c r="AK91" t="e">
        <f>IF(AND(ISNUMBER(AJ90), ISNUMBER(AJ94)), INDEX('2.Distancias'!E3:J1446, (AJ90*38) + AJ94 + 1,1), NA())</f>
        <v>#N/A</v>
      </c>
      <c r="AL91" t="e">
        <f>IF(AND(ISNUMBER(AJ90), ISNUMBER(AJ94)), INDEX('2.Distancias'!E3:J1446, (AJ90*38) + AJ94 + 1,2), NA())</f>
        <v>#N/A</v>
      </c>
    </row>
    <row r="92" spans="15:38" x14ac:dyDescent="0.25">
      <c r="P92" t="e">
        <f>IF(AND(ISNUMBER(O90), ISNUMBER(O94)), INDEX('2.Distancias'!E3:J1446, (O90*38) + O94 + 1,3), NA())</f>
        <v>#N/A</v>
      </c>
      <c r="Q92" t="e">
        <f>IF(AND(ISNUMBER(O90), ISNUMBER(O94)), INDEX('2.Distancias'!E3:J1446, (O90*38) + O94 + 1,4), NA())</f>
        <v>#N/A</v>
      </c>
      <c r="S92" t="e">
        <f>IF(AND(ISNUMBER(R90), ISNUMBER(R94)), INDEX('2.Distancias'!E3:J1446, (R90*38) + R94 + 1,3), NA())</f>
        <v>#N/A</v>
      </c>
      <c r="T92" t="e">
        <f>IF(AND(ISNUMBER(R90), ISNUMBER(R94)), INDEX('2.Distancias'!E3:J1446, (R90*38) + R94 + 1,4), NA())</f>
        <v>#N/A</v>
      </c>
      <c r="V92" t="e">
        <f>IF(AND(ISNUMBER(U90), ISNUMBER(U94)), INDEX('2.Distancias'!E3:J1446, (U90*38) + U94 + 1,3), NA())</f>
        <v>#N/A</v>
      </c>
      <c r="W92" t="e">
        <f>IF(AND(ISNUMBER(U90), ISNUMBER(U94)), INDEX('2.Distancias'!E3:J1446, (U90*38) + U94 + 1,4), NA())</f>
        <v>#N/A</v>
      </c>
      <c r="Y92" t="e">
        <f>IF(AND(ISNUMBER(X90), ISNUMBER(X94)), INDEX('2.Distancias'!E3:J1446, (X90*38) + X94 + 1,3), NA())</f>
        <v>#N/A</v>
      </c>
      <c r="Z92" t="e">
        <f>IF(AND(ISNUMBER(X90), ISNUMBER(X94)), INDEX('2.Distancias'!E3:J1446, (X90*38) + X94 + 1,4), NA())</f>
        <v>#N/A</v>
      </c>
      <c r="AB92" t="e">
        <f>IF(AND(ISNUMBER(AA90), ISNUMBER(AA94)), INDEX('2.Distancias'!E3:J1446, (AA90*38) + AA94 + 1,3), NA())</f>
        <v>#N/A</v>
      </c>
      <c r="AC92" t="e">
        <f>IF(AND(ISNUMBER(AA90), ISNUMBER(AA94)), INDEX('2.Distancias'!E3:J1446, (AA90*38) + AA94 + 1,4), NA())</f>
        <v>#N/A</v>
      </c>
      <c r="AE92" t="e">
        <f>IF(AND(ISNUMBER(AD90), ISNUMBER(AD94)), INDEX('2.Distancias'!E3:J1446, (AD90*38) + AD94 + 1,3), NA())</f>
        <v>#N/A</v>
      </c>
      <c r="AF92" t="e">
        <f>IF(AND(ISNUMBER(AD90), ISNUMBER(AD94)), INDEX('2.Distancias'!E3:J1446, (AD90*38) + AD94 + 1,4), NA())</f>
        <v>#N/A</v>
      </c>
      <c r="AH92" t="e">
        <f>IF(AND(ISNUMBER(AG90), ISNUMBER(AG94)), INDEX('2.Distancias'!E3:J1446, (AG90*38) + AG94 + 1,3), NA())</f>
        <v>#N/A</v>
      </c>
      <c r="AI92" t="e">
        <f>IF(AND(ISNUMBER(AG90), ISNUMBER(AG94)), INDEX('2.Distancias'!E3:J1446, (AG90*38) + AG94 + 1,4), NA())</f>
        <v>#N/A</v>
      </c>
      <c r="AK92" t="e">
        <f>IF(AND(ISNUMBER(AJ90), ISNUMBER(AJ94)), INDEX('2.Distancias'!E3:J1446, (AJ90*38) + AJ94 + 1,3), NA())</f>
        <v>#N/A</v>
      </c>
      <c r="AL92" t="e">
        <f>IF(AND(ISNUMBER(AJ90), ISNUMBER(AJ94)), INDEX('2.Distancias'!E3:J1446, (AJ90*38) + AJ94 + 1,4), NA())</f>
        <v>#N/A</v>
      </c>
    </row>
    <row r="93" spans="15:38" x14ac:dyDescent="0.25">
      <c r="P93" t="e">
        <f>IF(AND(ISNUMBER(O90), ISNUMBER(O94)), INDEX('2.Distancias'!E3:J1446, (O90*38) + O94 + 1,5), NA())</f>
        <v>#N/A</v>
      </c>
      <c r="Q93" t="e">
        <f>IF(AND(ISNUMBER(O90), ISNUMBER(O94)), INDEX('2.Distancias'!E3:J1446, (O90*38) + O94 + 1,6), NA())</f>
        <v>#N/A</v>
      </c>
      <c r="S93" t="e">
        <f>IF(AND(ISNUMBER(R90), ISNUMBER(R94)), INDEX('2.Distancias'!E3:J1446, (R90*38) + R94 + 1,5), NA())</f>
        <v>#N/A</v>
      </c>
      <c r="T93" t="e">
        <f>IF(AND(ISNUMBER(R90), ISNUMBER(R94)), INDEX('2.Distancias'!E3:J1446, (R90*38) + R94 + 1,6), NA())</f>
        <v>#N/A</v>
      </c>
      <c r="V93" t="e">
        <f>IF(AND(ISNUMBER(U90), ISNUMBER(U94)), INDEX('2.Distancias'!E3:J1446, (U90*38) + U94 + 1,5), NA())</f>
        <v>#N/A</v>
      </c>
      <c r="W93" t="e">
        <f>IF(AND(ISNUMBER(U90), ISNUMBER(U94)), INDEX('2.Distancias'!E3:J1446, (U90*38) + U94 + 1,6), NA())</f>
        <v>#N/A</v>
      </c>
      <c r="Y93" t="e">
        <f>IF(AND(ISNUMBER(X90), ISNUMBER(X94)), INDEX('2.Distancias'!E3:J1446, (X90*38) + X94 + 1,5), NA())</f>
        <v>#N/A</v>
      </c>
      <c r="Z93" t="e">
        <f>IF(AND(ISNUMBER(X90), ISNUMBER(X94)), INDEX('2.Distancias'!E3:J1446, (X90*38) + X94 + 1,6), NA())</f>
        <v>#N/A</v>
      </c>
      <c r="AB93" t="e">
        <f>IF(AND(ISNUMBER(AA90), ISNUMBER(AA94)), INDEX('2.Distancias'!E3:J1446, (AA90*38) + AA94 + 1,5), NA())</f>
        <v>#N/A</v>
      </c>
      <c r="AC93" t="e">
        <f>IF(AND(ISNUMBER(AA90), ISNUMBER(AA94)), INDEX('2.Distancias'!E3:J1446, (AA90*38) + AA94 + 1,6), NA())</f>
        <v>#N/A</v>
      </c>
      <c r="AE93" t="e">
        <f>IF(AND(ISNUMBER(AD90), ISNUMBER(AD94)), INDEX('2.Distancias'!E3:J1446, (AD90*38) + AD94 + 1,5), NA())</f>
        <v>#N/A</v>
      </c>
      <c r="AF93" t="e">
        <f>IF(AND(ISNUMBER(AD90), ISNUMBER(AD94)), INDEX('2.Distancias'!E3:J1446, (AD90*38) + AD94 + 1,6), NA())</f>
        <v>#N/A</v>
      </c>
      <c r="AH93" t="e">
        <f>IF(AND(ISNUMBER(AG90), ISNUMBER(AG94)), INDEX('2.Distancias'!E3:J1446, (AG90*38) + AG94 + 1,5), NA())</f>
        <v>#N/A</v>
      </c>
      <c r="AI93" t="e">
        <f>IF(AND(ISNUMBER(AG90), ISNUMBER(AG94)), INDEX('2.Distancias'!E3:J1446, (AG90*38) + AG94 + 1,6), NA())</f>
        <v>#N/A</v>
      </c>
      <c r="AK93" t="e">
        <f>IF(AND(ISNUMBER(AJ90), ISNUMBER(AJ94)), INDEX('2.Distancias'!E3:J1446, (AJ90*38) + AJ94 + 1,5), NA())</f>
        <v>#N/A</v>
      </c>
      <c r="AL93" t="e">
        <f>IF(AND(ISNUMBER(AJ90), ISNUMBER(AJ94)), INDEX('2.Distancias'!E3:J1446, (AJ90*38) + AJ94 + 1,6), NA())</f>
        <v>#N/A</v>
      </c>
    </row>
    <row r="94" spans="15:38" x14ac:dyDescent="0.25">
      <c r="O94" t="str">
        <f>'4.Solución'!C28</f>
        <v xml:space="preserve"> </v>
      </c>
      <c r="P94" t="e">
        <f>IFERROR(IF(ISNUMBER(O94),INDEX('1 ubicaciones'!$D$2:$D$22,O94 + 1),NA()),NA())</f>
        <v>#N/A</v>
      </c>
      <c r="Q94" t="e">
        <f>IFERROR(IF(ISNUMBER(O94),INDEX('1 ubicaciones'!$E$2:$E$22,O94 + 1),NA()),NA())</f>
        <v>#N/A</v>
      </c>
      <c r="R94" t="str">
        <f>'4.Solución'!T28</f>
        <v xml:space="preserve"> </v>
      </c>
      <c r="S94" t="e">
        <f>IFERROR(IF(ISNUMBER(R94),INDEX('1 ubicaciones'!$D$2:$D$22,R94 + 1),NA()),NA())</f>
        <v>#N/A</v>
      </c>
      <c r="T94" t="e">
        <f>IFERROR(IF(ISNUMBER(R94),INDEX('1 ubicaciones'!$E$2:$E$22,R94 + 1),NA()),NA())</f>
        <v>#N/A</v>
      </c>
      <c r="U94" t="str">
        <f>'4.Solución'!AK28</f>
        <v xml:space="preserve"> </v>
      </c>
      <c r="V94" t="e">
        <f>IFERROR(IF(ISNUMBER(U94),INDEX('1 ubicaciones'!$D$2:$D$22,U94 + 1),NA()),NA())</f>
        <v>#N/A</v>
      </c>
      <c r="W94" t="e">
        <f>IFERROR(IF(ISNUMBER(U94),INDEX('1 ubicaciones'!$E$2:$E$22,U94 + 1),NA()),NA())</f>
        <v>#N/A</v>
      </c>
      <c r="X94" t="str">
        <f>'4.Solución'!BB28</f>
        <v xml:space="preserve"> </v>
      </c>
      <c r="Y94" t="e">
        <f>IFERROR(IF(ISNUMBER(X94),INDEX('1 ubicaciones'!$D$2:$D$22,X94 + 1),NA()),NA())</f>
        <v>#N/A</v>
      </c>
      <c r="Z94" t="e">
        <f>IFERROR(IF(ISNUMBER(X94),INDEX('1 ubicaciones'!$E$2:$E$22,X94 + 1),NA()),NA())</f>
        <v>#N/A</v>
      </c>
      <c r="AA94" t="str">
        <f>'4.Solución'!BS28</f>
        <v xml:space="preserve"> </v>
      </c>
      <c r="AB94" t="e">
        <f>IFERROR(IF(ISNUMBER(AA94),INDEX('1 ubicaciones'!$D$2:$D$22,AA94 + 1),NA()),NA())</f>
        <v>#N/A</v>
      </c>
      <c r="AC94" t="e">
        <f>IFERROR(IF(ISNUMBER(AA94),INDEX('1 ubicaciones'!$E$2:$E$22,AA94 + 1),NA()),NA())</f>
        <v>#N/A</v>
      </c>
      <c r="AD94" t="str">
        <f>'4.Solución'!CJ28</f>
        <v xml:space="preserve"> </v>
      </c>
      <c r="AE94" t="e">
        <f>IFERROR(IF(ISNUMBER(AD94),INDEX('1 ubicaciones'!$D$2:$D$22,AD94 + 1),NA()),NA())</f>
        <v>#N/A</v>
      </c>
      <c r="AF94" t="e">
        <f>IFERROR(IF(ISNUMBER(AD94),INDEX('1 ubicaciones'!$E$2:$E$22,AD94 + 1),NA()),NA())</f>
        <v>#N/A</v>
      </c>
      <c r="AG94" t="str">
        <f>'4.Solución'!DA28</f>
        <v xml:space="preserve"> </v>
      </c>
      <c r="AH94" t="e">
        <f>IFERROR(IF(ISNUMBER(AG94),INDEX('1 ubicaciones'!$D$2:$D$22,AG94 + 1),NA()),NA())</f>
        <v>#N/A</v>
      </c>
      <c r="AI94" t="e">
        <f>IFERROR(IF(ISNUMBER(AG94),INDEX('1 ubicaciones'!$E$2:$E$22,AG94 + 1),NA()),NA())</f>
        <v>#N/A</v>
      </c>
      <c r="AJ94" t="str">
        <f>'4.Solución'!DR28</f>
        <v xml:space="preserve"> </v>
      </c>
      <c r="AK94" t="e">
        <f>IFERROR(IF(ISNUMBER(AJ94),INDEX('1 ubicaciones'!$D$2:$D$22,AJ94 + 1),NA()),NA())</f>
        <v>#N/A</v>
      </c>
      <c r="AL94" t="e">
        <f>IFERROR(IF(ISNUMBER(AJ94),INDEX('1 ubicaciones'!$E$2:$E$22,AJ94 + 1),NA()),NA())</f>
        <v>#N/A</v>
      </c>
    </row>
    <row r="95" spans="15:38" x14ac:dyDescent="0.25">
      <c r="P95" t="e">
        <f>IF(AND(ISNUMBER(O94), ISNUMBER(O98)), INDEX('2.Distancias'!E3:J1446, (O94*38) + O98 + 1,1), NA())</f>
        <v>#N/A</v>
      </c>
      <c r="Q95" t="e">
        <f>IF(AND(ISNUMBER(O94), ISNUMBER(O98)), INDEX('2.Distancias'!E3:J1446, (O94*38) + O98 + 1,2), NA())</f>
        <v>#N/A</v>
      </c>
      <c r="S95" t="e">
        <f>IF(AND(ISNUMBER(R94), ISNUMBER(R98)), INDEX('2.Distancias'!E3:J1446, (R94*38) + R98 + 1,1), NA())</f>
        <v>#N/A</v>
      </c>
      <c r="T95" t="e">
        <f>IF(AND(ISNUMBER(R94), ISNUMBER(R98)), INDEX('2.Distancias'!E3:J1446, (R94*38) + R98 + 1,2), NA())</f>
        <v>#N/A</v>
      </c>
      <c r="V95" t="e">
        <f>IF(AND(ISNUMBER(U94), ISNUMBER(U98)), INDEX('2.Distancias'!E3:J1446, (U94*38) + U98 + 1,1), NA())</f>
        <v>#N/A</v>
      </c>
      <c r="W95" t="e">
        <f>IF(AND(ISNUMBER(U94), ISNUMBER(U98)), INDEX('2.Distancias'!E3:J1446, (U94*38) + U98 + 1,2), NA())</f>
        <v>#N/A</v>
      </c>
      <c r="Y95" t="e">
        <f>IF(AND(ISNUMBER(X94), ISNUMBER(X98)), INDEX('2.Distancias'!E3:J1446, (X94*38) + X98 + 1,1), NA())</f>
        <v>#N/A</v>
      </c>
      <c r="Z95" t="e">
        <f>IF(AND(ISNUMBER(X94), ISNUMBER(X98)), INDEX('2.Distancias'!E3:J1446, (X94*38) + X98 + 1,2), NA())</f>
        <v>#N/A</v>
      </c>
      <c r="AB95" t="e">
        <f>IF(AND(ISNUMBER(AA94), ISNUMBER(AA98)), INDEX('2.Distancias'!E3:J1446, (AA94*38) + AA98 + 1,1), NA())</f>
        <v>#N/A</v>
      </c>
      <c r="AC95" t="e">
        <f>IF(AND(ISNUMBER(AA94), ISNUMBER(AA98)), INDEX('2.Distancias'!E3:J1446, (AA94*38) + AA98 + 1,2), NA())</f>
        <v>#N/A</v>
      </c>
      <c r="AE95" t="e">
        <f>IF(AND(ISNUMBER(AD94), ISNUMBER(AD98)), INDEX('2.Distancias'!E3:J1446, (AD94*38) + AD98 + 1,1), NA())</f>
        <v>#N/A</v>
      </c>
      <c r="AF95" t="e">
        <f>IF(AND(ISNUMBER(AD94), ISNUMBER(AD98)), INDEX('2.Distancias'!E3:J1446, (AD94*38) + AD98 + 1,2), NA())</f>
        <v>#N/A</v>
      </c>
      <c r="AH95" t="e">
        <f>IF(AND(ISNUMBER(AG94), ISNUMBER(AG98)), INDEX('2.Distancias'!E3:J1446, (AG94*38) + AG98 + 1,1), NA())</f>
        <v>#N/A</v>
      </c>
      <c r="AI95" t="e">
        <f>IF(AND(ISNUMBER(AG94), ISNUMBER(AG98)), INDEX('2.Distancias'!E3:J1446, (AG94*38) + AG98 + 1,2), NA())</f>
        <v>#N/A</v>
      </c>
      <c r="AK95" t="e">
        <f>IF(AND(ISNUMBER(AJ94), ISNUMBER(AJ98)), INDEX('2.Distancias'!E3:J1446, (AJ94*38) + AJ98 + 1,1), NA())</f>
        <v>#N/A</v>
      </c>
      <c r="AL95" t="e">
        <f>IF(AND(ISNUMBER(AJ94), ISNUMBER(AJ98)), INDEX('2.Distancias'!E3:J1446, (AJ94*38) + AJ98 + 1,2), NA())</f>
        <v>#N/A</v>
      </c>
    </row>
    <row r="96" spans="15:38" x14ac:dyDescent="0.25">
      <c r="P96" t="e">
        <f>IF(AND(ISNUMBER(O94), ISNUMBER(O98)), INDEX('2.Distancias'!E3:J1446, (O94*38) + O98 + 1,3), NA())</f>
        <v>#N/A</v>
      </c>
      <c r="Q96" t="e">
        <f>IF(AND(ISNUMBER(O94), ISNUMBER(O98)), INDEX('2.Distancias'!E3:J1446, (O94*38) + O98 + 1,4), NA())</f>
        <v>#N/A</v>
      </c>
      <c r="S96" t="e">
        <f>IF(AND(ISNUMBER(R94), ISNUMBER(R98)), INDEX('2.Distancias'!E3:J1446, (R94*38) + R98 + 1,3), NA())</f>
        <v>#N/A</v>
      </c>
      <c r="T96" t="e">
        <f>IF(AND(ISNUMBER(R94), ISNUMBER(R98)), INDEX('2.Distancias'!E3:J1446, (R94*38) + R98 + 1,4), NA())</f>
        <v>#N/A</v>
      </c>
      <c r="V96" t="e">
        <f>IF(AND(ISNUMBER(U94), ISNUMBER(U98)), INDEX('2.Distancias'!E3:J1446, (U94*38) + U98 + 1,3), NA())</f>
        <v>#N/A</v>
      </c>
      <c r="W96" t="e">
        <f>IF(AND(ISNUMBER(U94), ISNUMBER(U98)), INDEX('2.Distancias'!E3:J1446, (U94*38) + U98 + 1,4), NA())</f>
        <v>#N/A</v>
      </c>
      <c r="Y96" t="e">
        <f>IF(AND(ISNUMBER(X94), ISNUMBER(X98)), INDEX('2.Distancias'!E3:J1446, (X94*38) + X98 + 1,3), NA())</f>
        <v>#N/A</v>
      </c>
      <c r="Z96" t="e">
        <f>IF(AND(ISNUMBER(X94), ISNUMBER(X98)), INDEX('2.Distancias'!E3:J1446, (X94*38) + X98 + 1,4), NA())</f>
        <v>#N/A</v>
      </c>
      <c r="AB96" t="e">
        <f>IF(AND(ISNUMBER(AA94), ISNUMBER(AA98)), INDEX('2.Distancias'!E3:J1446, (AA94*38) + AA98 + 1,3), NA())</f>
        <v>#N/A</v>
      </c>
      <c r="AC96" t="e">
        <f>IF(AND(ISNUMBER(AA94), ISNUMBER(AA98)), INDEX('2.Distancias'!E3:J1446, (AA94*38) + AA98 + 1,4), NA())</f>
        <v>#N/A</v>
      </c>
      <c r="AE96" t="e">
        <f>IF(AND(ISNUMBER(AD94), ISNUMBER(AD98)), INDEX('2.Distancias'!E3:J1446, (AD94*38) + AD98 + 1,3), NA())</f>
        <v>#N/A</v>
      </c>
      <c r="AF96" t="e">
        <f>IF(AND(ISNUMBER(AD94), ISNUMBER(AD98)), INDEX('2.Distancias'!E3:J1446, (AD94*38) + AD98 + 1,4), NA())</f>
        <v>#N/A</v>
      </c>
      <c r="AH96" t="e">
        <f>IF(AND(ISNUMBER(AG94), ISNUMBER(AG98)), INDEX('2.Distancias'!E3:J1446, (AG94*38) + AG98 + 1,3), NA())</f>
        <v>#N/A</v>
      </c>
      <c r="AI96" t="e">
        <f>IF(AND(ISNUMBER(AG94), ISNUMBER(AG98)), INDEX('2.Distancias'!E3:J1446, (AG94*38) + AG98 + 1,4), NA())</f>
        <v>#N/A</v>
      </c>
      <c r="AK96" t="e">
        <f>IF(AND(ISNUMBER(AJ94), ISNUMBER(AJ98)), INDEX('2.Distancias'!E3:J1446, (AJ94*38) + AJ98 + 1,3), NA())</f>
        <v>#N/A</v>
      </c>
      <c r="AL96" t="e">
        <f>IF(AND(ISNUMBER(AJ94), ISNUMBER(AJ98)), INDEX('2.Distancias'!E3:J1446, (AJ94*38) + AJ98 + 1,4), NA())</f>
        <v>#N/A</v>
      </c>
    </row>
    <row r="97" spans="15:38" x14ac:dyDescent="0.25">
      <c r="P97" t="e">
        <f>IF(AND(ISNUMBER(O94), ISNUMBER(O98)), INDEX('2.Distancias'!E3:J1446, (O94*38) + O98 + 1,5), NA())</f>
        <v>#N/A</v>
      </c>
      <c r="Q97" t="e">
        <f>IF(AND(ISNUMBER(O94), ISNUMBER(O98)), INDEX('2.Distancias'!E3:J1446, (O94*38) + O98 + 1,6), NA())</f>
        <v>#N/A</v>
      </c>
      <c r="S97" t="e">
        <f>IF(AND(ISNUMBER(R94), ISNUMBER(R98)), INDEX('2.Distancias'!E3:J1446, (R94*38) + R98 + 1,5), NA())</f>
        <v>#N/A</v>
      </c>
      <c r="T97" t="e">
        <f>IF(AND(ISNUMBER(R94), ISNUMBER(R98)), INDEX('2.Distancias'!E3:J1446, (R94*38) + R98 + 1,6), NA())</f>
        <v>#N/A</v>
      </c>
      <c r="V97" t="e">
        <f>IF(AND(ISNUMBER(U94), ISNUMBER(U98)), INDEX('2.Distancias'!E3:J1446, (U94*38) + U98 + 1,5), NA())</f>
        <v>#N/A</v>
      </c>
      <c r="W97" t="e">
        <f>IF(AND(ISNUMBER(U94), ISNUMBER(U98)), INDEX('2.Distancias'!E3:J1446, (U94*38) + U98 + 1,6), NA())</f>
        <v>#N/A</v>
      </c>
      <c r="Y97" t="e">
        <f>IF(AND(ISNUMBER(X94), ISNUMBER(X98)), INDEX('2.Distancias'!E3:J1446, (X94*38) + X98 + 1,5), NA())</f>
        <v>#N/A</v>
      </c>
      <c r="Z97" t="e">
        <f>IF(AND(ISNUMBER(X94), ISNUMBER(X98)), INDEX('2.Distancias'!E3:J1446, (X94*38) + X98 + 1,6), NA())</f>
        <v>#N/A</v>
      </c>
      <c r="AB97" t="e">
        <f>IF(AND(ISNUMBER(AA94), ISNUMBER(AA98)), INDEX('2.Distancias'!E3:J1446, (AA94*38) + AA98 + 1,5), NA())</f>
        <v>#N/A</v>
      </c>
      <c r="AC97" t="e">
        <f>IF(AND(ISNUMBER(AA94), ISNUMBER(AA98)), INDEX('2.Distancias'!E3:J1446, (AA94*38) + AA98 + 1,6), NA())</f>
        <v>#N/A</v>
      </c>
      <c r="AE97" t="e">
        <f>IF(AND(ISNUMBER(AD94), ISNUMBER(AD98)), INDEX('2.Distancias'!E3:J1446, (AD94*38) + AD98 + 1,5), NA())</f>
        <v>#N/A</v>
      </c>
      <c r="AF97" t="e">
        <f>IF(AND(ISNUMBER(AD94), ISNUMBER(AD98)), INDEX('2.Distancias'!E3:J1446, (AD94*38) + AD98 + 1,6), NA())</f>
        <v>#N/A</v>
      </c>
      <c r="AH97" t="e">
        <f>IF(AND(ISNUMBER(AG94), ISNUMBER(AG98)), INDEX('2.Distancias'!E3:J1446, (AG94*38) + AG98 + 1,5), NA())</f>
        <v>#N/A</v>
      </c>
      <c r="AI97" t="e">
        <f>IF(AND(ISNUMBER(AG94), ISNUMBER(AG98)), INDEX('2.Distancias'!E3:J1446, (AG94*38) + AG98 + 1,6), NA())</f>
        <v>#N/A</v>
      </c>
      <c r="AK97" t="e">
        <f>IF(AND(ISNUMBER(AJ94), ISNUMBER(AJ98)), INDEX('2.Distancias'!E3:J1446, (AJ94*38) + AJ98 + 1,5), NA())</f>
        <v>#N/A</v>
      </c>
      <c r="AL97" t="e">
        <f>IF(AND(ISNUMBER(AJ94), ISNUMBER(AJ98)), INDEX('2.Distancias'!E3:J1446, (AJ94*38) + AJ98 + 1,6), NA())</f>
        <v>#N/A</v>
      </c>
    </row>
    <row r="98" spans="15:38" x14ac:dyDescent="0.25">
      <c r="O98" t="str">
        <f>'4.Solución'!C29</f>
        <v xml:space="preserve"> </v>
      </c>
      <c r="P98" t="e">
        <f>IFERROR(IF(ISNUMBER(O98),INDEX('1 ubicaciones'!$D$2:$D$22,O98 + 1),NA()),NA())</f>
        <v>#N/A</v>
      </c>
      <c r="Q98" t="e">
        <f>IFERROR(IF(ISNUMBER(O98),INDEX('1 ubicaciones'!$E$2:$E$22,O98 + 1),NA()),NA())</f>
        <v>#N/A</v>
      </c>
      <c r="R98" t="str">
        <f>'4.Solución'!T29</f>
        <v xml:space="preserve"> </v>
      </c>
      <c r="S98" t="e">
        <f>IFERROR(IF(ISNUMBER(R98),INDEX('1 ubicaciones'!$D$2:$D$22,R98 + 1),NA()),NA())</f>
        <v>#N/A</v>
      </c>
      <c r="T98" t="e">
        <f>IFERROR(IF(ISNUMBER(R98),INDEX('1 ubicaciones'!$E$2:$E$22,R98 + 1),NA()),NA())</f>
        <v>#N/A</v>
      </c>
      <c r="U98" t="str">
        <f>'4.Solución'!AK29</f>
        <v xml:space="preserve"> </v>
      </c>
      <c r="V98" t="e">
        <f>IFERROR(IF(ISNUMBER(U98),INDEX('1 ubicaciones'!$D$2:$D$22,U98 + 1),NA()),NA())</f>
        <v>#N/A</v>
      </c>
      <c r="W98" t="e">
        <f>IFERROR(IF(ISNUMBER(U98),INDEX('1 ubicaciones'!$E$2:$E$22,U98 + 1),NA()),NA())</f>
        <v>#N/A</v>
      </c>
      <c r="X98" t="str">
        <f>'4.Solución'!BB29</f>
        <v xml:space="preserve"> </v>
      </c>
      <c r="Y98" t="e">
        <f>IFERROR(IF(ISNUMBER(X98),INDEX('1 ubicaciones'!$D$2:$D$22,X98 + 1),NA()),NA())</f>
        <v>#N/A</v>
      </c>
      <c r="Z98" t="e">
        <f>IFERROR(IF(ISNUMBER(X98),INDEX('1 ubicaciones'!$E$2:$E$22,X98 + 1),NA()),NA())</f>
        <v>#N/A</v>
      </c>
      <c r="AA98" t="str">
        <f>'4.Solución'!BS29</f>
        <v xml:space="preserve"> </v>
      </c>
      <c r="AB98" t="e">
        <f>IFERROR(IF(ISNUMBER(AA98),INDEX('1 ubicaciones'!$D$2:$D$22,AA98 + 1),NA()),NA())</f>
        <v>#N/A</v>
      </c>
      <c r="AC98" t="e">
        <f>IFERROR(IF(ISNUMBER(AA98),INDEX('1 ubicaciones'!$E$2:$E$22,AA98 + 1),NA()),NA())</f>
        <v>#N/A</v>
      </c>
      <c r="AD98" t="str">
        <f>'4.Solución'!CJ29</f>
        <v xml:space="preserve"> </v>
      </c>
      <c r="AE98" t="e">
        <f>IFERROR(IF(ISNUMBER(AD98),INDEX('1 ubicaciones'!$D$2:$D$22,AD98 + 1),NA()),NA())</f>
        <v>#N/A</v>
      </c>
      <c r="AF98" t="e">
        <f>IFERROR(IF(ISNUMBER(AD98),INDEX('1 ubicaciones'!$E$2:$E$22,AD98 + 1),NA()),NA())</f>
        <v>#N/A</v>
      </c>
      <c r="AG98" t="str">
        <f>'4.Solución'!DA29</f>
        <v xml:space="preserve"> </v>
      </c>
      <c r="AH98" t="e">
        <f>IFERROR(IF(ISNUMBER(AG98),INDEX('1 ubicaciones'!$D$2:$D$22,AG98 + 1),NA()),NA())</f>
        <v>#N/A</v>
      </c>
      <c r="AI98" t="e">
        <f>IFERROR(IF(ISNUMBER(AG98),INDEX('1 ubicaciones'!$E$2:$E$22,AG98 + 1),NA()),NA())</f>
        <v>#N/A</v>
      </c>
      <c r="AJ98" t="str">
        <f>'4.Solución'!DR29</f>
        <v xml:space="preserve"> </v>
      </c>
      <c r="AK98" t="e">
        <f>IFERROR(IF(ISNUMBER(AJ98),INDEX('1 ubicaciones'!$D$2:$D$22,AJ98 + 1),NA()),NA())</f>
        <v>#N/A</v>
      </c>
      <c r="AL98" t="e">
        <f>IFERROR(IF(ISNUMBER(AJ98),INDEX('1 ubicaciones'!$E$2:$E$22,AJ98 + 1),NA()),NA())</f>
        <v>#N/A</v>
      </c>
    </row>
    <row r="99" spans="15:38" x14ac:dyDescent="0.25">
      <c r="P99" t="e">
        <f>IF(AND(ISNUMBER(O98), ISNUMBER(O102)), INDEX('2.Distancias'!E3:J1446, (O98*38) + O102 + 1,1), NA())</f>
        <v>#N/A</v>
      </c>
      <c r="Q99" t="e">
        <f>IF(AND(ISNUMBER(O98), ISNUMBER(O102)), INDEX('2.Distancias'!E3:J1446, (O98*38) + O102 + 1,2), NA())</f>
        <v>#N/A</v>
      </c>
      <c r="S99" t="e">
        <f>IF(AND(ISNUMBER(R98), ISNUMBER(R102)), INDEX('2.Distancias'!E3:J1446, (R98*38) + R102 + 1,1), NA())</f>
        <v>#N/A</v>
      </c>
      <c r="T99" t="e">
        <f>IF(AND(ISNUMBER(R98), ISNUMBER(R102)), INDEX('2.Distancias'!E3:J1446, (R98*38) + R102 + 1,2), NA())</f>
        <v>#N/A</v>
      </c>
      <c r="V99" t="e">
        <f>IF(AND(ISNUMBER(U98), ISNUMBER(U102)), INDEX('2.Distancias'!E3:J1446, (U98*38) + U102 + 1,1), NA())</f>
        <v>#N/A</v>
      </c>
      <c r="W99" t="e">
        <f>IF(AND(ISNUMBER(U98), ISNUMBER(U102)), INDEX('2.Distancias'!E3:J1446, (U98*38) + U102 + 1,2), NA())</f>
        <v>#N/A</v>
      </c>
      <c r="Y99" t="e">
        <f>IF(AND(ISNUMBER(X98), ISNUMBER(X102)), INDEX('2.Distancias'!E3:J1446, (X98*38) + X102 + 1,1), NA())</f>
        <v>#N/A</v>
      </c>
      <c r="Z99" t="e">
        <f>IF(AND(ISNUMBER(X98), ISNUMBER(X102)), INDEX('2.Distancias'!E3:J1446, (X98*38) + X102 + 1,2), NA())</f>
        <v>#N/A</v>
      </c>
      <c r="AB99" t="e">
        <f>IF(AND(ISNUMBER(AA98), ISNUMBER(AA102)), INDEX('2.Distancias'!E3:J1446, (AA98*38) + AA102 + 1,1), NA())</f>
        <v>#N/A</v>
      </c>
      <c r="AC99" t="e">
        <f>IF(AND(ISNUMBER(AA98), ISNUMBER(AA102)), INDEX('2.Distancias'!E3:J1446, (AA98*38) + AA102 + 1,2), NA())</f>
        <v>#N/A</v>
      </c>
      <c r="AE99" t="e">
        <f>IF(AND(ISNUMBER(AD98), ISNUMBER(AD102)), INDEX('2.Distancias'!E3:J1446, (AD98*38) + AD102 + 1,1), NA())</f>
        <v>#N/A</v>
      </c>
      <c r="AF99" t="e">
        <f>IF(AND(ISNUMBER(AD98), ISNUMBER(AD102)), INDEX('2.Distancias'!E3:J1446, (AD98*38) + AD102 + 1,2), NA())</f>
        <v>#N/A</v>
      </c>
      <c r="AH99" t="e">
        <f>IF(AND(ISNUMBER(AG98), ISNUMBER(AG102)), INDEX('2.Distancias'!E3:J1446, (AG98*38) + AG102 + 1,1), NA())</f>
        <v>#N/A</v>
      </c>
      <c r="AI99" t="e">
        <f>IF(AND(ISNUMBER(AG98), ISNUMBER(AG102)), INDEX('2.Distancias'!E3:J1446, (AG98*38) + AG102 + 1,2), NA())</f>
        <v>#N/A</v>
      </c>
      <c r="AK99" t="e">
        <f>IF(AND(ISNUMBER(AJ98), ISNUMBER(AJ102)), INDEX('2.Distancias'!E3:J1446, (AJ98*38) + AJ102 + 1,1), NA())</f>
        <v>#N/A</v>
      </c>
      <c r="AL99" t="e">
        <f>IF(AND(ISNUMBER(AJ98), ISNUMBER(AJ102)), INDEX('2.Distancias'!E3:J1446, (AJ98*38) + AJ102 + 1,2), NA())</f>
        <v>#N/A</v>
      </c>
    </row>
    <row r="100" spans="15:38" x14ac:dyDescent="0.25">
      <c r="P100" t="e">
        <f>IF(AND(ISNUMBER(O98), ISNUMBER(O102)), INDEX('2.Distancias'!E3:J1446, (O98*38) + O102 + 1,3), NA())</f>
        <v>#N/A</v>
      </c>
      <c r="Q100" t="e">
        <f>IF(AND(ISNUMBER(O98), ISNUMBER(O102)), INDEX('2.Distancias'!E3:J1446, (O98*38) + O102 + 1,4), NA())</f>
        <v>#N/A</v>
      </c>
      <c r="S100" t="e">
        <f>IF(AND(ISNUMBER(R98), ISNUMBER(R102)), INDEX('2.Distancias'!E3:J1446, (R98*38) + R102 + 1,3), NA())</f>
        <v>#N/A</v>
      </c>
      <c r="T100" t="e">
        <f>IF(AND(ISNUMBER(R98), ISNUMBER(R102)), INDEX('2.Distancias'!E3:J1446, (R98*38) + R102 + 1,4), NA())</f>
        <v>#N/A</v>
      </c>
      <c r="V100" t="e">
        <f>IF(AND(ISNUMBER(U98), ISNUMBER(U102)), INDEX('2.Distancias'!E3:J1446, (U98*38) + U102 + 1,3), NA())</f>
        <v>#N/A</v>
      </c>
      <c r="W100" t="e">
        <f>IF(AND(ISNUMBER(U98), ISNUMBER(U102)), INDEX('2.Distancias'!E3:J1446, (U98*38) + U102 + 1,4), NA())</f>
        <v>#N/A</v>
      </c>
      <c r="Y100" t="e">
        <f>IF(AND(ISNUMBER(X98), ISNUMBER(X102)), INDEX('2.Distancias'!E3:J1446, (X98*38) + X102 + 1,3), NA())</f>
        <v>#N/A</v>
      </c>
      <c r="Z100" t="e">
        <f>IF(AND(ISNUMBER(X98), ISNUMBER(X102)), INDEX('2.Distancias'!E3:J1446, (X98*38) + X102 + 1,4), NA())</f>
        <v>#N/A</v>
      </c>
      <c r="AB100" t="e">
        <f>IF(AND(ISNUMBER(AA98), ISNUMBER(AA102)), INDEX('2.Distancias'!E3:J1446, (AA98*38) + AA102 + 1,3), NA())</f>
        <v>#N/A</v>
      </c>
      <c r="AC100" t="e">
        <f>IF(AND(ISNUMBER(AA98), ISNUMBER(AA102)), INDEX('2.Distancias'!E3:J1446, (AA98*38) + AA102 + 1,4), NA())</f>
        <v>#N/A</v>
      </c>
      <c r="AE100" t="e">
        <f>IF(AND(ISNUMBER(AD98), ISNUMBER(AD102)), INDEX('2.Distancias'!E3:J1446, (AD98*38) + AD102 + 1,3), NA())</f>
        <v>#N/A</v>
      </c>
      <c r="AF100" t="e">
        <f>IF(AND(ISNUMBER(AD98), ISNUMBER(AD102)), INDEX('2.Distancias'!E3:J1446, (AD98*38) + AD102 + 1,4), NA())</f>
        <v>#N/A</v>
      </c>
      <c r="AH100" t="e">
        <f>IF(AND(ISNUMBER(AG98), ISNUMBER(AG102)), INDEX('2.Distancias'!E3:J1446, (AG98*38) + AG102 + 1,3), NA())</f>
        <v>#N/A</v>
      </c>
      <c r="AI100" t="e">
        <f>IF(AND(ISNUMBER(AG98), ISNUMBER(AG102)), INDEX('2.Distancias'!E3:J1446, (AG98*38) + AG102 + 1,4), NA())</f>
        <v>#N/A</v>
      </c>
      <c r="AK100" t="e">
        <f>IF(AND(ISNUMBER(AJ98), ISNUMBER(AJ102)), INDEX('2.Distancias'!E3:J1446, (AJ98*38) + AJ102 + 1,3), NA())</f>
        <v>#N/A</v>
      </c>
      <c r="AL100" t="e">
        <f>IF(AND(ISNUMBER(AJ98), ISNUMBER(AJ102)), INDEX('2.Distancias'!E3:J1446, (AJ98*38) + AJ102 + 1,4), NA())</f>
        <v>#N/A</v>
      </c>
    </row>
    <row r="101" spans="15:38" x14ac:dyDescent="0.25">
      <c r="P101" t="e">
        <f>IF(AND(ISNUMBER(O98), ISNUMBER(O102)), INDEX('2.Distancias'!E3:J1446, (O98*38) + O102 + 1,5), NA())</f>
        <v>#N/A</v>
      </c>
      <c r="Q101" t="e">
        <f>IF(AND(ISNUMBER(O98), ISNUMBER(O102)), INDEX('2.Distancias'!E3:J1446, (O98*38) + O102 + 1,6), NA())</f>
        <v>#N/A</v>
      </c>
      <c r="S101" t="e">
        <f>IF(AND(ISNUMBER(R98), ISNUMBER(R102)), INDEX('2.Distancias'!E3:J1446, (R98*38) + R102 + 1,5), NA())</f>
        <v>#N/A</v>
      </c>
      <c r="T101" t="e">
        <f>IF(AND(ISNUMBER(R98), ISNUMBER(R102)), INDEX('2.Distancias'!E3:J1446, (R98*38) + R102 + 1,6), NA())</f>
        <v>#N/A</v>
      </c>
      <c r="V101" t="e">
        <f>IF(AND(ISNUMBER(U98), ISNUMBER(U102)), INDEX('2.Distancias'!E3:J1446, (U98*38) + U102 + 1,5), NA())</f>
        <v>#N/A</v>
      </c>
      <c r="W101" t="e">
        <f>IF(AND(ISNUMBER(U98), ISNUMBER(U102)), INDEX('2.Distancias'!E3:J1446, (U98*38) + U102 + 1,6), NA())</f>
        <v>#N/A</v>
      </c>
      <c r="Y101" t="e">
        <f>IF(AND(ISNUMBER(X98), ISNUMBER(X102)), INDEX('2.Distancias'!E3:J1446, (X98*38) + X102 + 1,5), NA())</f>
        <v>#N/A</v>
      </c>
      <c r="Z101" t="e">
        <f>IF(AND(ISNUMBER(X98), ISNUMBER(X102)), INDEX('2.Distancias'!E3:J1446, (X98*38) + X102 + 1,6), NA())</f>
        <v>#N/A</v>
      </c>
      <c r="AB101" t="e">
        <f>IF(AND(ISNUMBER(AA98), ISNUMBER(AA102)), INDEX('2.Distancias'!E3:J1446, (AA98*38) + AA102 + 1,5), NA())</f>
        <v>#N/A</v>
      </c>
      <c r="AC101" t="e">
        <f>IF(AND(ISNUMBER(AA98), ISNUMBER(AA102)), INDEX('2.Distancias'!E3:J1446, (AA98*38) + AA102 + 1,6), NA())</f>
        <v>#N/A</v>
      </c>
      <c r="AE101" t="e">
        <f>IF(AND(ISNUMBER(AD98), ISNUMBER(AD102)), INDEX('2.Distancias'!E3:J1446, (AD98*38) + AD102 + 1,5), NA())</f>
        <v>#N/A</v>
      </c>
      <c r="AF101" t="e">
        <f>IF(AND(ISNUMBER(AD98), ISNUMBER(AD102)), INDEX('2.Distancias'!E3:J1446, (AD98*38) + AD102 + 1,6), NA())</f>
        <v>#N/A</v>
      </c>
      <c r="AH101" t="e">
        <f>IF(AND(ISNUMBER(AG98), ISNUMBER(AG102)), INDEX('2.Distancias'!E3:J1446, (AG98*38) + AG102 + 1,5), NA())</f>
        <v>#N/A</v>
      </c>
      <c r="AI101" t="e">
        <f>IF(AND(ISNUMBER(AG98), ISNUMBER(AG102)), INDEX('2.Distancias'!E3:J1446, (AG98*38) + AG102 + 1,6), NA())</f>
        <v>#N/A</v>
      </c>
      <c r="AK101" t="e">
        <f>IF(AND(ISNUMBER(AJ98), ISNUMBER(AJ102)), INDEX('2.Distancias'!E3:J1446, (AJ98*38) + AJ102 + 1,5), NA())</f>
        <v>#N/A</v>
      </c>
      <c r="AL101" t="e">
        <f>IF(AND(ISNUMBER(AJ98), ISNUMBER(AJ102)), INDEX('2.Distancias'!E3:J1446, (AJ98*38) + AJ102 + 1,6), NA())</f>
        <v>#N/A</v>
      </c>
    </row>
    <row r="102" spans="15:38" x14ac:dyDescent="0.25">
      <c r="O102" t="str">
        <f>'4.Solución'!C30</f>
        <v xml:space="preserve"> </v>
      </c>
      <c r="P102" t="e">
        <f>IFERROR(IF(ISNUMBER(O102),INDEX('1 ubicaciones'!$D$2:$D$22,O102 + 1),NA()),NA())</f>
        <v>#N/A</v>
      </c>
      <c r="Q102" t="e">
        <f>IFERROR(IF(ISNUMBER(O102),INDEX('1 ubicaciones'!$E$2:$E$22,O102 + 1),NA()),NA())</f>
        <v>#N/A</v>
      </c>
      <c r="R102" t="str">
        <f>'4.Solución'!T30</f>
        <v xml:space="preserve"> </v>
      </c>
      <c r="S102" t="e">
        <f>IFERROR(IF(ISNUMBER(R102),INDEX('1 ubicaciones'!$D$2:$D$22,R102 + 1),NA()),NA())</f>
        <v>#N/A</v>
      </c>
      <c r="T102" t="e">
        <f>IFERROR(IF(ISNUMBER(R102),INDEX('1 ubicaciones'!$E$2:$E$22,R102 + 1),NA()),NA())</f>
        <v>#N/A</v>
      </c>
      <c r="U102" t="str">
        <f>'4.Solución'!AK30</f>
        <v xml:space="preserve"> </v>
      </c>
      <c r="V102" t="e">
        <f>IFERROR(IF(ISNUMBER(U102),INDEX('1 ubicaciones'!$D$2:$D$22,U102 + 1),NA()),NA())</f>
        <v>#N/A</v>
      </c>
      <c r="W102" t="e">
        <f>IFERROR(IF(ISNUMBER(U102),INDEX('1 ubicaciones'!$E$2:$E$22,U102 + 1),NA()),NA())</f>
        <v>#N/A</v>
      </c>
      <c r="X102" t="str">
        <f>'4.Solución'!BB30</f>
        <v xml:space="preserve"> </v>
      </c>
      <c r="Y102" t="e">
        <f>IFERROR(IF(ISNUMBER(X102),INDEX('1 ubicaciones'!$D$2:$D$22,X102 + 1),NA()),NA())</f>
        <v>#N/A</v>
      </c>
      <c r="Z102" t="e">
        <f>IFERROR(IF(ISNUMBER(X102),INDEX('1 ubicaciones'!$E$2:$E$22,X102 + 1),NA()),NA())</f>
        <v>#N/A</v>
      </c>
      <c r="AA102" t="str">
        <f>'4.Solución'!BS30</f>
        <v xml:space="preserve"> </v>
      </c>
      <c r="AB102" t="e">
        <f>IFERROR(IF(ISNUMBER(AA102),INDEX('1 ubicaciones'!$D$2:$D$22,AA102 + 1),NA()),NA())</f>
        <v>#N/A</v>
      </c>
      <c r="AC102" t="e">
        <f>IFERROR(IF(ISNUMBER(AA102),INDEX('1 ubicaciones'!$E$2:$E$22,AA102 + 1),NA()),NA())</f>
        <v>#N/A</v>
      </c>
      <c r="AD102" t="str">
        <f>'4.Solución'!CJ30</f>
        <v xml:space="preserve"> </v>
      </c>
      <c r="AE102" t="e">
        <f>IFERROR(IF(ISNUMBER(AD102),INDEX('1 ubicaciones'!$D$2:$D$22,AD102 + 1),NA()),NA())</f>
        <v>#N/A</v>
      </c>
      <c r="AF102" t="e">
        <f>IFERROR(IF(ISNUMBER(AD102),INDEX('1 ubicaciones'!$E$2:$E$22,AD102 + 1),NA()),NA())</f>
        <v>#N/A</v>
      </c>
      <c r="AG102" t="str">
        <f>'4.Solución'!DA30</f>
        <v xml:space="preserve"> </v>
      </c>
      <c r="AH102" t="e">
        <f>IFERROR(IF(ISNUMBER(AG102),INDEX('1 ubicaciones'!$D$2:$D$22,AG102 + 1),NA()),NA())</f>
        <v>#N/A</v>
      </c>
      <c r="AI102" t="e">
        <f>IFERROR(IF(ISNUMBER(AG102),INDEX('1 ubicaciones'!$E$2:$E$22,AG102 + 1),NA()),NA())</f>
        <v>#N/A</v>
      </c>
      <c r="AJ102" t="str">
        <f>'4.Solución'!DR30</f>
        <v xml:space="preserve"> </v>
      </c>
      <c r="AK102" t="e">
        <f>IFERROR(IF(ISNUMBER(AJ102),INDEX('1 ubicaciones'!$D$2:$D$22,AJ102 + 1),NA()),NA())</f>
        <v>#N/A</v>
      </c>
      <c r="AL102" t="e">
        <f>IFERROR(IF(ISNUMBER(AJ102),INDEX('1 ubicaciones'!$E$2:$E$22,AJ102 + 1),NA()),NA())</f>
        <v>#N/A</v>
      </c>
    </row>
    <row r="103" spans="15:38" x14ac:dyDescent="0.25">
      <c r="P103" t="e">
        <f>IF(AND(ISNUMBER(O102), ISNUMBER(O106)), INDEX('2.Distancias'!E3:J1446, (O102*38) + O106 + 1,1), NA())</f>
        <v>#N/A</v>
      </c>
      <c r="Q103" t="e">
        <f>IF(AND(ISNUMBER(O102), ISNUMBER(O106)), INDEX('2.Distancias'!E3:J1446, (O102*38) + O106 + 1,2), NA())</f>
        <v>#N/A</v>
      </c>
      <c r="S103" t="e">
        <f>IF(AND(ISNUMBER(R102), ISNUMBER(R106)), INDEX('2.Distancias'!E3:J1446, (R102*38) + R106 + 1,1), NA())</f>
        <v>#N/A</v>
      </c>
      <c r="T103" t="e">
        <f>IF(AND(ISNUMBER(R102), ISNUMBER(R106)), INDEX('2.Distancias'!E3:J1446, (R102*38) + R106 + 1,2), NA())</f>
        <v>#N/A</v>
      </c>
      <c r="V103" t="e">
        <f>IF(AND(ISNUMBER(U102), ISNUMBER(U106)), INDEX('2.Distancias'!E3:J1446, (U102*38) + U106 + 1,1), NA())</f>
        <v>#N/A</v>
      </c>
      <c r="W103" t="e">
        <f>IF(AND(ISNUMBER(U102), ISNUMBER(U106)), INDEX('2.Distancias'!E3:J1446, (U102*38) + U106 + 1,2), NA())</f>
        <v>#N/A</v>
      </c>
      <c r="Y103" t="e">
        <f>IF(AND(ISNUMBER(X102), ISNUMBER(X106)), INDEX('2.Distancias'!E3:J1446, (X102*38) + X106 + 1,1), NA())</f>
        <v>#N/A</v>
      </c>
      <c r="Z103" t="e">
        <f>IF(AND(ISNUMBER(X102), ISNUMBER(X106)), INDEX('2.Distancias'!E3:J1446, (X102*38) + X106 + 1,2), NA())</f>
        <v>#N/A</v>
      </c>
      <c r="AB103" t="e">
        <f>IF(AND(ISNUMBER(AA102), ISNUMBER(AA106)), INDEX('2.Distancias'!E3:J1446, (AA102*38) + AA106 + 1,1), NA())</f>
        <v>#N/A</v>
      </c>
      <c r="AC103" t="e">
        <f>IF(AND(ISNUMBER(AA102), ISNUMBER(AA106)), INDEX('2.Distancias'!E3:J1446, (AA102*38) + AA106 + 1,2), NA())</f>
        <v>#N/A</v>
      </c>
      <c r="AE103" t="e">
        <f>IF(AND(ISNUMBER(AD102), ISNUMBER(AD106)), INDEX('2.Distancias'!E3:J1446, (AD102*38) + AD106 + 1,1), NA())</f>
        <v>#N/A</v>
      </c>
      <c r="AF103" t="e">
        <f>IF(AND(ISNUMBER(AD102), ISNUMBER(AD106)), INDEX('2.Distancias'!E3:J1446, (AD102*38) + AD106 + 1,2), NA())</f>
        <v>#N/A</v>
      </c>
      <c r="AH103" t="e">
        <f>IF(AND(ISNUMBER(AG102), ISNUMBER(AG106)), INDEX('2.Distancias'!E3:J1446, (AG102*38) + AG106 + 1,1), NA())</f>
        <v>#N/A</v>
      </c>
      <c r="AI103" t="e">
        <f>IF(AND(ISNUMBER(AG102), ISNUMBER(AG106)), INDEX('2.Distancias'!E3:J1446, (AG102*38) + AG106 + 1,2), NA())</f>
        <v>#N/A</v>
      </c>
      <c r="AK103" t="e">
        <f>IF(AND(ISNUMBER(AJ102), ISNUMBER(AJ106)), INDEX('2.Distancias'!E3:J1446, (AJ102*38) + AJ106 + 1,1), NA())</f>
        <v>#N/A</v>
      </c>
      <c r="AL103" t="e">
        <f>IF(AND(ISNUMBER(AJ102), ISNUMBER(AJ106)), INDEX('2.Distancias'!E3:J1446, (AJ102*38) + AJ106 + 1,2), NA())</f>
        <v>#N/A</v>
      </c>
    </row>
    <row r="104" spans="15:38" x14ac:dyDescent="0.25">
      <c r="P104" t="e">
        <f>IF(AND(ISNUMBER(O102), ISNUMBER(O106)), INDEX('2.Distancias'!E3:J1446, (O102*38) + O106 + 1,3), NA())</f>
        <v>#N/A</v>
      </c>
      <c r="Q104" t="e">
        <f>IF(AND(ISNUMBER(O102), ISNUMBER(O106)), INDEX('2.Distancias'!E3:J1446, (O102*38) + O106 + 1,4), NA())</f>
        <v>#N/A</v>
      </c>
      <c r="S104" t="e">
        <f>IF(AND(ISNUMBER(R102), ISNUMBER(R106)), INDEX('2.Distancias'!E3:J1446, (R102*38) + R106 + 1,3), NA())</f>
        <v>#N/A</v>
      </c>
      <c r="T104" t="e">
        <f>IF(AND(ISNUMBER(R102), ISNUMBER(R106)), INDEX('2.Distancias'!E3:J1446, (R102*38) + R106 + 1,4), NA())</f>
        <v>#N/A</v>
      </c>
      <c r="V104" t="e">
        <f>IF(AND(ISNUMBER(U102), ISNUMBER(U106)), INDEX('2.Distancias'!E3:J1446, (U102*38) + U106 + 1,3), NA())</f>
        <v>#N/A</v>
      </c>
      <c r="W104" t="e">
        <f>IF(AND(ISNUMBER(U102), ISNUMBER(U106)), INDEX('2.Distancias'!E3:J1446, (U102*38) + U106 + 1,4), NA())</f>
        <v>#N/A</v>
      </c>
      <c r="Y104" t="e">
        <f>IF(AND(ISNUMBER(X102), ISNUMBER(X106)), INDEX('2.Distancias'!E3:J1446, (X102*38) + X106 + 1,3), NA())</f>
        <v>#N/A</v>
      </c>
      <c r="Z104" t="e">
        <f>IF(AND(ISNUMBER(X102), ISNUMBER(X106)), INDEX('2.Distancias'!E3:J1446, (X102*38) + X106 + 1,4), NA())</f>
        <v>#N/A</v>
      </c>
      <c r="AB104" t="e">
        <f>IF(AND(ISNUMBER(AA102), ISNUMBER(AA106)), INDEX('2.Distancias'!E3:J1446, (AA102*38) + AA106 + 1,3), NA())</f>
        <v>#N/A</v>
      </c>
      <c r="AC104" t="e">
        <f>IF(AND(ISNUMBER(AA102), ISNUMBER(AA106)), INDEX('2.Distancias'!E3:J1446, (AA102*38) + AA106 + 1,4), NA())</f>
        <v>#N/A</v>
      </c>
      <c r="AE104" t="e">
        <f>IF(AND(ISNUMBER(AD102), ISNUMBER(AD106)), INDEX('2.Distancias'!E3:J1446, (AD102*38) + AD106 + 1,3), NA())</f>
        <v>#N/A</v>
      </c>
      <c r="AF104" t="e">
        <f>IF(AND(ISNUMBER(AD102), ISNUMBER(AD106)), INDEX('2.Distancias'!E3:J1446, (AD102*38) + AD106 + 1,4), NA())</f>
        <v>#N/A</v>
      </c>
      <c r="AH104" t="e">
        <f>IF(AND(ISNUMBER(AG102), ISNUMBER(AG106)), INDEX('2.Distancias'!E3:J1446, (AG102*38) + AG106 + 1,3), NA())</f>
        <v>#N/A</v>
      </c>
      <c r="AI104" t="e">
        <f>IF(AND(ISNUMBER(AG102), ISNUMBER(AG106)), INDEX('2.Distancias'!E3:J1446, (AG102*38) + AG106 + 1,4), NA())</f>
        <v>#N/A</v>
      </c>
      <c r="AK104" t="e">
        <f>IF(AND(ISNUMBER(AJ102), ISNUMBER(AJ106)), INDEX('2.Distancias'!E3:J1446, (AJ102*38) + AJ106 + 1,3), NA())</f>
        <v>#N/A</v>
      </c>
      <c r="AL104" t="e">
        <f>IF(AND(ISNUMBER(AJ102), ISNUMBER(AJ106)), INDEX('2.Distancias'!E3:J1446, (AJ102*38) + AJ106 + 1,4), NA())</f>
        <v>#N/A</v>
      </c>
    </row>
    <row r="105" spans="15:38" x14ac:dyDescent="0.25">
      <c r="P105" t="e">
        <f>IF(AND(ISNUMBER(O102), ISNUMBER(O106)), INDEX('2.Distancias'!E3:J1446, (O102*38) + O106 + 1,5), NA())</f>
        <v>#N/A</v>
      </c>
      <c r="Q105" t="e">
        <f>IF(AND(ISNUMBER(O102), ISNUMBER(O106)), INDEX('2.Distancias'!E3:J1446, (O102*38) + O106 + 1,6), NA())</f>
        <v>#N/A</v>
      </c>
      <c r="S105" t="e">
        <f>IF(AND(ISNUMBER(R102), ISNUMBER(R106)), INDEX('2.Distancias'!E3:J1446, (R102*38) + R106 + 1,5), NA())</f>
        <v>#N/A</v>
      </c>
      <c r="T105" t="e">
        <f>IF(AND(ISNUMBER(R102), ISNUMBER(R106)), INDEX('2.Distancias'!E3:J1446, (R102*38) + R106 + 1,6), NA())</f>
        <v>#N/A</v>
      </c>
      <c r="V105" t="e">
        <f>IF(AND(ISNUMBER(U102), ISNUMBER(U106)), INDEX('2.Distancias'!E3:J1446, (U102*38) + U106 + 1,5), NA())</f>
        <v>#N/A</v>
      </c>
      <c r="W105" t="e">
        <f>IF(AND(ISNUMBER(U102), ISNUMBER(U106)), INDEX('2.Distancias'!E3:J1446, (U102*38) + U106 + 1,6), NA())</f>
        <v>#N/A</v>
      </c>
      <c r="Y105" t="e">
        <f>IF(AND(ISNUMBER(X102), ISNUMBER(X106)), INDEX('2.Distancias'!E3:J1446, (X102*38) + X106 + 1,5), NA())</f>
        <v>#N/A</v>
      </c>
      <c r="Z105" t="e">
        <f>IF(AND(ISNUMBER(X102), ISNUMBER(X106)), INDEX('2.Distancias'!E3:J1446, (X102*38) + X106 + 1,6), NA())</f>
        <v>#N/A</v>
      </c>
      <c r="AB105" t="e">
        <f>IF(AND(ISNUMBER(AA102), ISNUMBER(AA106)), INDEX('2.Distancias'!E3:J1446, (AA102*38) + AA106 + 1,5), NA())</f>
        <v>#N/A</v>
      </c>
      <c r="AC105" t="e">
        <f>IF(AND(ISNUMBER(AA102), ISNUMBER(AA106)), INDEX('2.Distancias'!E3:J1446, (AA102*38) + AA106 + 1,6), NA())</f>
        <v>#N/A</v>
      </c>
      <c r="AE105" t="e">
        <f>IF(AND(ISNUMBER(AD102), ISNUMBER(AD106)), INDEX('2.Distancias'!E3:J1446, (AD102*38) + AD106 + 1,5), NA())</f>
        <v>#N/A</v>
      </c>
      <c r="AF105" t="e">
        <f>IF(AND(ISNUMBER(AD102), ISNUMBER(AD106)), INDEX('2.Distancias'!E3:J1446, (AD102*38) + AD106 + 1,6), NA())</f>
        <v>#N/A</v>
      </c>
      <c r="AH105" t="e">
        <f>IF(AND(ISNUMBER(AG102), ISNUMBER(AG106)), INDEX('2.Distancias'!E3:J1446, (AG102*38) + AG106 + 1,5), NA())</f>
        <v>#N/A</v>
      </c>
      <c r="AI105" t="e">
        <f>IF(AND(ISNUMBER(AG102), ISNUMBER(AG106)), INDEX('2.Distancias'!E3:J1446, (AG102*38) + AG106 + 1,6), NA())</f>
        <v>#N/A</v>
      </c>
      <c r="AK105" t="e">
        <f>IF(AND(ISNUMBER(AJ102), ISNUMBER(AJ106)), INDEX('2.Distancias'!E3:J1446, (AJ102*38) + AJ106 + 1,5), NA())</f>
        <v>#N/A</v>
      </c>
      <c r="AL105" t="e">
        <f>IF(AND(ISNUMBER(AJ102), ISNUMBER(AJ106)), INDEX('2.Distancias'!E3:J1446, (AJ102*38) + AJ106 + 1,6), NA())</f>
        <v>#N/A</v>
      </c>
    </row>
    <row r="106" spans="15:38" x14ac:dyDescent="0.25">
      <c r="O106" t="str">
        <f>'4.Solución'!C31</f>
        <v xml:space="preserve"> </v>
      </c>
      <c r="P106" t="e">
        <f>IFERROR(IF(ISNUMBER(O106),INDEX('1 ubicaciones'!$D$2:$D$22,O106 + 1),NA()),NA())</f>
        <v>#N/A</v>
      </c>
      <c r="Q106" t="e">
        <f>IFERROR(IF(ISNUMBER(O106),INDEX('1 ubicaciones'!$E$2:$E$22,O106 + 1),NA()),NA())</f>
        <v>#N/A</v>
      </c>
      <c r="R106" t="str">
        <f>'4.Solución'!T31</f>
        <v xml:space="preserve"> </v>
      </c>
      <c r="S106" t="e">
        <f>IFERROR(IF(ISNUMBER(R106),INDEX('1 ubicaciones'!$D$2:$D$22,R106 + 1),NA()),NA())</f>
        <v>#N/A</v>
      </c>
      <c r="T106" t="e">
        <f>IFERROR(IF(ISNUMBER(R106),INDEX('1 ubicaciones'!$E$2:$E$22,R106 + 1),NA()),NA())</f>
        <v>#N/A</v>
      </c>
      <c r="U106" t="str">
        <f>'4.Solución'!AK31</f>
        <v xml:space="preserve"> </v>
      </c>
      <c r="V106" t="e">
        <f>IFERROR(IF(ISNUMBER(U106),INDEX('1 ubicaciones'!$D$2:$D$22,U106 + 1),NA()),NA())</f>
        <v>#N/A</v>
      </c>
      <c r="W106" t="e">
        <f>IFERROR(IF(ISNUMBER(U106),INDEX('1 ubicaciones'!$E$2:$E$22,U106 + 1),NA()),NA())</f>
        <v>#N/A</v>
      </c>
      <c r="X106" t="str">
        <f>'4.Solución'!BB31</f>
        <v xml:space="preserve"> </v>
      </c>
      <c r="Y106" t="e">
        <f>IFERROR(IF(ISNUMBER(X106),INDEX('1 ubicaciones'!$D$2:$D$22,X106 + 1),NA()),NA())</f>
        <v>#N/A</v>
      </c>
      <c r="Z106" t="e">
        <f>IFERROR(IF(ISNUMBER(X106),INDEX('1 ubicaciones'!$E$2:$E$22,X106 + 1),NA()),NA())</f>
        <v>#N/A</v>
      </c>
      <c r="AA106" t="str">
        <f>'4.Solución'!BS31</f>
        <v xml:space="preserve"> </v>
      </c>
      <c r="AB106" t="e">
        <f>IFERROR(IF(ISNUMBER(AA106),INDEX('1 ubicaciones'!$D$2:$D$22,AA106 + 1),NA()),NA())</f>
        <v>#N/A</v>
      </c>
      <c r="AC106" t="e">
        <f>IFERROR(IF(ISNUMBER(AA106),INDEX('1 ubicaciones'!$E$2:$E$22,AA106 + 1),NA()),NA())</f>
        <v>#N/A</v>
      </c>
      <c r="AD106" t="str">
        <f>'4.Solución'!CJ31</f>
        <v xml:space="preserve"> </v>
      </c>
      <c r="AE106" t="e">
        <f>IFERROR(IF(ISNUMBER(AD106),INDEX('1 ubicaciones'!$D$2:$D$22,AD106 + 1),NA()),NA())</f>
        <v>#N/A</v>
      </c>
      <c r="AF106" t="e">
        <f>IFERROR(IF(ISNUMBER(AD106),INDEX('1 ubicaciones'!$E$2:$E$22,AD106 + 1),NA()),NA())</f>
        <v>#N/A</v>
      </c>
      <c r="AG106" t="str">
        <f>'4.Solución'!DA31</f>
        <v xml:space="preserve"> </v>
      </c>
      <c r="AH106" t="e">
        <f>IFERROR(IF(ISNUMBER(AG106),INDEX('1 ubicaciones'!$D$2:$D$22,AG106 + 1),NA()),NA())</f>
        <v>#N/A</v>
      </c>
      <c r="AI106" t="e">
        <f>IFERROR(IF(ISNUMBER(AG106),INDEX('1 ubicaciones'!$E$2:$E$22,AG106 + 1),NA()),NA())</f>
        <v>#N/A</v>
      </c>
      <c r="AJ106" t="str">
        <f>'4.Solución'!DR31</f>
        <v xml:space="preserve"> </v>
      </c>
      <c r="AK106" t="e">
        <f>IFERROR(IF(ISNUMBER(AJ106),INDEX('1 ubicaciones'!$D$2:$D$22,AJ106 + 1),NA()),NA())</f>
        <v>#N/A</v>
      </c>
      <c r="AL106" t="e">
        <f>IFERROR(IF(ISNUMBER(AJ106),INDEX('1 ubicaciones'!$E$2:$E$22,AJ106 + 1),NA()),NA())</f>
        <v>#N/A</v>
      </c>
    </row>
    <row r="107" spans="15:38" x14ac:dyDescent="0.25">
      <c r="P107" t="e">
        <f>IF(AND(ISNUMBER(O106), ISNUMBER(O110)), INDEX('2.Distancias'!E3:J1446, (O106*38) + O110 + 1,1), NA())</f>
        <v>#N/A</v>
      </c>
      <c r="Q107" t="e">
        <f>IF(AND(ISNUMBER(O106), ISNUMBER(O110)), INDEX('2.Distancias'!E3:J1446, (O106*38) + O110 + 1,2), NA())</f>
        <v>#N/A</v>
      </c>
      <c r="S107" t="e">
        <f>IF(AND(ISNUMBER(R106), ISNUMBER(R110)), INDEX('2.Distancias'!E3:J1446, (R106*38) + R110 + 1,1), NA())</f>
        <v>#N/A</v>
      </c>
      <c r="T107" t="e">
        <f>IF(AND(ISNUMBER(R106), ISNUMBER(R110)), INDEX('2.Distancias'!E3:J1446, (R106*38) + R110 + 1,2), NA())</f>
        <v>#N/A</v>
      </c>
      <c r="V107" t="e">
        <f>IF(AND(ISNUMBER(U106), ISNUMBER(U110)), INDEX('2.Distancias'!E3:J1446, (U106*38) + U110 + 1,1), NA())</f>
        <v>#N/A</v>
      </c>
      <c r="W107" t="e">
        <f>IF(AND(ISNUMBER(U106), ISNUMBER(U110)), INDEX('2.Distancias'!E3:J1446, (U106*38) + U110 + 1,2), NA())</f>
        <v>#N/A</v>
      </c>
      <c r="Y107" t="e">
        <f>IF(AND(ISNUMBER(X106), ISNUMBER(X110)), INDEX('2.Distancias'!E3:J1446, (X106*38) + X110 + 1,1), NA())</f>
        <v>#N/A</v>
      </c>
      <c r="Z107" t="e">
        <f>IF(AND(ISNUMBER(X106), ISNUMBER(X110)), INDEX('2.Distancias'!E3:J1446, (X106*38) + X110 + 1,2), NA())</f>
        <v>#N/A</v>
      </c>
      <c r="AB107" t="e">
        <f>IF(AND(ISNUMBER(AA106), ISNUMBER(AA110)), INDEX('2.Distancias'!E3:J1446, (AA106*38) + AA110 + 1,1), NA())</f>
        <v>#N/A</v>
      </c>
      <c r="AC107" t="e">
        <f>IF(AND(ISNUMBER(AA106), ISNUMBER(AA110)), INDEX('2.Distancias'!E3:J1446, (AA106*38) + AA110 + 1,2), NA())</f>
        <v>#N/A</v>
      </c>
      <c r="AE107" t="e">
        <f>IF(AND(ISNUMBER(AD106), ISNUMBER(AD110)), INDEX('2.Distancias'!E3:J1446, (AD106*38) + AD110 + 1,1), NA())</f>
        <v>#N/A</v>
      </c>
      <c r="AF107" t="e">
        <f>IF(AND(ISNUMBER(AD106), ISNUMBER(AD110)), INDEX('2.Distancias'!E3:J1446, (AD106*38) + AD110 + 1,2), NA())</f>
        <v>#N/A</v>
      </c>
      <c r="AH107" t="e">
        <f>IF(AND(ISNUMBER(AG106), ISNUMBER(AG110)), INDEX('2.Distancias'!E3:J1446, (AG106*38) + AG110 + 1,1), NA())</f>
        <v>#N/A</v>
      </c>
      <c r="AI107" t="e">
        <f>IF(AND(ISNUMBER(AG106), ISNUMBER(AG110)), INDEX('2.Distancias'!E3:J1446, (AG106*38) + AG110 + 1,2), NA())</f>
        <v>#N/A</v>
      </c>
      <c r="AK107" t="e">
        <f>IF(AND(ISNUMBER(AJ106), ISNUMBER(AJ110)), INDEX('2.Distancias'!E3:J1446, (AJ106*38) + AJ110 + 1,1), NA())</f>
        <v>#N/A</v>
      </c>
      <c r="AL107" t="e">
        <f>IF(AND(ISNUMBER(AJ106), ISNUMBER(AJ110)), INDEX('2.Distancias'!E3:J1446, (AJ106*38) + AJ110 + 1,2), NA())</f>
        <v>#N/A</v>
      </c>
    </row>
    <row r="108" spans="15:38" x14ac:dyDescent="0.25">
      <c r="P108" t="e">
        <f>IF(AND(ISNUMBER(O106), ISNUMBER(O110)), INDEX('2.Distancias'!E3:J1446, (O106*38) + O110 + 1,3), NA())</f>
        <v>#N/A</v>
      </c>
      <c r="Q108" t="e">
        <f>IF(AND(ISNUMBER(O106), ISNUMBER(O110)), INDEX('2.Distancias'!E3:J1446, (O106*38) + O110 + 1,4), NA())</f>
        <v>#N/A</v>
      </c>
      <c r="S108" t="e">
        <f>IF(AND(ISNUMBER(R106), ISNUMBER(R110)), INDEX('2.Distancias'!E3:J1446, (R106*38) + R110 + 1,3), NA())</f>
        <v>#N/A</v>
      </c>
      <c r="T108" t="e">
        <f>IF(AND(ISNUMBER(R106), ISNUMBER(R110)), INDEX('2.Distancias'!E3:J1446, (R106*38) + R110 + 1,4), NA())</f>
        <v>#N/A</v>
      </c>
      <c r="V108" t="e">
        <f>IF(AND(ISNUMBER(U106), ISNUMBER(U110)), INDEX('2.Distancias'!E3:J1446, (U106*38) + U110 + 1,3), NA())</f>
        <v>#N/A</v>
      </c>
      <c r="W108" t="e">
        <f>IF(AND(ISNUMBER(U106), ISNUMBER(U110)), INDEX('2.Distancias'!E3:J1446, (U106*38) + U110 + 1,4), NA())</f>
        <v>#N/A</v>
      </c>
      <c r="Y108" t="e">
        <f>IF(AND(ISNUMBER(X106), ISNUMBER(X110)), INDEX('2.Distancias'!E3:J1446, (X106*38) + X110 + 1,3), NA())</f>
        <v>#N/A</v>
      </c>
      <c r="Z108" t="e">
        <f>IF(AND(ISNUMBER(X106), ISNUMBER(X110)), INDEX('2.Distancias'!E3:J1446, (X106*38) + X110 + 1,4), NA())</f>
        <v>#N/A</v>
      </c>
      <c r="AB108" t="e">
        <f>IF(AND(ISNUMBER(AA106), ISNUMBER(AA110)), INDEX('2.Distancias'!E3:J1446, (AA106*38) + AA110 + 1,3), NA())</f>
        <v>#N/A</v>
      </c>
      <c r="AC108" t="e">
        <f>IF(AND(ISNUMBER(AA106), ISNUMBER(AA110)), INDEX('2.Distancias'!E3:J1446, (AA106*38) + AA110 + 1,4), NA())</f>
        <v>#N/A</v>
      </c>
      <c r="AE108" t="e">
        <f>IF(AND(ISNUMBER(AD106), ISNUMBER(AD110)), INDEX('2.Distancias'!E3:J1446, (AD106*38) + AD110 + 1,3), NA())</f>
        <v>#N/A</v>
      </c>
      <c r="AF108" t="e">
        <f>IF(AND(ISNUMBER(AD106), ISNUMBER(AD110)), INDEX('2.Distancias'!E3:J1446, (AD106*38) + AD110 + 1,4), NA())</f>
        <v>#N/A</v>
      </c>
      <c r="AH108" t="e">
        <f>IF(AND(ISNUMBER(AG106), ISNUMBER(AG110)), INDEX('2.Distancias'!E3:J1446, (AG106*38) + AG110 + 1,3), NA())</f>
        <v>#N/A</v>
      </c>
      <c r="AI108" t="e">
        <f>IF(AND(ISNUMBER(AG106), ISNUMBER(AG110)), INDEX('2.Distancias'!E3:J1446, (AG106*38) + AG110 + 1,4), NA())</f>
        <v>#N/A</v>
      </c>
      <c r="AK108" t="e">
        <f>IF(AND(ISNUMBER(AJ106), ISNUMBER(AJ110)), INDEX('2.Distancias'!E3:J1446, (AJ106*38) + AJ110 + 1,3), NA())</f>
        <v>#N/A</v>
      </c>
      <c r="AL108" t="e">
        <f>IF(AND(ISNUMBER(AJ106), ISNUMBER(AJ110)), INDEX('2.Distancias'!E3:J1446, (AJ106*38) + AJ110 + 1,4), NA())</f>
        <v>#N/A</v>
      </c>
    </row>
    <row r="109" spans="15:38" x14ac:dyDescent="0.25">
      <c r="P109" t="e">
        <f>IF(AND(ISNUMBER(O106), ISNUMBER(O110)), INDEX('2.Distancias'!E3:J1446, (O106*38) + O110 + 1,5), NA())</f>
        <v>#N/A</v>
      </c>
      <c r="Q109" t="e">
        <f>IF(AND(ISNUMBER(O106), ISNUMBER(O110)), INDEX('2.Distancias'!E3:J1446, (O106*38) + O110 + 1,6), NA())</f>
        <v>#N/A</v>
      </c>
      <c r="S109" t="e">
        <f>IF(AND(ISNUMBER(R106), ISNUMBER(R110)), INDEX('2.Distancias'!E3:J1446, (R106*38) + R110 + 1,5), NA())</f>
        <v>#N/A</v>
      </c>
      <c r="T109" t="e">
        <f>IF(AND(ISNUMBER(R106), ISNUMBER(R110)), INDEX('2.Distancias'!E3:J1446, (R106*38) + R110 + 1,6), NA())</f>
        <v>#N/A</v>
      </c>
      <c r="V109" t="e">
        <f>IF(AND(ISNUMBER(U106), ISNUMBER(U110)), INDEX('2.Distancias'!E3:J1446, (U106*38) + U110 + 1,5), NA())</f>
        <v>#N/A</v>
      </c>
      <c r="W109" t="e">
        <f>IF(AND(ISNUMBER(U106), ISNUMBER(U110)), INDEX('2.Distancias'!E3:J1446, (U106*38) + U110 + 1,6), NA())</f>
        <v>#N/A</v>
      </c>
      <c r="Y109" t="e">
        <f>IF(AND(ISNUMBER(X106), ISNUMBER(X110)), INDEX('2.Distancias'!E3:J1446, (X106*38) + X110 + 1,5), NA())</f>
        <v>#N/A</v>
      </c>
      <c r="Z109" t="e">
        <f>IF(AND(ISNUMBER(X106), ISNUMBER(X110)), INDEX('2.Distancias'!E3:J1446, (X106*38) + X110 + 1,6), NA())</f>
        <v>#N/A</v>
      </c>
      <c r="AB109" t="e">
        <f>IF(AND(ISNUMBER(AA106), ISNUMBER(AA110)), INDEX('2.Distancias'!E3:J1446, (AA106*38) + AA110 + 1,5), NA())</f>
        <v>#N/A</v>
      </c>
      <c r="AC109" t="e">
        <f>IF(AND(ISNUMBER(AA106), ISNUMBER(AA110)), INDEX('2.Distancias'!E3:J1446, (AA106*38) + AA110 + 1,6), NA())</f>
        <v>#N/A</v>
      </c>
      <c r="AE109" t="e">
        <f>IF(AND(ISNUMBER(AD106), ISNUMBER(AD110)), INDEX('2.Distancias'!E3:J1446, (AD106*38) + AD110 + 1,5), NA())</f>
        <v>#N/A</v>
      </c>
      <c r="AF109" t="e">
        <f>IF(AND(ISNUMBER(AD106), ISNUMBER(AD110)), INDEX('2.Distancias'!E3:J1446, (AD106*38) + AD110 + 1,6), NA())</f>
        <v>#N/A</v>
      </c>
      <c r="AH109" t="e">
        <f>IF(AND(ISNUMBER(AG106), ISNUMBER(AG110)), INDEX('2.Distancias'!E3:J1446, (AG106*38) + AG110 + 1,5), NA())</f>
        <v>#N/A</v>
      </c>
      <c r="AI109" t="e">
        <f>IF(AND(ISNUMBER(AG106), ISNUMBER(AG110)), INDEX('2.Distancias'!E3:J1446, (AG106*38) + AG110 + 1,6), NA())</f>
        <v>#N/A</v>
      </c>
      <c r="AK109" t="e">
        <f>IF(AND(ISNUMBER(AJ106), ISNUMBER(AJ110)), INDEX('2.Distancias'!E3:J1446, (AJ106*38) + AJ110 + 1,5), NA())</f>
        <v>#N/A</v>
      </c>
      <c r="AL109" t="e">
        <f>IF(AND(ISNUMBER(AJ106), ISNUMBER(AJ110)), INDEX('2.Distancias'!E3:J1446, (AJ106*38) + AJ110 + 1,6), NA())</f>
        <v>#N/A</v>
      </c>
    </row>
    <row r="110" spans="15:38" x14ac:dyDescent="0.25">
      <c r="O110" t="str">
        <f>'4.Solución'!C32</f>
        <v xml:space="preserve"> </v>
      </c>
      <c r="P110" t="e">
        <f>IFERROR(IF(ISNUMBER(O110),INDEX('1 ubicaciones'!$D$2:$D$22,O110 + 1),NA()),NA())</f>
        <v>#N/A</v>
      </c>
      <c r="Q110" t="e">
        <f>IFERROR(IF(ISNUMBER(O110),INDEX('1 ubicaciones'!$E$2:$E$22,O110 + 1),NA()),NA())</f>
        <v>#N/A</v>
      </c>
      <c r="R110" t="str">
        <f>'4.Solución'!T32</f>
        <v xml:space="preserve"> </v>
      </c>
      <c r="S110" t="e">
        <f>IFERROR(IF(ISNUMBER(R110),INDEX('1 ubicaciones'!$D$2:$D$22,R110 + 1),NA()),NA())</f>
        <v>#N/A</v>
      </c>
      <c r="T110" t="e">
        <f>IFERROR(IF(ISNUMBER(R110),INDEX('1 ubicaciones'!$E$2:$E$22,R110 + 1),NA()),NA())</f>
        <v>#N/A</v>
      </c>
      <c r="U110" t="str">
        <f>'4.Solución'!AK32</f>
        <v xml:space="preserve"> </v>
      </c>
      <c r="V110" t="e">
        <f>IFERROR(IF(ISNUMBER(U110),INDEX('1 ubicaciones'!$D$2:$D$22,U110 + 1),NA()),NA())</f>
        <v>#N/A</v>
      </c>
      <c r="W110" t="e">
        <f>IFERROR(IF(ISNUMBER(U110),INDEX('1 ubicaciones'!$E$2:$E$22,U110 + 1),NA()),NA())</f>
        <v>#N/A</v>
      </c>
      <c r="X110" t="str">
        <f>'4.Solución'!BB32</f>
        <v xml:space="preserve"> </v>
      </c>
      <c r="Y110" t="e">
        <f>IFERROR(IF(ISNUMBER(X110),INDEX('1 ubicaciones'!$D$2:$D$22,X110 + 1),NA()),NA())</f>
        <v>#N/A</v>
      </c>
      <c r="Z110" t="e">
        <f>IFERROR(IF(ISNUMBER(X110),INDEX('1 ubicaciones'!$E$2:$E$22,X110 + 1),NA()),NA())</f>
        <v>#N/A</v>
      </c>
      <c r="AA110" t="str">
        <f>'4.Solución'!BS32</f>
        <v xml:space="preserve"> </v>
      </c>
      <c r="AB110" t="e">
        <f>IFERROR(IF(ISNUMBER(AA110),INDEX('1 ubicaciones'!$D$2:$D$22,AA110 + 1),NA()),NA())</f>
        <v>#N/A</v>
      </c>
      <c r="AC110" t="e">
        <f>IFERROR(IF(ISNUMBER(AA110),INDEX('1 ubicaciones'!$E$2:$E$22,AA110 + 1),NA()),NA())</f>
        <v>#N/A</v>
      </c>
      <c r="AD110" t="str">
        <f>'4.Solución'!CJ32</f>
        <v xml:space="preserve"> </v>
      </c>
      <c r="AE110" t="e">
        <f>IFERROR(IF(ISNUMBER(AD110),INDEX('1 ubicaciones'!$D$2:$D$22,AD110 + 1),NA()),NA())</f>
        <v>#N/A</v>
      </c>
      <c r="AF110" t="e">
        <f>IFERROR(IF(ISNUMBER(AD110),INDEX('1 ubicaciones'!$E$2:$E$22,AD110 + 1),NA()),NA())</f>
        <v>#N/A</v>
      </c>
      <c r="AG110" t="str">
        <f>'4.Solución'!DA32</f>
        <v xml:space="preserve"> </v>
      </c>
      <c r="AH110" t="e">
        <f>IFERROR(IF(ISNUMBER(AG110),INDEX('1 ubicaciones'!$D$2:$D$22,AG110 + 1),NA()),NA())</f>
        <v>#N/A</v>
      </c>
      <c r="AI110" t="e">
        <f>IFERROR(IF(ISNUMBER(AG110),INDEX('1 ubicaciones'!$E$2:$E$22,AG110 + 1),NA()),NA())</f>
        <v>#N/A</v>
      </c>
      <c r="AJ110" t="str">
        <f>'4.Solución'!DR32</f>
        <v xml:space="preserve"> </v>
      </c>
      <c r="AK110" t="e">
        <f>IFERROR(IF(ISNUMBER(AJ110),INDEX('1 ubicaciones'!$D$2:$D$22,AJ110 + 1),NA()),NA())</f>
        <v>#N/A</v>
      </c>
      <c r="AL110" t="e">
        <f>IFERROR(IF(ISNUMBER(AJ110),INDEX('1 ubicaciones'!$E$2:$E$22,AJ110 + 1),NA()),NA())</f>
        <v>#N/A</v>
      </c>
    </row>
    <row r="111" spans="15:38" x14ac:dyDescent="0.25">
      <c r="P111" t="e">
        <f>IF(AND(ISNUMBER(O110), ISNUMBER(O114)), INDEX('2.Distancias'!E3:J1446, (O110*38) + O114 + 1,1), NA())</f>
        <v>#N/A</v>
      </c>
      <c r="Q111" t="e">
        <f>IF(AND(ISNUMBER(O110), ISNUMBER(O114)), INDEX('2.Distancias'!E3:J1446, (O110*38) + O114 + 1,2), NA())</f>
        <v>#N/A</v>
      </c>
      <c r="S111" t="e">
        <f>IF(AND(ISNUMBER(R110), ISNUMBER(R114)), INDEX('2.Distancias'!E3:J1446, (R110*38) + R114 + 1,1), NA())</f>
        <v>#N/A</v>
      </c>
      <c r="T111" t="e">
        <f>IF(AND(ISNUMBER(R110), ISNUMBER(R114)), INDEX('2.Distancias'!E3:J1446, (R110*38) + R114 + 1,2), NA())</f>
        <v>#N/A</v>
      </c>
      <c r="V111" t="e">
        <f>IF(AND(ISNUMBER(U110), ISNUMBER(U114)), INDEX('2.Distancias'!E3:J1446, (U110*38) + U114 + 1,1), NA())</f>
        <v>#N/A</v>
      </c>
      <c r="W111" t="e">
        <f>IF(AND(ISNUMBER(U110), ISNUMBER(U114)), INDEX('2.Distancias'!E3:J1446, (U110*38) + U114 + 1,2), NA())</f>
        <v>#N/A</v>
      </c>
      <c r="Y111" t="e">
        <f>IF(AND(ISNUMBER(X110), ISNUMBER(X114)), INDEX('2.Distancias'!E3:J1446, (X110*38) + X114 + 1,1), NA())</f>
        <v>#N/A</v>
      </c>
      <c r="Z111" t="e">
        <f>IF(AND(ISNUMBER(X110), ISNUMBER(X114)), INDEX('2.Distancias'!E3:J1446, (X110*38) + X114 + 1,2), NA())</f>
        <v>#N/A</v>
      </c>
      <c r="AB111" t="e">
        <f>IF(AND(ISNUMBER(AA110), ISNUMBER(AA114)), INDEX('2.Distancias'!E3:J1446, (AA110*38) + AA114 + 1,1), NA())</f>
        <v>#N/A</v>
      </c>
      <c r="AC111" t="e">
        <f>IF(AND(ISNUMBER(AA110), ISNUMBER(AA114)), INDEX('2.Distancias'!E3:J1446, (AA110*38) + AA114 + 1,2), NA())</f>
        <v>#N/A</v>
      </c>
      <c r="AE111" t="e">
        <f>IF(AND(ISNUMBER(AD110), ISNUMBER(AD114)), INDEX('2.Distancias'!E3:J1446, (AD110*38) + AD114 + 1,1), NA())</f>
        <v>#N/A</v>
      </c>
      <c r="AF111" t="e">
        <f>IF(AND(ISNUMBER(AD110), ISNUMBER(AD114)), INDEX('2.Distancias'!E3:J1446, (AD110*38) + AD114 + 1,2), NA())</f>
        <v>#N/A</v>
      </c>
      <c r="AH111" t="e">
        <f>IF(AND(ISNUMBER(AG110), ISNUMBER(AG114)), INDEX('2.Distancias'!E3:J1446, (AG110*38) + AG114 + 1,1), NA())</f>
        <v>#N/A</v>
      </c>
      <c r="AI111" t="e">
        <f>IF(AND(ISNUMBER(AG110), ISNUMBER(AG114)), INDEX('2.Distancias'!E3:J1446, (AG110*38) + AG114 + 1,2), NA())</f>
        <v>#N/A</v>
      </c>
      <c r="AK111" t="e">
        <f>IF(AND(ISNUMBER(AJ110), ISNUMBER(AJ114)), INDEX('2.Distancias'!E3:J1446, (AJ110*38) + AJ114 + 1,1), NA())</f>
        <v>#N/A</v>
      </c>
      <c r="AL111" t="e">
        <f>IF(AND(ISNUMBER(AJ110), ISNUMBER(AJ114)), INDEX('2.Distancias'!E3:J1446, (AJ110*38) + AJ114 + 1,2), NA())</f>
        <v>#N/A</v>
      </c>
    </row>
    <row r="112" spans="15:38" x14ac:dyDescent="0.25">
      <c r="P112" t="e">
        <f>IF(AND(ISNUMBER(O110), ISNUMBER(O114)), INDEX('2.Distancias'!E3:J1446, (O110*38) + O114 + 1,3), NA())</f>
        <v>#N/A</v>
      </c>
      <c r="Q112" t="e">
        <f>IF(AND(ISNUMBER(O110), ISNUMBER(O114)), INDEX('2.Distancias'!E3:J1446, (O110*38) + O114 + 1,4), NA())</f>
        <v>#N/A</v>
      </c>
      <c r="S112" t="e">
        <f>IF(AND(ISNUMBER(R110), ISNUMBER(R114)), INDEX('2.Distancias'!E3:J1446, (R110*38) + R114 + 1,3), NA())</f>
        <v>#N/A</v>
      </c>
      <c r="T112" t="e">
        <f>IF(AND(ISNUMBER(R110), ISNUMBER(R114)), INDEX('2.Distancias'!E3:J1446, (R110*38) + R114 + 1,4), NA())</f>
        <v>#N/A</v>
      </c>
      <c r="V112" t="e">
        <f>IF(AND(ISNUMBER(U110), ISNUMBER(U114)), INDEX('2.Distancias'!E3:J1446, (U110*38) + U114 + 1,3), NA())</f>
        <v>#N/A</v>
      </c>
      <c r="W112" t="e">
        <f>IF(AND(ISNUMBER(U110), ISNUMBER(U114)), INDEX('2.Distancias'!E3:J1446, (U110*38) + U114 + 1,4), NA())</f>
        <v>#N/A</v>
      </c>
      <c r="Y112" t="e">
        <f>IF(AND(ISNUMBER(X110), ISNUMBER(X114)), INDEX('2.Distancias'!E3:J1446, (X110*38) + X114 + 1,3), NA())</f>
        <v>#N/A</v>
      </c>
      <c r="Z112" t="e">
        <f>IF(AND(ISNUMBER(X110), ISNUMBER(X114)), INDEX('2.Distancias'!E3:J1446, (X110*38) + X114 + 1,4), NA())</f>
        <v>#N/A</v>
      </c>
      <c r="AB112" t="e">
        <f>IF(AND(ISNUMBER(AA110), ISNUMBER(AA114)), INDEX('2.Distancias'!E3:J1446, (AA110*38) + AA114 + 1,3), NA())</f>
        <v>#N/A</v>
      </c>
      <c r="AC112" t="e">
        <f>IF(AND(ISNUMBER(AA110), ISNUMBER(AA114)), INDEX('2.Distancias'!E3:J1446, (AA110*38) + AA114 + 1,4), NA())</f>
        <v>#N/A</v>
      </c>
      <c r="AE112" t="e">
        <f>IF(AND(ISNUMBER(AD110), ISNUMBER(AD114)), INDEX('2.Distancias'!E3:J1446, (AD110*38) + AD114 + 1,3), NA())</f>
        <v>#N/A</v>
      </c>
      <c r="AF112" t="e">
        <f>IF(AND(ISNUMBER(AD110), ISNUMBER(AD114)), INDEX('2.Distancias'!E3:J1446, (AD110*38) + AD114 + 1,4), NA())</f>
        <v>#N/A</v>
      </c>
      <c r="AH112" t="e">
        <f>IF(AND(ISNUMBER(AG110), ISNUMBER(AG114)), INDEX('2.Distancias'!E3:J1446, (AG110*38) + AG114 + 1,3), NA())</f>
        <v>#N/A</v>
      </c>
      <c r="AI112" t="e">
        <f>IF(AND(ISNUMBER(AG110), ISNUMBER(AG114)), INDEX('2.Distancias'!E3:J1446, (AG110*38) + AG114 + 1,4), NA())</f>
        <v>#N/A</v>
      </c>
      <c r="AK112" t="e">
        <f>IF(AND(ISNUMBER(AJ110), ISNUMBER(AJ114)), INDEX('2.Distancias'!E3:J1446, (AJ110*38) + AJ114 + 1,3), NA())</f>
        <v>#N/A</v>
      </c>
      <c r="AL112" t="e">
        <f>IF(AND(ISNUMBER(AJ110), ISNUMBER(AJ114)), INDEX('2.Distancias'!E3:J1446, (AJ110*38) + AJ114 + 1,4), NA())</f>
        <v>#N/A</v>
      </c>
    </row>
    <row r="113" spans="15:38" x14ac:dyDescent="0.25">
      <c r="P113" t="e">
        <f>IF(AND(ISNUMBER(O110), ISNUMBER(O114)), INDEX('2.Distancias'!E3:J1446, (O110*38) + O114 + 1,5), NA())</f>
        <v>#N/A</v>
      </c>
      <c r="Q113" t="e">
        <f>IF(AND(ISNUMBER(O110), ISNUMBER(O114)), INDEX('2.Distancias'!E3:J1446, (O110*38) + O114 + 1,6), NA())</f>
        <v>#N/A</v>
      </c>
      <c r="S113" t="e">
        <f>IF(AND(ISNUMBER(R110), ISNUMBER(R114)), INDEX('2.Distancias'!E3:J1446, (R110*38) + R114 + 1,5), NA())</f>
        <v>#N/A</v>
      </c>
      <c r="T113" t="e">
        <f>IF(AND(ISNUMBER(R110), ISNUMBER(R114)), INDEX('2.Distancias'!E3:J1446, (R110*38) + R114 + 1,6), NA())</f>
        <v>#N/A</v>
      </c>
      <c r="V113" t="e">
        <f>IF(AND(ISNUMBER(U110), ISNUMBER(U114)), INDEX('2.Distancias'!E3:J1446, (U110*38) + U114 + 1,5), NA())</f>
        <v>#N/A</v>
      </c>
      <c r="W113" t="e">
        <f>IF(AND(ISNUMBER(U110), ISNUMBER(U114)), INDEX('2.Distancias'!E3:J1446, (U110*38) + U114 + 1,6), NA())</f>
        <v>#N/A</v>
      </c>
      <c r="Y113" t="e">
        <f>IF(AND(ISNUMBER(X110), ISNUMBER(X114)), INDEX('2.Distancias'!E3:J1446, (X110*38) + X114 + 1,5), NA())</f>
        <v>#N/A</v>
      </c>
      <c r="Z113" t="e">
        <f>IF(AND(ISNUMBER(X110), ISNUMBER(X114)), INDEX('2.Distancias'!E3:J1446, (X110*38) + X114 + 1,6), NA())</f>
        <v>#N/A</v>
      </c>
      <c r="AB113" t="e">
        <f>IF(AND(ISNUMBER(AA110), ISNUMBER(AA114)), INDEX('2.Distancias'!E3:J1446, (AA110*38) + AA114 + 1,5), NA())</f>
        <v>#N/A</v>
      </c>
      <c r="AC113" t="e">
        <f>IF(AND(ISNUMBER(AA110), ISNUMBER(AA114)), INDEX('2.Distancias'!E3:J1446, (AA110*38) + AA114 + 1,6), NA())</f>
        <v>#N/A</v>
      </c>
      <c r="AE113" t="e">
        <f>IF(AND(ISNUMBER(AD110), ISNUMBER(AD114)), INDEX('2.Distancias'!E3:J1446, (AD110*38) + AD114 + 1,5), NA())</f>
        <v>#N/A</v>
      </c>
      <c r="AF113" t="e">
        <f>IF(AND(ISNUMBER(AD110), ISNUMBER(AD114)), INDEX('2.Distancias'!E3:J1446, (AD110*38) + AD114 + 1,6), NA())</f>
        <v>#N/A</v>
      </c>
      <c r="AH113" t="e">
        <f>IF(AND(ISNUMBER(AG110), ISNUMBER(AG114)), INDEX('2.Distancias'!E3:J1446, (AG110*38) + AG114 + 1,5), NA())</f>
        <v>#N/A</v>
      </c>
      <c r="AI113" t="e">
        <f>IF(AND(ISNUMBER(AG110), ISNUMBER(AG114)), INDEX('2.Distancias'!E3:J1446, (AG110*38) + AG114 + 1,6), NA())</f>
        <v>#N/A</v>
      </c>
      <c r="AK113" t="e">
        <f>IF(AND(ISNUMBER(AJ110), ISNUMBER(AJ114)), INDEX('2.Distancias'!E3:J1446, (AJ110*38) + AJ114 + 1,5), NA())</f>
        <v>#N/A</v>
      </c>
      <c r="AL113" t="e">
        <f>IF(AND(ISNUMBER(AJ110), ISNUMBER(AJ114)), INDEX('2.Distancias'!E3:J1446, (AJ110*38) + AJ114 + 1,6), NA())</f>
        <v>#N/A</v>
      </c>
    </row>
    <row r="114" spans="15:38" x14ac:dyDescent="0.25">
      <c r="O114" t="str">
        <f>'4.Solución'!C33</f>
        <v xml:space="preserve"> </v>
      </c>
      <c r="P114" t="e">
        <f>IFERROR(IF(ISNUMBER(O114),INDEX('1 ubicaciones'!$D$2:$D$22,O114 + 1),NA()),NA())</f>
        <v>#N/A</v>
      </c>
      <c r="Q114" t="e">
        <f>IFERROR(IF(ISNUMBER(O114),INDEX('1 ubicaciones'!$E$2:$E$22,O114 + 1),NA()),NA())</f>
        <v>#N/A</v>
      </c>
      <c r="R114" t="str">
        <f>'4.Solución'!T33</f>
        <v xml:space="preserve"> </v>
      </c>
      <c r="S114" t="e">
        <f>IFERROR(IF(ISNUMBER(R114),INDEX('1 ubicaciones'!$D$2:$D$22,R114 + 1),NA()),NA())</f>
        <v>#N/A</v>
      </c>
      <c r="T114" t="e">
        <f>IFERROR(IF(ISNUMBER(R114),INDEX('1 ubicaciones'!$E$2:$E$22,R114 + 1),NA()),NA())</f>
        <v>#N/A</v>
      </c>
      <c r="U114" t="str">
        <f>'4.Solución'!AK33</f>
        <v xml:space="preserve"> </v>
      </c>
      <c r="V114" t="e">
        <f>IFERROR(IF(ISNUMBER(U114),INDEX('1 ubicaciones'!$D$2:$D$22,U114 + 1),NA()),NA())</f>
        <v>#N/A</v>
      </c>
      <c r="W114" t="e">
        <f>IFERROR(IF(ISNUMBER(U114),INDEX('1 ubicaciones'!$E$2:$E$22,U114 + 1),NA()),NA())</f>
        <v>#N/A</v>
      </c>
      <c r="X114" t="str">
        <f>'4.Solución'!BB33</f>
        <v xml:space="preserve"> </v>
      </c>
      <c r="Y114" t="e">
        <f>IFERROR(IF(ISNUMBER(X114),INDEX('1 ubicaciones'!$D$2:$D$22,X114 + 1),NA()),NA())</f>
        <v>#N/A</v>
      </c>
      <c r="Z114" t="e">
        <f>IFERROR(IF(ISNUMBER(X114),INDEX('1 ubicaciones'!$E$2:$E$22,X114 + 1),NA()),NA())</f>
        <v>#N/A</v>
      </c>
      <c r="AA114" t="str">
        <f>'4.Solución'!BS33</f>
        <v xml:space="preserve"> </v>
      </c>
      <c r="AB114" t="e">
        <f>IFERROR(IF(ISNUMBER(AA114),INDEX('1 ubicaciones'!$D$2:$D$22,AA114 + 1),NA()),NA())</f>
        <v>#N/A</v>
      </c>
      <c r="AC114" t="e">
        <f>IFERROR(IF(ISNUMBER(AA114),INDEX('1 ubicaciones'!$E$2:$E$22,AA114 + 1),NA()),NA())</f>
        <v>#N/A</v>
      </c>
      <c r="AD114" t="str">
        <f>'4.Solución'!CJ33</f>
        <v xml:space="preserve"> </v>
      </c>
      <c r="AE114" t="e">
        <f>IFERROR(IF(ISNUMBER(AD114),INDEX('1 ubicaciones'!$D$2:$D$22,AD114 + 1),NA()),NA())</f>
        <v>#N/A</v>
      </c>
      <c r="AF114" t="e">
        <f>IFERROR(IF(ISNUMBER(AD114),INDEX('1 ubicaciones'!$E$2:$E$22,AD114 + 1),NA()),NA())</f>
        <v>#N/A</v>
      </c>
      <c r="AG114" t="str">
        <f>'4.Solución'!DA33</f>
        <v xml:space="preserve"> </v>
      </c>
      <c r="AH114" t="e">
        <f>IFERROR(IF(ISNUMBER(AG114),INDEX('1 ubicaciones'!$D$2:$D$22,AG114 + 1),NA()),NA())</f>
        <v>#N/A</v>
      </c>
      <c r="AI114" t="e">
        <f>IFERROR(IF(ISNUMBER(AG114),INDEX('1 ubicaciones'!$E$2:$E$22,AG114 + 1),NA()),NA())</f>
        <v>#N/A</v>
      </c>
      <c r="AJ114" t="str">
        <f>'4.Solución'!DR33</f>
        <v xml:space="preserve"> </v>
      </c>
      <c r="AK114" t="e">
        <f>IFERROR(IF(ISNUMBER(AJ114),INDEX('1 ubicaciones'!$D$2:$D$22,AJ114 + 1),NA()),NA())</f>
        <v>#N/A</v>
      </c>
      <c r="AL114" t="e">
        <f>IFERROR(IF(ISNUMBER(AJ114),INDEX('1 ubicaciones'!$E$2:$E$22,AJ114 + 1),NA()),NA())</f>
        <v>#N/A</v>
      </c>
    </row>
    <row r="115" spans="15:38" x14ac:dyDescent="0.25">
      <c r="P115" t="e">
        <f>IF(AND(ISNUMBER(O114), ISNUMBER(O118)), INDEX('2.Distancias'!E3:J1446, (O114*38) + O118 + 1,1), NA())</f>
        <v>#N/A</v>
      </c>
      <c r="Q115" t="e">
        <f>IF(AND(ISNUMBER(O114), ISNUMBER(O118)), INDEX('2.Distancias'!E3:J1446, (O114*38) + O118 + 1,2), NA())</f>
        <v>#N/A</v>
      </c>
      <c r="S115" t="e">
        <f>IF(AND(ISNUMBER(R114), ISNUMBER(R118)), INDEX('2.Distancias'!E3:J1446, (R114*38) + R118 + 1,1), NA())</f>
        <v>#N/A</v>
      </c>
      <c r="T115" t="e">
        <f>IF(AND(ISNUMBER(R114), ISNUMBER(R118)), INDEX('2.Distancias'!E3:J1446, (R114*38) + R118 + 1,2), NA())</f>
        <v>#N/A</v>
      </c>
      <c r="V115" t="e">
        <f>IF(AND(ISNUMBER(U114), ISNUMBER(U118)), INDEX('2.Distancias'!E3:J1446, (U114*38) + U118 + 1,1), NA())</f>
        <v>#N/A</v>
      </c>
      <c r="W115" t="e">
        <f>IF(AND(ISNUMBER(U114), ISNUMBER(U118)), INDEX('2.Distancias'!E3:J1446, (U114*38) + U118 + 1,2), NA())</f>
        <v>#N/A</v>
      </c>
      <c r="Y115" t="e">
        <f>IF(AND(ISNUMBER(X114), ISNUMBER(X118)), INDEX('2.Distancias'!E3:J1446, (X114*38) + X118 + 1,1), NA())</f>
        <v>#N/A</v>
      </c>
      <c r="Z115" t="e">
        <f>IF(AND(ISNUMBER(X114), ISNUMBER(X118)), INDEX('2.Distancias'!E3:J1446, (X114*38) + X118 + 1,2), NA())</f>
        <v>#N/A</v>
      </c>
      <c r="AB115" t="e">
        <f>IF(AND(ISNUMBER(AA114), ISNUMBER(AA118)), INDEX('2.Distancias'!E3:J1446, (AA114*38) + AA118 + 1,1), NA())</f>
        <v>#N/A</v>
      </c>
      <c r="AC115" t="e">
        <f>IF(AND(ISNUMBER(AA114), ISNUMBER(AA118)), INDEX('2.Distancias'!E3:J1446, (AA114*38) + AA118 + 1,2), NA())</f>
        <v>#N/A</v>
      </c>
      <c r="AE115" t="e">
        <f>IF(AND(ISNUMBER(AD114), ISNUMBER(AD118)), INDEX('2.Distancias'!E3:J1446, (AD114*38) + AD118 + 1,1), NA())</f>
        <v>#N/A</v>
      </c>
      <c r="AF115" t="e">
        <f>IF(AND(ISNUMBER(AD114), ISNUMBER(AD118)), INDEX('2.Distancias'!E3:J1446, (AD114*38) + AD118 + 1,2), NA())</f>
        <v>#N/A</v>
      </c>
      <c r="AH115" t="e">
        <f>IF(AND(ISNUMBER(AG114), ISNUMBER(AG118)), INDEX('2.Distancias'!E3:J1446, (AG114*38) + AG118 + 1,1), NA())</f>
        <v>#N/A</v>
      </c>
      <c r="AI115" t="e">
        <f>IF(AND(ISNUMBER(AG114), ISNUMBER(AG118)), INDEX('2.Distancias'!E3:J1446, (AG114*38) + AG118 + 1,2), NA())</f>
        <v>#N/A</v>
      </c>
      <c r="AK115" t="e">
        <f>IF(AND(ISNUMBER(AJ114), ISNUMBER(AJ118)), INDEX('2.Distancias'!E3:J1446, (AJ114*38) + AJ118 + 1,1), NA())</f>
        <v>#N/A</v>
      </c>
      <c r="AL115" t="e">
        <f>IF(AND(ISNUMBER(AJ114), ISNUMBER(AJ118)), INDEX('2.Distancias'!E3:J1446, (AJ114*38) + AJ118 + 1,2), NA())</f>
        <v>#N/A</v>
      </c>
    </row>
    <row r="116" spans="15:38" x14ac:dyDescent="0.25">
      <c r="P116" t="e">
        <f>IF(AND(ISNUMBER(O114), ISNUMBER(O118)), INDEX('2.Distancias'!E3:J1446, (O114*38) + O118 + 1,3), NA())</f>
        <v>#N/A</v>
      </c>
      <c r="Q116" t="e">
        <f>IF(AND(ISNUMBER(O114), ISNUMBER(O118)), INDEX('2.Distancias'!E3:J1446, (O114*38) + O118 + 1,4), NA())</f>
        <v>#N/A</v>
      </c>
      <c r="S116" t="e">
        <f>IF(AND(ISNUMBER(R114), ISNUMBER(R118)), INDEX('2.Distancias'!E3:J1446, (R114*38) + R118 + 1,3), NA())</f>
        <v>#N/A</v>
      </c>
      <c r="T116" t="e">
        <f>IF(AND(ISNUMBER(R114), ISNUMBER(R118)), INDEX('2.Distancias'!E3:J1446, (R114*38) + R118 + 1,4), NA())</f>
        <v>#N/A</v>
      </c>
      <c r="V116" t="e">
        <f>IF(AND(ISNUMBER(U114), ISNUMBER(U118)), INDEX('2.Distancias'!E3:J1446, (U114*38) + U118 + 1,3), NA())</f>
        <v>#N/A</v>
      </c>
      <c r="W116" t="e">
        <f>IF(AND(ISNUMBER(U114), ISNUMBER(U118)), INDEX('2.Distancias'!E3:J1446, (U114*38) + U118 + 1,4), NA())</f>
        <v>#N/A</v>
      </c>
      <c r="Y116" t="e">
        <f>IF(AND(ISNUMBER(X114), ISNUMBER(X118)), INDEX('2.Distancias'!E3:J1446, (X114*38) + X118 + 1,3), NA())</f>
        <v>#N/A</v>
      </c>
      <c r="Z116" t="e">
        <f>IF(AND(ISNUMBER(X114), ISNUMBER(X118)), INDEX('2.Distancias'!E3:J1446, (X114*38) + X118 + 1,4), NA())</f>
        <v>#N/A</v>
      </c>
      <c r="AB116" t="e">
        <f>IF(AND(ISNUMBER(AA114), ISNUMBER(AA118)), INDEX('2.Distancias'!E3:J1446, (AA114*38) + AA118 + 1,3), NA())</f>
        <v>#N/A</v>
      </c>
      <c r="AC116" t="e">
        <f>IF(AND(ISNUMBER(AA114), ISNUMBER(AA118)), INDEX('2.Distancias'!E3:J1446, (AA114*38) + AA118 + 1,4), NA())</f>
        <v>#N/A</v>
      </c>
      <c r="AE116" t="e">
        <f>IF(AND(ISNUMBER(AD114), ISNUMBER(AD118)), INDEX('2.Distancias'!E3:J1446, (AD114*38) + AD118 + 1,3), NA())</f>
        <v>#N/A</v>
      </c>
      <c r="AF116" t="e">
        <f>IF(AND(ISNUMBER(AD114), ISNUMBER(AD118)), INDEX('2.Distancias'!E3:J1446, (AD114*38) + AD118 + 1,4), NA())</f>
        <v>#N/A</v>
      </c>
      <c r="AH116" t="e">
        <f>IF(AND(ISNUMBER(AG114), ISNUMBER(AG118)), INDEX('2.Distancias'!E3:J1446, (AG114*38) + AG118 + 1,3), NA())</f>
        <v>#N/A</v>
      </c>
      <c r="AI116" t="e">
        <f>IF(AND(ISNUMBER(AG114), ISNUMBER(AG118)), INDEX('2.Distancias'!E3:J1446, (AG114*38) + AG118 + 1,4), NA())</f>
        <v>#N/A</v>
      </c>
      <c r="AK116" t="e">
        <f>IF(AND(ISNUMBER(AJ114), ISNUMBER(AJ118)), INDEX('2.Distancias'!E3:J1446, (AJ114*38) + AJ118 + 1,3), NA())</f>
        <v>#N/A</v>
      </c>
      <c r="AL116" t="e">
        <f>IF(AND(ISNUMBER(AJ114), ISNUMBER(AJ118)), INDEX('2.Distancias'!E3:J1446, (AJ114*38) + AJ118 + 1,4), NA())</f>
        <v>#N/A</v>
      </c>
    </row>
    <row r="117" spans="15:38" x14ac:dyDescent="0.25">
      <c r="P117" t="e">
        <f>IF(AND(ISNUMBER(O114), ISNUMBER(O118)), INDEX('2.Distancias'!E3:J1446, (O114*38) + O118 + 1,5), NA())</f>
        <v>#N/A</v>
      </c>
      <c r="Q117" t="e">
        <f>IF(AND(ISNUMBER(O114), ISNUMBER(O118)), INDEX('2.Distancias'!E3:J1446, (O114*38) + O118 + 1,6), NA())</f>
        <v>#N/A</v>
      </c>
      <c r="S117" t="e">
        <f>IF(AND(ISNUMBER(R114), ISNUMBER(R118)), INDEX('2.Distancias'!E3:J1446, (R114*38) + R118 + 1,5), NA())</f>
        <v>#N/A</v>
      </c>
      <c r="T117" t="e">
        <f>IF(AND(ISNUMBER(R114), ISNUMBER(R118)), INDEX('2.Distancias'!E3:J1446, (R114*38) + R118 + 1,6), NA())</f>
        <v>#N/A</v>
      </c>
      <c r="V117" t="e">
        <f>IF(AND(ISNUMBER(U114), ISNUMBER(U118)), INDEX('2.Distancias'!E3:J1446, (U114*38) + U118 + 1,5), NA())</f>
        <v>#N/A</v>
      </c>
      <c r="W117" t="e">
        <f>IF(AND(ISNUMBER(U114), ISNUMBER(U118)), INDEX('2.Distancias'!E3:J1446, (U114*38) + U118 + 1,6), NA())</f>
        <v>#N/A</v>
      </c>
      <c r="Y117" t="e">
        <f>IF(AND(ISNUMBER(X114), ISNUMBER(X118)), INDEX('2.Distancias'!E3:J1446, (X114*38) + X118 + 1,5), NA())</f>
        <v>#N/A</v>
      </c>
      <c r="Z117" t="e">
        <f>IF(AND(ISNUMBER(X114), ISNUMBER(X118)), INDEX('2.Distancias'!E3:J1446, (X114*38) + X118 + 1,6), NA())</f>
        <v>#N/A</v>
      </c>
      <c r="AB117" t="e">
        <f>IF(AND(ISNUMBER(AA114), ISNUMBER(AA118)), INDEX('2.Distancias'!E3:J1446, (AA114*38) + AA118 + 1,5), NA())</f>
        <v>#N/A</v>
      </c>
      <c r="AC117" t="e">
        <f>IF(AND(ISNUMBER(AA114), ISNUMBER(AA118)), INDEX('2.Distancias'!E3:J1446, (AA114*38) + AA118 + 1,6), NA())</f>
        <v>#N/A</v>
      </c>
      <c r="AE117" t="e">
        <f>IF(AND(ISNUMBER(AD114), ISNUMBER(AD118)), INDEX('2.Distancias'!E3:J1446, (AD114*38) + AD118 + 1,5), NA())</f>
        <v>#N/A</v>
      </c>
      <c r="AF117" t="e">
        <f>IF(AND(ISNUMBER(AD114), ISNUMBER(AD118)), INDEX('2.Distancias'!E3:J1446, (AD114*38) + AD118 + 1,6), NA())</f>
        <v>#N/A</v>
      </c>
      <c r="AH117" t="e">
        <f>IF(AND(ISNUMBER(AG114), ISNUMBER(AG118)), INDEX('2.Distancias'!E3:J1446, (AG114*38) + AG118 + 1,5), NA())</f>
        <v>#N/A</v>
      </c>
      <c r="AI117" t="e">
        <f>IF(AND(ISNUMBER(AG114), ISNUMBER(AG118)), INDEX('2.Distancias'!E3:J1446, (AG114*38) + AG118 + 1,6), NA())</f>
        <v>#N/A</v>
      </c>
      <c r="AK117" t="e">
        <f>IF(AND(ISNUMBER(AJ114), ISNUMBER(AJ118)), INDEX('2.Distancias'!E3:J1446, (AJ114*38) + AJ118 + 1,5), NA())</f>
        <v>#N/A</v>
      </c>
      <c r="AL117" t="e">
        <f>IF(AND(ISNUMBER(AJ114), ISNUMBER(AJ118)), INDEX('2.Distancias'!E3:J1446, (AJ114*38) + AJ118 + 1,6), NA())</f>
        <v>#N/A</v>
      </c>
    </row>
    <row r="118" spans="15:38" x14ac:dyDescent="0.25">
      <c r="O118" t="str">
        <f>'4.Solución'!C34</f>
        <v xml:space="preserve"> </v>
      </c>
      <c r="P118" t="e">
        <f>IFERROR(IF(ISNUMBER(O118),INDEX('1 ubicaciones'!$D$2:$D$22,O118 + 1),NA()),NA())</f>
        <v>#N/A</v>
      </c>
      <c r="Q118" t="e">
        <f>IFERROR(IF(ISNUMBER(O118),INDEX('1 ubicaciones'!$E$2:$E$22,O118 + 1),NA()),NA())</f>
        <v>#N/A</v>
      </c>
      <c r="R118" t="str">
        <f>'4.Solución'!T34</f>
        <v xml:space="preserve"> </v>
      </c>
      <c r="S118" t="e">
        <f>IFERROR(IF(ISNUMBER(R118),INDEX('1 ubicaciones'!$D$2:$D$22,R118 + 1),NA()),NA())</f>
        <v>#N/A</v>
      </c>
      <c r="T118" t="e">
        <f>IFERROR(IF(ISNUMBER(R118),INDEX('1 ubicaciones'!$E$2:$E$22,R118 + 1),NA()),NA())</f>
        <v>#N/A</v>
      </c>
      <c r="U118" t="str">
        <f>'4.Solución'!AK34</f>
        <v xml:space="preserve"> </v>
      </c>
      <c r="V118" t="e">
        <f>IFERROR(IF(ISNUMBER(U118),INDEX('1 ubicaciones'!$D$2:$D$22,U118 + 1),NA()),NA())</f>
        <v>#N/A</v>
      </c>
      <c r="W118" t="e">
        <f>IFERROR(IF(ISNUMBER(U118),INDEX('1 ubicaciones'!$E$2:$E$22,U118 + 1),NA()),NA())</f>
        <v>#N/A</v>
      </c>
      <c r="X118" t="str">
        <f>'4.Solución'!BB34</f>
        <v xml:space="preserve"> </v>
      </c>
      <c r="Y118" t="e">
        <f>IFERROR(IF(ISNUMBER(X118),INDEX('1 ubicaciones'!$D$2:$D$22,X118 + 1),NA()),NA())</f>
        <v>#N/A</v>
      </c>
      <c r="Z118" t="e">
        <f>IFERROR(IF(ISNUMBER(X118),INDEX('1 ubicaciones'!$E$2:$E$22,X118 + 1),NA()),NA())</f>
        <v>#N/A</v>
      </c>
      <c r="AA118" t="str">
        <f>'4.Solución'!BS34</f>
        <v xml:space="preserve"> </v>
      </c>
      <c r="AB118" t="e">
        <f>IFERROR(IF(ISNUMBER(AA118),INDEX('1 ubicaciones'!$D$2:$D$22,AA118 + 1),NA()),NA())</f>
        <v>#N/A</v>
      </c>
      <c r="AC118" t="e">
        <f>IFERROR(IF(ISNUMBER(AA118),INDEX('1 ubicaciones'!$E$2:$E$22,AA118 + 1),NA()),NA())</f>
        <v>#N/A</v>
      </c>
      <c r="AD118" t="str">
        <f>'4.Solución'!CJ34</f>
        <v xml:space="preserve"> </v>
      </c>
      <c r="AE118" t="e">
        <f>IFERROR(IF(ISNUMBER(AD118),INDEX('1 ubicaciones'!$D$2:$D$22,AD118 + 1),NA()),NA())</f>
        <v>#N/A</v>
      </c>
      <c r="AF118" t="e">
        <f>IFERROR(IF(ISNUMBER(AD118),INDEX('1 ubicaciones'!$E$2:$E$22,AD118 + 1),NA()),NA())</f>
        <v>#N/A</v>
      </c>
      <c r="AG118" t="str">
        <f>'4.Solución'!DA34</f>
        <v xml:space="preserve"> </v>
      </c>
      <c r="AH118" t="e">
        <f>IFERROR(IF(ISNUMBER(AG118),INDEX('1 ubicaciones'!$D$2:$D$22,AG118 + 1),NA()),NA())</f>
        <v>#N/A</v>
      </c>
      <c r="AI118" t="e">
        <f>IFERROR(IF(ISNUMBER(AG118),INDEX('1 ubicaciones'!$E$2:$E$22,AG118 + 1),NA()),NA())</f>
        <v>#N/A</v>
      </c>
      <c r="AJ118" t="str">
        <f>'4.Solución'!DR34</f>
        <v xml:space="preserve"> </v>
      </c>
      <c r="AK118" t="e">
        <f>IFERROR(IF(ISNUMBER(AJ118),INDEX('1 ubicaciones'!$D$2:$D$22,AJ118 + 1),NA()),NA())</f>
        <v>#N/A</v>
      </c>
      <c r="AL118" t="e">
        <f>IFERROR(IF(ISNUMBER(AJ118),INDEX('1 ubicaciones'!$E$2:$E$22,AJ118 + 1),NA()),NA())</f>
        <v>#N/A</v>
      </c>
    </row>
    <row r="119" spans="15:38" x14ac:dyDescent="0.25">
      <c r="P119" t="e">
        <f>IF(AND(ISNUMBER(O118), ISNUMBER(O122)), INDEX('2.Distancias'!E3:J1446, (O118*38) + O122 + 1,1), NA())</f>
        <v>#N/A</v>
      </c>
      <c r="Q119" t="e">
        <f>IF(AND(ISNUMBER(O118), ISNUMBER(O122)), INDEX('2.Distancias'!E3:J1446, (O118*38) + O122 + 1,2), NA())</f>
        <v>#N/A</v>
      </c>
      <c r="S119" t="e">
        <f>IF(AND(ISNUMBER(R118), ISNUMBER(R122)), INDEX('2.Distancias'!E3:J1446, (R118*38) + R122 + 1,1), NA())</f>
        <v>#N/A</v>
      </c>
      <c r="T119" t="e">
        <f>IF(AND(ISNUMBER(R118), ISNUMBER(R122)), INDEX('2.Distancias'!E3:J1446, (R118*38) + R122 + 1,2), NA())</f>
        <v>#N/A</v>
      </c>
      <c r="V119" t="e">
        <f>IF(AND(ISNUMBER(U118), ISNUMBER(U122)), INDEX('2.Distancias'!E3:J1446, (U118*38) + U122 + 1,1), NA())</f>
        <v>#N/A</v>
      </c>
      <c r="W119" t="e">
        <f>IF(AND(ISNUMBER(U118), ISNUMBER(U122)), INDEX('2.Distancias'!E3:J1446, (U118*38) + U122 + 1,2), NA())</f>
        <v>#N/A</v>
      </c>
      <c r="Y119" t="e">
        <f>IF(AND(ISNUMBER(X118), ISNUMBER(X122)), INDEX('2.Distancias'!E3:J1446, (X118*38) + X122 + 1,1), NA())</f>
        <v>#N/A</v>
      </c>
      <c r="Z119" t="e">
        <f>IF(AND(ISNUMBER(X118), ISNUMBER(X122)), INDEX('2.Distancias'!E3:J1446, (X118*38) + X122 + 1,2), NA())</f>
        <v>#N/A</v>
      </c>
      <c r="AB119" t="e">
        <f>IF(AND(ISNUMBER(AA118), ISNUMBER(AA122)), INDEX('2.Distancias'!E3:J1446, (AA118*38) + AA122 + 1,1), NA())</f>
        <v>#N/A</v>
      </c>
      <c r="AC119" t="e">
        <f>IF(AND(ISNUMBER(AA118), ISNUMBER(AA122)), INDEX('2.Distancias'!E3:J1446, (AA118*38) + AA122 + 1,2), NA())</f>
        <v>#N/A</v>
      </c>
      <c r="AE119" t="e">
        <f>IF(AND(ISNUMBER(AD118), ISNUMBER(AD122)), INDEX('2.Distancias'!E3:J1446, (AD118*38) + AD122 + 1,1), NA())</f>
        <v>#N/A</v>
      </c>
      <c r="AF119" t="e">
        <f>IF(AND(ISNUMBER(AD118), ISNUMBER(AD122)), INDEX('2.Distancias'!E3:J1446, (AD118*38) + AD122 + 1,2), NA())</f>
        <v>#N/A</v>
      </c>
      <c r="AH119" t="e">
        <f>IF(AND(ISNUMBER(AG118), ISNUMBER(AG122)), INDEX('2.Distancias'!E3:J1446, (AG118*38) + AG122 + 1,1), NA())</f>
        <v>#N/A</v>
      </c>
      <c r="AI119" t="e">
        <f>IF(AND(ISNUMBER(AG118), ISNUMBER(AG122)), INDEX('2.Distancias'!E3:J1446, (AG118*38) + AG122 + 1,2), NA())</f>
        <v>#N/A</v>
      </c>
      <c r="AK119" t="e">
        <f>IF(AND(ISNUMBER(AJ118), ISNUMBER(AJ122)), INDEX('2.Distancias'!E3:J1446, (AJ118*38) + AJ122 + 1,1), NA())</f>
        <v>#N/A</v>
      </c>
      <c r="AL119" t="e">
        <f>IF(AND(ISNUMBER(AJ118), ISNUMBER(AJ122)), INDEX('2.Distancias'!E3:J1446, (AJ118*38) + AJ122 + 1,2), NA())</f>
        <v>#N/A</v>
      </c>
    </row>
    <row r="120" spans="15:38" x14ac:dyDescent="0.25">
      <c r="P120" t="e">
        <f>IF(AND(ISNUMBER(O118), ISNUMBER(O122)), INDEX('2.Distancias'!E3:J1446, (O118*38) + O122 + 1,3), NA())</f>
        <v>#N/A</v>
      </c>
      <c r="Q120" t="e">
        <f>IF(AND(ISNUMBER(O118), ISNUMBER(O122)), INDEX('2.Distancias'!E3:J1446, (O118*38) + O122 + 1,4), NA())</f>
        <v>#N/A</v>
      </c>
      <c r="S120" t="e">
        <f>IF(AND(ISNUMBER(R118), ISNUMBER(R122)), INDEX('2.Distancias'!E3:J1446, (R118*38) + R122 + 1,3), NA())</f>
        <v>#N/A</v>
      </c>
      <c r="T120" t="e">
        <f>IF(AND(ISNUMBER(R118), ISNUMBER(R122)), INDEX('2.Distancias'!E3:J1446, (R118*38) + R122 + 1,4), NA())</f>
        <v>#N/A</v>
      </c>
      <c r="V120" t="e">
        <f>IF(AND(ISNUMBER(U118), ISNUMBER(U122)), INDEX('2.Distancias'!E3:J1446, (U118*38) + U122 + 1,3), NA())</f>
        <v>#N/A</v>
      </c>
      <c r="W120" t="e">
        <f>IF(AND(ISNUMBER(U118), ISNUMBER(U122)), INDEX('2.Distancias'!E3:J1446, (U118*38) + U122 + 1,4), NA())</f>
        <v>#N/A</v>
      </c>
      <c r="Y120" t="e">
        <f>IF(AND(ISNUMBER(X118), ISNUMBER(X122)), INDEX('2.Distancias'!E3:J1446, (X118*38) + X122 + 1,3), NA())</f>
        <v>#N/A</v>
      </c>
      <c r="Z120" t="e">
        <f>IF(AND(ISNUMBER(X118), ISNUMBER(X122)), INDEX('2.Distancias'!E3:J1446, (X118*38) + X122 + 1,4), NA())</f>
        <v>#N/A</v>
      </c>
      <c r="AB120" t="e">
        <f>IF(AND(ISNUMBER(AA118), ISNUMBER(AA122)), INDEX('2.Distancias'!E3:J1446, (AA118*38) + AA122 + 1,3), NA())</f>
        <v>#N/A</v>
      </c>
      <c r="AC120" t="e">
        <f>IF(AND(ISNUMBER(AA118), ISNUMBER(AA122)), INDEX('2.Distancias'!E3:J1446, (AA118*38) + AA122 + 1,4), NA())</f>
        <v>#N/A</v>
      </c>
      <c r="AE120" t="e">
        <f>IF(AND(ISNUMBER(AD118), ISNUMBER(AD122)), INDEX('2.Distancias'!E3:J1446, (AD118*38) + AD122 + 1,3), NA())</f>
        <v>#N/A</v>
      </c>
      <c r="AF120" t="e">
        <f>IF(AND(ISNUMBER(AD118), ISNUMBER(AD122)), INDEX('2.Distancias'!E3:J1446, (AD118*38) + AD122 + 1,4), NA())</f>
        <v>#N/A</v>
      </c>
      <c r="AH120" t="e">
        <f>IF(AND(ISNUMBER(AG118), ISNUMBER(AG122)), INDEX('2.Distancias'!E3:J1446, (AG118*38) + AG122 + 1,3), NA())</f>
        <v>#N/A</v>
      </c>
      <c r="AI120" t="e">
        <f>IF(AND(ISNUMBER(AG118), ISNUMBER(AG122)), INDEX('2.Distancias'!E3:J1446, (AG118*38) + AG122 + 1,4), NA())</f>
        <v>#N/A</v>
      </c>
      <c r="AK120" t="e">
        <f>IF(AND(ISNUMBER(AJ118), ISNUMBER(AJ122)), INDEX('2.Distancias'!E3:J1446, (AJ118*38) + AJ122 + 1,3), NA())</f>
        <v>#N/A</v>
      </c>
      <c r="AL120" t="e">
        <f>IF(AND(ISNUMBER(AJ118), ISNUMBER(AJ122)), INDEX('2.Distancias'!E3:J1446, (AJ118*38) + AJ122 + 1,4), NA())</f>
        <v>#N/A</v>
      </c>
    </row>
    <row r="121" spans="15:38" x14ac:dyDescent="0.25">
      <c r="P121" t="e">
        <f>IF(AND(ISNUMBER(O118), ISNUMBER(O122)), INDEX('2.Distancias'!E3:J1446, (O118*38) + O122 + 1,5), NA())</f>
        <v>#N/A</v>
      </c>
      <c r="Q121" t="e">
        <f>IF(AND(ISNUMBER(O118), ISNUMBER(O122)), INDEX('2.Distancias'!E3:J1446, (O118*38) + O122 + 1,6), NA())</f>
        <v>#N/A</v>
      </c>
      <c r="S121" t="e">
        <f>IF(AND(ISNUMBER(R118), ISNUMBER(R122)), INDEX('2.Distancias'!E3:J1446, (R118*38) + R122 + 1,5), NA())</f>
        <v>#N/A</v>
      </c>
      <c r="T121" t="e">
        <f>IF(AND(ISNUMBER(R118), ISNUMBER(R122)), INDEX('2.Distancias'!E3:J1446, (R118*38) + R122 + 1,6), NA())</f>
        <v>#N/A</v>
      </c>
      <c r="V121" t="e">
        <f>IF(AND(ISNUMBER(U118), ISNUMBER(U122)), INDEX('2.Distancias'!E3:J1446, (U118*38) + U122 + 1,5), NA())</f>
        <v>#N/A</v>
      </c>
      <c r="W121" t="e">
        <f>IF(AND(ISNUMBER(U118), ISNUMBER(U122)), INDEX('2.Distancias'!E3:J1446, (U118*38) + U122 + 1,6), NA())</f>
        <v>#N/A</v>
      </c>
      <c r="Y121" t="e">
        <f>IF(AND(ISNUMBER(X118), ISNUMBER(X122)), INDEX('2.Distancias'!E3:J1446, (X118*38) + X122 + 1,5), NA())</f>
        <v>#N/A</v>
      </c>
      <c r="Z121" t="e">
        <f>IF(AND(ISNUMBER(X118), ISNUMBER(X122)), INDEX('2.Distancias'!E3:J1446, (X118*38) + X122 + 1,6), NA())</f>
        <v>#N/A</v>
      </c>
      <c r="AB121" t="e">
        <f>IF(AND(ISNUMBER(AA118), ISNUMBER(AA122)), INDEX('2.Distancias'!E3:J1446, (AA118*38) + AA122 + 1,5), NA())</f>
        <v>#N/A</v>
      </c>
      <c r="AC121" t="e">
        <f>IF(AND(ISNUMBER(AA118), ISNUMBER(AA122)), INDEX('2.Distancias'!E3:J1446, (AA118*38) + AA122 + 1,6), NA())</f>
        <v>#N/A</v>
      </c>
      <c r="AE121" t="e">
        <f>IF(AND(ISNUMBER(AD118), ISNUMBER(AD122)), INDEX('2.Distancias'!E3:J1446, (AD118*38) + AD122 + 1,5), NA())</f>
        <v>#N/A</v>
      </c>
      <c r="AF121" t="e">
        <f>IF(AND(ISNUMBER(AD118), ISNUMBER(AD122)), INDEX('2.Distancias'!E3:J1446, (AD118*38) + AD122 + 1,6), NA())</f>
        <v>#N/A</v>
      </c>
      <c r="AH121" t="e">
        <f>IF(AND(ISNUMBER(AG118), ISNUMBER(AG122)), INDEX('2.Distancias'!E3:J1446, (AG118*38) + AG122 + 1,5), NA())</f>
        <v>#N/A</v>
      </c>
      <c r="AI121" t="e">
        <f>IF(AND(ISNUMBER(AG118), ISNUMBER(AG122)), INDEX('2.Distancias'!E3:J1446, (AG118*38) + AG122 + 1,6), NA())</f>
        <v>#N/A</v>
      </c>
      <c r="AK121" t="e">
        <f>IF(AND(ISNUMBER(AJ118), ISNUMBER(AJ122)), INDEX('2.Distancias'!E3:J1446, (AJ118*38) + AJ122 + 1,5), NA())</f>
        <v>#N/A</v>
      </c>
      <c r="AL121" t="e">
        <f>IF(AND(ISNUMBER(AJ118), ISNUMBER(AJ122)), INDEX('2.Distancias'!E3:J1446, (AJ118*38) + AJ122 + 1,6), NA())</f>
        <v>#N/A</v>
      </c>
    </row>
    <row r="122" spans="15:38" x14ac:dyDescent="0.25">
      <c r="O122" t="str">
        <f>'4.Solución'!C35</f>
        <v xml:space="preserve"> </v>
      </c>
      <c r="P122" t="e">
        <f>IFERROR(IF(ISNUMBER(O122),INDEX('1 ubicaciones'!$D$2:$D$22,O122 + 1),NA()),NA())</f>
        <v>#N/A</v>
      </c>
      <c r="Q122" t="e">
        <f>IFERROR(IF(ISNUMBER(O122),INDEX('1 ubicaciones'!$E$2:$E$22,O122 + 1),NA()),NA())</f>
        <v>#N/A</v>
      </c>
      <c r="R122" t="str">
        <f>'4.Solución'!T35</f>
        <v xml:space="preserve"> </v>
      </c>
      <c r="S122" t="e">
        <f>IFERROR(IF(ISNUMBER(R122),INDEX('1 ubicaciones'!$D$2:$D$22,R122 + 1),NA()),NA())</f>
        <v>#N/A</v>
      </c>
      <c r="T122" t="e">
        <f>IFERROR(IF(ISNUMBER(R122),INDEX('1 ubicaciones'!$E$2:$E$22,R122 + 1),NA()),NA())</f>
        <v>#N/A</v>
      </c>
      <c r="U122" t="str">
        <f>'4.Solución'!AK35</f>
        <v xml:space="preserve"> </v>
      </c>
      <c r="V122" t="e">
        <f>IFERROR(IF(ISNUMBER(U122),INDEX('1 ubicaciones'!$D$2:$D$22,U122 + 1),NA()),NA())</f>
        <v>#N/A</v>
      </c>
      <c r="W122" t="e">
        <f>IFERROR(IF(ISNUMBER(U122),INDEX('1 ubicaciones'!$E$2:$E$22,U122 + 1),NA()),NA())</f>
        <v>#N/A</v>
      </c>
      <c r="X122" t="str">
        <f>'4.Solución'!BB35</f>
        <v xml:space="preserve"> </v>
      </c>
      <c r="Y122" t="e">
        <f>IFERROR(IF(ISNUMBER(X122),INDEX('1 ubicaciones'!$D$2:$D$22,X122 + 1),NA()),NA())</f>
        <v>#N/A</v>
      </c>
      <c r="Z122" t="e">
        <f>IFERROR(IF(ISNUMBER(X122),INDEX('1 ubicaciones'!$E$2:$E$22,X122 + 1),NA()),NA())</f>
        <v>#N/A</v>
      </c>
      <c r="AA122" t="str">
        <f>'4.Solución'!BS35</f>
        <v xml:space="preserve"> </v>
      </c>
      <c r="AB122" t="e">
        <f>IFERROR(IF(ISNUMBER(AA122),INDEX('1 ubicaciones'!$D$2:$D$22,AA122 + 1),NA()),NA())</f>
        <v>#N/A</v>
      </c>
      <c r="AC122" t="e">
        <f>IFERROR(IF(ISNUMBER(AA122),INDEX('1 ubicaciones'!$E$2:$E$22,AA122 + 1),NA()),NA())</f>
        <v>#N/A</v>
      </c>
      <c r="AD122" t="str">
        <f>'4.Solución'!CJ35</f>
        <v xml:space="preserve"> </v>
      </c>
      <c r="AE122" t="e">
        <f>IFERROR(IF(ISNUMBER(AD122),INDEX('1 ubicaciones'!$D$2:$D$22,AD122 + 1),NA()),NA())</f>
        <v>#N/A</v>
      </c>
      <c r="AF122" t="e">
        <f>IFERROR(IF(ISNUMBER(AD122),INDEX('1 ubicaciones'!$E$2:$E$22,AD122 + 1),NA()),NA())</f>
        <v>#N/A</v>
      </c>
      <c r="AG122" t="str">
        <f>'4.Solución'!DA35</f>
        <v xml:space="preserve"> </v>
      </c>
      <c r="AH122" t="e">
        <f>IFERROR(IF(ISNUMBER(AG122),INDEX('1 ubicaciones'!$D$2:$D$22,AG122 + 1),NA()),NA())</f>
        <v>#N/A</v>
      </c>
      <c r="AI122" t="e">
        <f>IFERROR(IF(ISNUMBER(AG122),INDEX('1 ubicaciones'!$E$2:$E$22,AG122 + 1),NA()),NA())</f>
        <v>#N/A</v>
      </c>
      <c r="AJ122" t="str">
        <f>'4.Solución'!DR35</f>
        <v xml:space="preserve"> </v>
      </c>
      <c r="AK122" t="e">
        <f>IFERROR(IF(ISNUMBER(AJ122),INDEX('1 ubicaciones'!$D$2:$D$22,AJ122 + 1),NA()),NA())</f>
        <v>#N/A</v>
      </c>
      <c r="AL122" t="e">
        <f>IFERROR(IF(ISNUMBER(AJ122),INDEX('1 ubicaciones'!$E$2:$E$22,AJ122 + 1),NA()),NA())</f>
        <v>#N/A</v>
      </c>
    </row>
    <row r="123" spans="15:38" x14ac:dyDescent="0.25">
      <c r="P123" t="e">
        <f>IF(AND(ISNUMBER(O122), ISNUMBER(O126)), INDEX('2.Distancias'!E3:J1446, (O122*38) + O126 + 1,1), NA())</f>
        <v>#N/A</v>
      </c>
      <c r="Q123" t="e">
        <f>IF(AND(ISNUMBER(O122), ISNUMBER(O126)), INDEX('2.Distancias'!E3:J1446, (O122*38) + O126 + 1,2), NA())</f>
        <v>#N/A</v>
      </c>
      <c r="S123" t="e">
        <f>IF(AND(ISNUMBER(R122), ISNUMBER(R126)), INDEX('2.Distancias'!E3:J1446, (R122*38) + R126 + 1,1), NA())</f>
        <v>#N/A</v>
      </c>
      <c r="T123" t="e">
        <f>IF(AND(ISNUMBER(R122), ISNUMBER(R126)), INDEX('2.Distancias'!E3:J1446, (R122*38) + R126 + 1,2), NA())</f>
        <v>#N/A</v>
      </c>
      <c r="V123" t="e">
        <f>IF(AND(ISNUMBER(U122), ISNUMBER(U126)), INDEX('2.Distancias'!E3:J1446, (U122*38) + U126 + 1,1), NA())</f>
        <v>#N/A</v>
      </c>
      <c r="W123" t="e">
        <f>IF(AND(ISNUMBER(U122), ISNUMBER(U126)), INDEX('2.Distancias'!E3:J1446, (U122*38) + U126 + 1,2), NA())</f>
        <v>#N/A</v>
      </c>
      <c r="Y123" t="e">
        <f>IF(AND(ISNUMBER(X122), ISNUMBER(X126)), INDEX('2.Distancias'!E3:J1446, (X122*38) + X126 + 1,1), NA())</f>
        <v>#N/A</v>
      </c>
      <c r="Z123" t="e">
        <f>IF(AND(ISNUMBER(X122), ISNUMBER(X126)), INDEX('2.Distancias'!E3:J1446, (X122*38) + X126 + 1,2), NA())</f>
        <v>#N/A</v>
      </c>
      <c r="AB123" t="e">
        <f>IF(AND(ISNUMBER(AA122), ISNUMBER(AA126)), INDEX('2.Distancias'!E3:J1446, (AA122*38) + AA126 + 1,1), NA())</f>
        <v>#N/A</v>
      </c>
      <c r="AC123" t="e">
        <f>IF(AND(ISNUMBER(AA122), ISNUMBER(AA126)), INDEX('2.Distancias'!E3:J1446, (AA122*38) + AA126 + 1,2), NA())</f>
        <v>#N/A</v>
      </c>
      <c r="AE123" t="e">
        <f>IF(AND(ISNUMBER(AD122), ISNUMBER(AD126)), INDEX('2.Distancias'!E3:J1446, (AD122*38) + AD126 + 1,1), NA())</f>
        <v>#N/A</v>
      </c>
      <c r="AF123" t="e">
        <f>IF(AND(ISNUMBER(AD122), ISNUMBER(AD126)), INDEX('2.Distancias'!E3:J1446, (AD122*38) + AD126 + 1,2), NA())</f>
        <v>#N/A</v>
      </c>
      <c r="AH123" t="e">
        <f>IF(AND(ISNUMBER(AG122), ISNUMBER(AG126)), INDEX('2.Distancias'!E3:J1446, (AG122*38) + AG126 + 1,1), NA())</f>
        <v>#N/A</v>
      </c>
      <c r="AI123" t="e">
        <f>IF(AND(ISNUMBER(AG122), ISNUMBER(AG126)), INDEX('2.Distancias'!E3:J1446, (AG122*38) + AG126 + 1,2), NA())</f>
        <v>#N/A</v>
      </c>
      <c r="AK123" t="e">
        <f>IF(AND(ISNUMBER(AJ122), ISNUMBER(AJ126)), INDEX('2.Distancias'!E3:J1446, (AJ122*38) + AJ126 + 1,1), NA())</f>
        <v>#N/A</v>
      </c>
      <c r="AL123" t="e">
        <f>IF(AND(ISNUMBER(AJ122), ISNUMBER(AJ126)), INDEX('2.Distancias'!E3:J1446, (AJ122*38) + AJ126 + 1,2), NA())</f>
        <v>#N/A</v>
      </c>
    </row>
    <row r="124" spans="15:38" x14ac:dyDescent="0.25">
      <c r="P124" t="e">
        <f>IF(AND(ISNUMBER(O122), ISNUMBER(O126)), INDEX('2.Distancias'!E3:J1446, (O122*38) + O126 + 1,3), NA())</f>
        <v>#N/A</v>
      </c>
      <c r="Q124" t="e">
        <f>IF(AND(ISNUMBER(O122), ISNUMBER(O126)), INDEX('2.Distancias'!E3:J1446, (O122*38) + O126 + 1,4), NA())</f>
        <v>#N/A</v>
      </c>
      <c r="S124" t="e">
        <f>IF(AND(ISNUMBER(R122), ISNUMBER(R126)), INDEX('2.Distancias'!E3:J1446, (R122*38) + R126 + 1,3), NA())</f>
        <v>#N/A</v>
      </c>
      <c r="T124" t="e">
        <f>IF(AND(ISNUMBER(R122), ISNUMBER(R126)), INDEX('2.Distancias'!E3:J1446, (R122*38) + R126 + 1,4), NA())</f>
        <v>#N/A</v>
      </c>
      <c r="V124" t="e">
        <f>IF(AND(ISNUMBER(U122), ISNUMBER(U126)), INDEX('2.Distancias'!E3:J1446, (U122*38) + U126 + 1,3), NA())</f>
        <v>#N/A</v>
      </c>
      <c r="W124" t="e">
        <f>IF(AND(ISNUMBER(U122), ISNUMBER(U126)), INDEX('2.Distancias'!E3:J1446, (U122*38) + U126 + 1,4), NA())</f>
        <v>#N/A</v>
      </c>
      <c r="Y124" t="e">
        <f>IF(AND(ISNUMBER(X122), ISNUMBER(X126)), INDEX('2.Distancias'!E3:J1446, (X122*38) + X126 + 1,3), NA())</f>
        <v>#N/A</v>
      </c>
      <c r="Z124" t="e">
        <f>IF(AND(ISNUMBER(X122), ISNUMBER(X126)), INDEX('2.Distancias'!E3:J1446, (X122*38) + X126 + 1,4), NA())</f>
        <v>#N/A</v>
      </c>
      <c r="AB124" t="e">
        <f>IF(AND(ISNUMBER(AA122), ISNUMBER(AA126)), INDEX('2.Distancias'!E3:J1446, (AA122*38) + AA126 + 1,3), NA())</f>
        <v>#N/A</v>
      </c>
      <c r="AC124" t="e">
        <f>IF(AND(ISNUMBER(AA122), ISNUMBER(AA126)), INDEX('2.Distancias'!E3:J1446, (AA122*38) + AA126 + 1,4), NA())</f>
        <v>#N/A</v>
      </c>
      <c r="AE124" t="e">
        <f>IF(AND(ISNUMBER(AD122), ISNUMBER(AD126)), INDEX('2.Distancias'!E3:J1446, (AD122*38) + AD126 + 1,3), NA())</f>
        <v>#N/A</v>
      </c>
      <c r="AF124" t="e">
        <f>IF(AND(ISNUMBER(AD122), ISNUMBER(AD126)), INDEX('2.Distancias'!E3:J1446, (AD122*38) + AD126 + 1,4), NA())</f>
        <v>#N/A</v>
      </c>
      <c r="AH124" t="e">
        <f>IF(AND(ISNUMBER(AG122), ISNUMBER(AG126)), INDEX('2.Distancias'!E3:J1446, (AG122*38) + AG126 + 1,3), NA())</f>
        <v>#N/A</v>
      </c>
      <c r="AI124" t="e">
        <f>IF(AND(ISNUMBER(AG122), ISNUMBER(AG126)), INDEX('2.Distancias'!E3:J1446, (AG122*38) + AG126 + 1,4), NA())</f>
        <v>#N/A</v>
      </c>
      <c r="AK124" t="e">
        <f>IF(AND(ISNUMBER(AJ122), ISNUMBER(AJ126)), INDEX('2.Distancias'!E3:J1446, (AJ122*38) + AJ126 + 1,3), NA())</f>
        <v>#N/A</v>
      </c>
      <c r="AL124" t="e">
        <f>IF(AND(ISNUMBER(AJ122), ISNUMBER(AJ126)), INDEX('2.Distancias'!E3:J1446, (AJ122*38) + AJ126 + 1,4), NA())</f>
        <v>#N/A</v>
      </c>
    </row>
    <row r="125" spans="15:38" x14ac:dyDescent="0.25">
      <c r="P125" t="e">
        <f>IF(AND(ISNUMBER(O122), ISNUMBER(O126)), INDEX('2.Distancias'!E3:J1446, (O122*38) + O126 + 1,5), NA())</f>
        <v>#N/A</v>
      </c>
      <c r="Q125" t="e">
        <f>IF(AND(ISNUMBER(O122), ISNUMBER(O126)), INDEX('2.Distancias'!E3:J1446, (O122*38) + O126 + 1,6), NA())</f>
        <v>#N/A</v>
      </c>
      <c r="S125" t="e">
        <f>IF(AND(ISNUMBER(R122), ISNUMBER(R126)), INDEX('2.Distancias'!E3:J1446, (R122*38) + R126 + 1,5), NA())</f>
        <v>#N/A</v>
      </c>
      <c r="T125" t="e">
        <f>IF(AND(ISNUMBER(R122), ISNUMBER(R126)), INDEX('2.Distancias'!E3:J1446, (R122*38) + R126 + 1,6), NA())</f>
        <v>#N/A</v>
      </c>
      <c r="V125" t="e">
        <f>IF(AND(ISNUMBER(U122), ISNUMBER(U126)), INDEX('2.Distancias'!E3:J1446, (U122*38) + U126 + 1,5), NA())</f>
        <v>#N/A</v>
      </c>
      <c r="W125" t="e">
        <f>IF(AND(ISNUMBER(U122), ISNUMBER(U126)), INDEX('2.Distancias'!E3:J1446, (U122*38) + U126 + 1,6), NA())</f>
        <v>#N/A</v>
      </c>
      <c r="Y125" t="e">
        <f>IF(AND(ISNUMBER(X122), ISNUMBER(X126)), INDEX('2.Distancias'!E3:J1446, (X122*38) + X126 + 1,5), NA())</f>
        <v>#N/A</v>
      </c>
      <c r="Z125" t="e">
        <f>IF(AND(ISNUMBER(X122), ISNUMBER(X126)), INDEX('2.Distancias'!E3:J1446, (X122*38) + X126 + 1,6), NA())</f>
        <v>#N/A</v>
      </c>
      <c r="AB125" t="e">
        <f>IF(AND(ISNUMBER(AA122), ISNUMBER(AA126)), INDEX('2.Distancias'!E3:J1446, (AA122*38) + AA126 + 1,5), NA())</f>
        <v>#N/A</v>
      </c>
      <c r="AC125" t="e">
        <f>IF(AND(ISNUMBER(AA122), ISNUMBER(AA126)), INDEX('2.Distancias'!E3:J1446, (AA122*38) + AA126 + 1,6), NA())</f>
        <v>#N/A</v>
      </c>
      <c r="AE125" t="e">
        <f>IF(AND(ISNUMBER(AD122), ISNUMBER(AD126)), INDEX('2.Distancias'!E3:J1446, (AD122*38) + AD126 + 1,5), NA())</f>
        <v>#N/A</v>
      </c>
      <c r="AF125" t="e">
        <f>IF(AND(ISNUMBER(AD122), ISNUMBER(AD126)), INDEX('2.Distancias'!E3:J1446, (AD122*38) + AD126 + 1,6), NA())</f>
        <v>#N/A</v>
      </c>
      <c r="AH125" t="e">
        <f>IF(AND(ISNUMBER(AG122), ISNUMBER(AG126)), INDEX('2.Distancias'!E3:J1446, (AG122*38) + AG126 + 1,5), NA())</f>
        <v>#N/A</v>
      </c>
      <c r="AI125" t="e">
        <f>IF(AND(ISNUMBER(AG122), ISNUMBER(AG126)), INDEX('2.Distancias'!E3:J1446, (AG122*38) + AG126 + 1,6), NA())</f>
        <v>#N/A</v>
      </c>
      <c r="AK125" t="e">
        <f>IF(AND(ISNUMBER(AJ122), ISNUMBER(AJ126)), INDEX('2.Distancias'!E3:J1446, (AJ122*38) + AJ126 + 1,5), NA())</f>
        <v>#N/A</v>
      </c>
      <c r="AL125" t="e">
        <f>IF(AND(ISNUMBER(AJ122), ISNUMBER(AJ126)), INDEX('2.Distancias'!E3:J1446, (AJ122*38) + AJ126 + 1,6), NA())</f>
        <v>#N/A</v>
      </c>
    </row>
    <row r="126" spans="15:38" x14ac:dyDescent="0.25">
      <c r="O126" t="str">
        <f>'4.Solución'!C36</f>
        <v xml:space="preserve"> </v>
      </c>
      <c r="P126" t="e">
        <f>IFERROR(IF(ISNUMBER(O126),INDEX('1 ubicaciones'!$D$2:$D$22,O126 + 1),NA()),NA())</f>
        <v>#N/A</v>
      </c>
      <c r="Q126" t="e">
        <f>IFERROR(IF(ISNUMBER(O126),INDEX('1 ubicaciones'!$E$2:$E$22,O126 + 1),NA()),NA())</f>
        <v>#N/A</v>
      </c>
      <c r="R126" t="str">
        <f>'4.Solución'!T36</f>
        <v xml:space="preserve"> </v>
      </c>
      <c r="S126" t="e">
        <f>IFERROR(IF(ISNUMBER(R126),INDEX('1 ubicaciones'!$D$2:$D$22,R126 + 1),NA()),NA())</f>
        <v>#N/A</v>
      </c>
      <c r="T126" t="e">
        <f>IFERROR(IF(ISNUMBER(R126),INDEX('1 ubicaciones'!$E$2:$E$22,R126 + 1),NA()),NA())</f>
        <v>#N/A</v>
      </c>
      <c r="U126" t="str">
        <f>'4.Solución'!AK36</f>
        <v xml:space="preserve"> </v>
      </c>
      <c r="V126" t="e">
        <f>IFERROR(IF(ISNUMBER(U126),INDEX('1 ubicaciones'!$D$2:$D$22,U126 + 1),NA()),NA())</f>
        <v>#N/A</v>
      </c>
      <c r="W126" t="e">
        <f>IFERROR(IF(ISNUMBER(U126),INDEX('1 ubicaciones'!$E$2:$E$22,U126 + 1),NA()),NA())</f>
        <v>#N/A</v>
      </c>
      <c r="X126" t="str">
        <f>'4.Solución'!BB36</f>
        <v xml:space="preserve"> </v>
      </c>
      <c r="Y126" t="e">
        <f>IFERROR(IF(ISNUMBER(X126),INDEX('1 ubicaciones'!$D$2:$D$22,X126 + 1),NA()),NA())</f>
        <v>#N/A</v>
      </c>
      <c r="Z126" t="e">
        <f>IFERROR(IF(ISNUMBER(X126),INDEX('1 ubicaciones'!$E$2:$E$22,X126 + 1),NA()),NA())</f>
        <v>#N/A</v>
      </c>
      <c r="AA126" t="str">
        <f>'4.Solución'!BS36</f>
        <v xml:space="preserve"> </v>
      </c>
      <c r="AB126" t="e">
        <f>IFERROR(IF(ISNUMBER(AA126),INDEX('1 ubicaciones'!$D$2:$D$22,AA126 + 1),NA()),NA())</f>
        <v>#N/A</v>
      </c>
      <c r="AC126" t="e">
        <f>IFERROR(IF(ISNUMBER(AA126),INDEX('1 ubicaciones'!$E$2:$E$22,AA126 + 1),NA()),NA())</f>
        <v>#N/A</v>
      </c>
      <c r="AD126" t="str">
        <f>'4.Solución'!CJ36</f>
        <v xml:space="preserve"> </v>
      </c>
      <c r="AE126" t="e">
        <f>IFERROR(IF(ISNUMBER(AD126),INDEX('1 ubicaciones'!$D$2:$D$22,AD126 + 1),NA()),NA())</f>
        <v>#N/A</v>
      </c>
      <c r="AF126" t="e">
        <f>IFERROR(IF(ISNUMBER(AD126),INDEX('1 ubicaciones'!$E$2:$E$22,AD126 + 1),NA()),NA())</f>
        <v>#N/A</v>
      </c>
      <c r="AG126" t="str">
        <f>'4.Solución'!DA36</f>
        <v xml:space="preserve"> </v>
      </c>
      <c r="AH126" t="e">
        <f>IFERROR(IF(ISNUMBER(AG126),INDEX('1 ubicaciones'!$D$2:$D$22,AG126 + 1),NA()),NA())</f>
        <v>#N/A</v>
      </c>
      <c r="AI126" t="e">
        <f>IFERROR(IF(ISNUMBER(AG126),INDEX('1 ubicaciones'!$E$2:$E$22,AG126 + 1),NA()),NA())</f>
        <v>#N/A</v>
      </c>
      <c r="AJ126" t="str">
        <f>'4.Solución'!DR36</f>
        <v xml:space="preserve"> </v>
      </c>
      <c r="AK126" t="e">
        <f>IFERROR(IF(ISNUMBER(AJ126),INDEX('1 ubicaciones'!$D$2:$D$22,AJ126 + 1),NA()),NA())</f>
        <v>#N/A</v>
      </c>
      <c r="AL126" t="e">
        <f>IFERROR(IF(ISNUMBER(AJ126),INDEX('1 ubicaciones'!$E$2:$E$22,AJ126 + 1),NA()),NA())</f>
        <v>#N/A</v>
      </c>
    </row>
    <row r="127" spans="15:38" x14ac:dyDescent="0.25">
      <c r="P127" t="e">
        <f>IF(AND(ISNUMBER(O126), ISNUMBER(O130)), INDEX('2.Distancias'!E3:J1446, (O126*38) + O130 + 1,1), NA())</f>
        <v>#N/A</v>
      </c>
      <c r="Q127" t="e">
        <f>IF(AND(ISNUMBER(O126), ISNUMBER(O130)), INDEX('2.Distancias'!E3:J1446, (O126*38) + O130 + 1,2), NA())</f>
        <v>#N/A</v>
      </c>
      <c r="S127" t="e">
        <f>IF(AND(ISNUMBER(R126), ISNUMBER(R130)), INDEX('2.Distancias'!E3:J1446, (R126*38) + R130 + 1,1), NA())</f>
        <v>#N/A</v>
      </c>
      <c r="T127" t="e">
        <f>IF(AND(ISNUMBER(R126), ISNUMBER(R130)), INDEX('2.Distancias'!E3:J1446, (R126*38) + R130 + 1,2), NA())</f>
        <v>#N/A</v>
      </c>
      <c r="V127" t="e">
        <f>IF(AND(ISNUMBER(U126), ISNUMBER(U130)), INDEX('2.Distancias'!E3:J1446, (U126*38) + U130 + 1,1), NA())</f>
        <v>#N/A</v>
      </c>
      <c r="W127" t="e">
        <f>IF(AND(ISNUMBER(U126), ISNUMBER(U130)), INDEX('2.Distancias'!E3:J1446, (U126*38) + U130 + 1,2), NA())</f>
        <v>#N/A</v>
      </c>
      <c r="Y127" t="e">
        <f>IF(AND(ISNUMBER(X126), ISNUMBER(X130)), INDEX('2.Distancias'!E3:J1446, (X126*38) + X130 + 1,1), NA())</f>
        <v>#N/A</v>
      </c>
      <c r="Z127" t="e">
        <f>IF(AND(ISNUMBER(X126), ISNUMBER(X130)), INDEX('2.Distancias'!E3:J1446, (X126*38) + X130 + 1,2), NA())</f>
        <v>#N/A</v>
      </c>
      <c r="AB127" t="e">
        <f>IF(AND(ISNUMBER(AA126), ISNUMBER(AA130)), INDEX('2.Distancias'!E3:J1446, (AA126*38) + AA130 + 1,1), NA())</f>
        <v>#N/A</v>
      </c>
      <c r="AC127" t="e">
        <f>IF(AND(ISNUMBER(AA126), ISNUMBER(AA130)), INDEX('2.Distancias'!E3:J1446, (AA126*38) + AA130 + 1,2), NA())</f>
        <v>#N/A</v>
      </c>
      <c r="AE127" t="e">
        <f>IF(AND(ISNUMBER(AD126), ISNUMBER(AD130)), INDEX('2.Distancias'!E3:J1446, (AD126*38) + AD130 + 1,1), NA())</f>
        <v>#N/A</v>
      </c>
      <c r="AF127" t="e">
        <f>IF(AND(ISNUMBER(AD126), ISNUMBER(AD130)), INDEX('2.Distancias'!E3:J1446, (AD126*38) + AD130 + 1,2), NA())</f>
        <v>#N/A</v>
      </c>
      <c r="AH127" t="e">
        <f>IF(AND(ISNUMBER(AG126), ISNUMBER(AG130)), INDEX('2.Distancias'!E3:J1446, (AG126*38) + AG130 + 1,1), NA())</f>
        <v>#N/A</v>
      </c>
      <c r="AI127" t="e">
        <f>IF(AND(ISNUMBER(AG126), ISNUMBER(AG130)), INDEX('2.Distancias'!E3:J1446, (AG126*38) + AG130 + 1,2), NA())</f>
        <v>#N/A</v>
      </c>
      <c r="AK127" t="e">
        <f>IF(AND(ISNUMBER(AJ126), ISNUMBER(AJ130)), INDEX('2.Distancias'!E3:J1446, (AJ126*38) + AJ130 + 1,1), NA())</f>
        <v>#N/A</v>
      </c>
      <c r="AL127" t="e">
        <f>IF(AND(ISNUMBER(AJ126), ISNUMBER(AJ130)), INDEX('2.Distancias'!E3:J1446, (AJ126*38) + AJ130 + 1,2), NA())</f>
        <v>#N/A</v>
      </c>
    </row>
    <row r="128" spans="15:38" x14ac:dyDescent="0.25">
      <c r="P128" t="e">
        <f>IF(AND(ISNUMBER(O126), ISNUMBER(O130)), INDEX('2.Distancias'!E3:J1446, (O126*38) + O130 + 1,3), NA())</f>
        <v>#N/A</v>
      </c>
      <c r="Q128" t="e">
        <f>IF(AND(ISNUMBER(O126), ISNUMBER(O130)), INDEX('2.Distancias'!E3:J1446, (O126*38) + O130 + 1,4), NA())</f>
        <v>#N/A</v>
      </c>
      <c r="S128" t="e">
        <f>IF(AND(ISNUMBER(R126), ISNUMBER(R130)), INDEX('2.Distancias'!E3:J1446, (R126*38) + R130 + 1,3), NA())</f>
        <v>#N/A</v>
      </c>
      <c r="T128" t="e">
        <f>IF(AND(ISNUMBER(R126), ISNUMBER(R130)), INDEX('2.Distancias'!E3:J1446, (R126*38) + R130 + 1,4), NA())</f>
        <v>#N/A</v>
      </c>
      <c r="V128" t="e">
        <f>IF(AND(ISNUMBER(U126), ISNUMBER(U130)), INDEX('2.Distancias'!E3:J1446, (U126*38) + U130 + 1,3), NA())</f>
        <v>#N/A</v>
      </c>
      <c r="W128" t="e">
        <f>IF(AND(ISNUMBER(U126), ISNUMBER(U130)), INDEX('2.Distancias'!E3:J1446, (U126*38) + U130 + 1,4), NA())</f>
        <v>#N/A</v>
      </c>
      <c r="Y128" t="e">
        <f>IF(AND(ISNUMBER(X126), ISNUMBER(X130)), INDEX('2.Distancias'!E3:J1446, (X126*38) + X130 + 1,3), NA())</f>
        <v>#N/A</v>
      </c>
      <c r="Z128" t="e">
        <f>IF(AND(ISNUMBER(X126), ISNUMBER(X130)), INDEX('2.Distancias'!E3:J1446, (X126*38) + X130 + 1,4), NA())</f>
        <v>#N/A</v>
      </c>
      <c r="AB128" t="e">
        <f>IF(AND(ISNUMBER(AA126), ISNUMBER(AA130)), INDEX('2.Distancias'!E3:J1446, (AA126*38) + AA130 + 1,3), NA())</f>
        <v>#N/A</v>
      </c>
      <c r="AC128" t="e">
        <f>IF(AND(ISNUMBER(AA126), ISNUMBER(AA130)), INDEX('2.Distancias'!E3:J1446, (AA126*38) + AA130 + 1,4), NA())</f>
        <v>#N/A</v>
      </c>
      <c r="AE128" t="e">
        <f>IF(AND(ISNUMBER(AD126), ISNUMBER(AD130)), INDEX('2.Distancias'!E3:J1446, (AD126*38) + AD130 + 1,3), NA())</f>
        <v>#N/A</v>
      </c>
      <c r="AF128" t="e">
        <f>IF(AND(ISNUMBER(AD126), ISNUMBER(AD130)), INDEX('2.Distancias'!E3:J1446, (AD126*38) + AD130 + 1,4), NA())</f>
        <v>#N/A</v>
      </c>
      <c r="AH128" t="e">
        <f>IF(AND(ISNUMBER(AG126), ISNUMBER(AG130)), INDEX('2.Distancias'!E3:J1446, (AG126*38) + AG130 + 1,3), NA())</f>
        <v>#N/A</v>
      </c>
      <c r="AI128" t="e">
        <f>IF(AND(ISNUMBER(AG126), ISNUMBER(AG130)), INDEX('2.Distancias'!E3:J1446, (AG126*38) + AG130 + 1,4), NA())</f>
        <v>#N/A</v>
      </c>
      <c r="AK128" t="e">
        <f>IF(AND(ISNUMBER(AJ126), ISNUMBER(AJ130)), INDEX('2.Distancias'!E3:J1446, (AJ126*38) + AJ130 + 1,3), NA())</f>
        <v>#N/A</v>
      </c>
      <c r="AL128" t="e">
        <f>IF(AND(ISNUMBER(AJ126), ISNUMBER(AJ130)), INDEX('2.Distancias'!E3:J1446, (AJ126*38) + AJ130 + 1,4), NA())</f>
        <v>#N/A</v>
      </c>
    </row>
    <row r="129" spans="15:38" x14ac:dyDescent="0.25">
      <c r="P129" t="e">
        <f>IF(AND(ISNUMBER(O126), ISNUMBER(O130)), INDEX('2.Distancias'!E3:J1446, (O126*38) + O130 + 1,5), NA())</f>
        <v>#N/A</v>
      </c>
      <c r="Q129" t="e">
        <f>IF(AND(ISNUMBER(O126), ISNUMBER(O130)), INDEX('2.Distancias'!E3:J1446, (O126*38) + O130 + 1,6), NA())</f>
        <v>#N/A</v>
      </c>
      <c r="S129" t="e">
        <f>IF(AND(ISNUMBER(R126), ISNUMBER(R130)), INDEX('2.Distancias'!E3:J1446, (R126*38) + R130 + 1,5), NA())</f>
        <v>#N/A</v>
      </c>
      <c r="T129" t="e">
        <f>IF(AND(ISNUMBER(R126), ISNUMBER(R130)), INDEX('2.Distancias'!E3:J1446, (R126*38) + R130 + 1,6), NA())</f>
        <v>#N/A</v>
      </c>
      <c r="V129" t="e">
        <f>IF(AND(ISNUMBER(U126), ISNUMBER(U130)), INDEX('2.Distancias'!E3:J1446, (U126*38) + U130 + 1,5), NA())</f>
        <v>#N/A</v>
      </c>
      <c r="W129" t="e">
        <f>IF(AND(ISNUMBER(U126), ISNUMBER(U130)), INDEX('2.Distancias'!E3:J1446, (U126*38) + U130 + 1,6), NA())</f>
        <v>#N/A</v>
      </c>
      <c r="Y129" t="e">
        <f>IF(AND(ISNUMBER(X126), ISNUMBER(X130)), INDEX('2.Distancias'!E3:J1446, (X126*38) + X130 + 1,5), NA())</f>
        <v>#N/A</v>
      </c>
      <c r="Z129" t="e">
        <f>IF(AND(ISNUMBER(X126), ISNUMBER(X130)), INDEX('2.Distancias'!E3:J1446, (X126*38) + X130 + 1,6), NA())</f>
        <v>#N/A</v>
      </c>
      <c r="AB129" t="e">
        <f>IF(AND(ISNUMBER(AA126), ISNUMBER(AA130)), INDEX('2.Distancias'!E3:J1446, (AA126*38) + AA130 + 1,5), NA())</f>
        <v>#N/A</v>
      </c>
      <c r="AC129" t="e">
        <f>IF(AND(ISNUMBER(AA126), ISNUMBER(AA130)), INDEX('2.Distancias'!E3:J1446, (AA126*38) + AA130 + 1,6), NA())</f>
        <v>#N/A</v>
      </c>
      <c r="AE129" t="e">
        <f>IF(AND(ISNUMBER(AD126), ISNUMBER(AD130)), INDEX('2.Distancias'!E3:J1446, (AD126*38) + AD130 + 1,5), NA())</f>
        <v>#N/A</v>
      </c>
      <c r="AF129" t="e">
        <f>IF(AND(ISNUMBER(AD126), ISNUMBER(AD130)), INDEX('2.Distancias'!E3:J1446, (AD126*38) + AD130 + 1,6), NA())</f>
        <v>#N/A</v>
      </c>
      <c r="AH129" t="e">
        <f>IF(AND(ISNUMBER(AG126), ISNUMBER(AG130)), INDEX('2.Distancias'!E3:J1446, (AG126*38) + AG130 + 1,5), NA())</f>
        <v>#N/A</v>
      </c>
      <c r="AI129" t="e">
        <f>IF(AND(ISNUMBER(AG126), ISNUMBER(AG130)), INDEX('2.Distancias'!E3:J1446, (AG126*38) + AG130 + 1,6), NA())</f>
        <v>#N/A</v>
      </c>
      <c r="AK129" t="e">
        <f>IF(AND(ISNUMBER(AJ126), ISNUMBER(AJ130)), INDEX('2.Distancias'!E3:J1446, (AJ126*38) + AJ130 + 1,5), NA())</f>
        <v>#N/A</v>
      </c>
      <c r="AL129" t="e">
        <f>IF(AND(ISNUMBER(AJ126), ISNUMBER(AJ130)), INDEX('2.Distancias'!E3:J1446, (AJ126*38) + AJ130 + 1,6), NA())</f>
        <v>#N/A</v>
      </c>
    </row>
    <row r="130" spans="15:38" x14ac:dyDescent="0.25">
      <c r="O130" t="str">
        <f>'4.Solución'!C37</f>
        <v xml:space="preserve"> </v>
      </c>
      <c r="P130" t="e">
        <f>IFERROR(IF(ISNUMBER(O130),INDEX('1 ubicaciones'!$D$2:$D$22,O130 + 1),NA()),NA())</f>
        <v>#N/A</v>
      </c>
      <c r="Q130" t="e">
        <f>IFERROR(IF(ISNUMBER(O130),INDEX('1 ubicaciones'!$E$2:$E$22,O130 + 1),NA()),NA())</f>
        <v>#N/A</v>
      </c>
      <c r="R130" t="str">
        <f>'4.Solución'!T37</f>
        <v xml:space="preserve"> </v>
      </c>
      <c r="S130" t="e">
        <f>IFERROR(IF(ISNUMBER(R130),INDEX('1 ubicaciones'!$D$2:$D$22,R130 + 1),NA()),NA())</f>
        <v>#N/A</v>
      </c>
      <c r="T130" t="e">
        <f>IFERROR(IF(ISNUMBER(R130),INDEX('1 ubicaciones'!$E$2:$E$22,R130 + 1),NA()),NA())</f>
        <v>#N/A</v>
      </c>
      <c r="U130" t="str">
        <f>'4.Solución'!AK37</f>
        <v xml:space="preserve"> </v>
      </c>
      <c r="V130" t="e">
        <f>IFERROR(IF(ISNUMBER(U130),INDEX('1 ubicaciones'!$D$2:$D$22,U130 + 1),NA()),NA())</f>
        <v>#N/A</v>
      </c>
      <c r="W130" t="e">
        <f>IFERROR(IF(ISNUMBER(U130),INDEX('1 ubicaciones'!$E$2:$E$22,U130 + 1),NA()),NA())</f>
        <v>#N/A</v>
      </c>
      <c r="X130" t="str">
        <f>'4.Solución'!BB37</f>
        <v xml:space="preserve"> </v>
      </c>
      <c r="Y130" t="e">
        <f>IFERROR(IF(ISNUMBER(X130),INDEX('1 ubicaciones'!$D$2:$D$22,X130 + 1),NA()),NA())</f>
        <v>#N/A</v>
      </c>
      <c r="Z130" t="e">
        <f>IFERROR(IF(ISNUMBER(X130),INDEX('1 ubicaciones'!$E$2:$E$22,X130 + 1),NA()),NA())</f>
        <v>#N/A</v>
      </c>
      <c r="AA130" t="str">
        <f>'4.Solución'!BS37</f>
        <v xml:space="preserve"> </v>
      </c>
      <c r="AB130" t="e">
        <f>IFERROR(IF(ISNUMBER(AA130),INDEX('1 ubicaciones'!$D$2:$D$22,AA130 + 1),NA()),NA())</f>
        <v>#N/A</v>
      </c>
      <c r="AC130" t="e">
        <f>IFERROR(IF(ISNUMBER(AA130),INDEX('1 ubicaciones'!$E$2:$E$22,AA130 + 1),NA()),NA())</f>
        <v>#N/A</v>
      </c>
      <c r="AD130" t="str">
        <f>'4.Solución'!CJ37</f>
        <v xml:space="preserve"> </v>
      </c>
      <c r="AE130" t="e">
        <f>IFERROR(IF(ISNUMBER(AD130),INDEX('1 ubicaciones'!$D$2:$D$22,AD130 + 1),NA()),NA())</f>
        <v>#N/A</v>
      </c>
      <c r="AF130" t="e">
        <f>IFERROR(IF(ISNUMBER(AD130),INDEX('1 ubicaciones'!$E$2:$E$22,AD130 + 1),NA()),NA())</f>
        <v>#N/A</v>
      </c>
      <c r="AG130" t="str">
        <f>'4.Solución'!DA37</f>
        <v xml:space="preserve"> </v>
      </c>
      <c r="AH130" t="e">
        <f>IFERROR(IF(ISNUMBER(AG130),INDEX('1 ubicaciones'!$D$2:$D$22,AG130 + 1),NA()),NA())</f>
        <v>#N/A</v>
      </c>
      <c r="AI130" t="e">
        <f>IFERROR(IF(ISNUMBER(AG130),INDEX('1 ubicaciones'!$E$2:$E$22,AG130 + 1),NA()),NA())</f>
        <v>#N/A</v>
      </c>
      <c r="AJ130" t="str">
        <f>'4.Solución'!DR37</f>
        <v xml:space="preserve"> </v>
      </c>
      <c r="AK130" t="e">
        <f>IFERROR(IF(ISNUMBER(AJ130),INDEX('1 ubicaciones'!$D$2:$D$22,AJ130 + 1),NA()),NA())</f>
        <v>#N/A</v>
      </c>
      <c r="AL130" t="e">
        <f>IFERROR(IF(ISNUMBER(AJ130),INDEX('1 ubicaciones'!$E$2:$E$22,AJ130 + 1),NA()),NA())</f>
        <v>#N/A</v>
      </c>
    </row>
    <row r="131" spans="15:38" x14ac:dyDescent="0.25">
      <c r="P131" t="e">
        <f>IF(AND(ISNUMBER(O130), ISNUMBER(O134)), INDEX('2.Distancias'!E3:J1446, (O130*38) + O134 + 1,1), NA())</f>
        <v>#N/A</v>
      </c>
      <c r="Q131" t="e">
        <f>IF(AND(ISNUMBER(O130), ISNUMBER(O134)), INDEX('2.Distancias'!E3:J1446, (O130*38) + O134 + 1,2), NA())</f>
        <v>#N/A</v>
      </c>
      <c r="S131" t="e">
        <f>IF(AND(ISNUMBER(R130), ISNUMBER(R134)), INDEX('2.Distancias'!E3:J1446, (R130*38) + R134 + 1,1), NA())</f>
        <v>#N/A</v>
      </c>
      <c r="T131" t="e">
        <f>IF(AND(ISNUMBER(R130), ISNUMBER(R134)), INDEX('2.Distancias'!E3:J1446, (R130*38) + R134 + 1,2), NA())</f>
        <v>#N/A</v>
      </c>
      <c r="V131" t="e">
        <f>IF(AND(ISNUMBER(U130), ISNUMBER(U134)), INDEX('2.Distancias'!E3:J1446, (U130*38) + U134 + 1,1), NA())</f>
        <v>#N/A</v>
      </c>
      <c r="W131" t="e">
        <f>IF(AND(ISNUMBER(U130), ISNUMBER(U134)), INDEX('2.Distancias'!E3:J1446, (U130*38) + U134 + 1,2), NA())</f>
        <v>#N/A</v>
      </c>
      <c r="Y131" t="e">
        <f>IF(AND(ISNUMBER(X130), ISNUMBER(X134)), INDEX('2.Distancias'!E3:J1446, (X130*38) + X134 + 1,1), NA())</f>
        <v>#N/A</v>
      </c>
      <c r="Z131" t="e">
        <f>IF(AND(ISNUMBER(X130), ISNUMBER(X134)), INDEX('2.Distancias'!E3:J1446, (X130*38) + X134 + 1,2), NA())</f>
        <v>#N/A</v>
      </c>
      <c r="AB131" t="e">
        <f>IF(AND(ISNUMBER(AA130), ISNUMBER(AA134)), INDEX('2.Distancias'!E3:J1446, (AA130*38) + AA134 + 1,1), NA())</f>
        <v>#N/A</v>
      </c>
      <c r="AC131" t="e">
        <f>IF(AND(ISNUMBER(AA130), ISNUMBER(AA134)), INDEX('2.Distancias'!E3:J1446, (AA130*38) + AA134 + 1,2), NA())</f>
        <v>#N/A</v>
      </c>
      <c r="AE131" t="e">
        <f>IF(AND(ISNUMBER(AD130), ISNUMBER(AD134)), INDEX('2.Distancias'!E3:J1446, (AD130*38) + AD134 + 1,1), NA())</f>
        <v>#N/A</v>
      </c>
      <c r="AF131" t="e">
        <f>IF(AND(ISNUMBER(AD130), ISNUMBER(AD134)), INDEX('2.Distancias'!E3:J1446, (AD130*38) + AD134 + 1,2), NA())</f>
        <v>#N/A</v>
      </c>
      <c r="AH131" t="e">
        <f>IF(AND(ISNUMBER(AG130), ISNUMBER(AG134)), INDEX('2.Distancias'!E3:J1446, (AG130*38) + AG134 + 1,1), NA())</f>
        <v>#N/A</v>
      </c>
      <c r="AI131" t="e">
        <f>IF(AND(ISNUMBER(AG130), ISNUMBER(AG134)), INDEX('2.Distancias'!E3:J1446, (AG130*38) + AG134 + 1,2), NA())</f>
        <v>#N/A</v>
      </c>
      <c r="AK131" t="e">
        <f>IF(AND(ISNUMBER(AJ130), ISNUMBER(AJ134)), INDEX('2.Distancias'!E3:J1446, (AJ130*38) + AJ134 + 1,1), NA())</f>
        <v>#N/A</v>
      </c>
      <c r="AL131" t="e">
        <f>IF(AND(ISNUMBER(AJ130), ISNUMBER(AJ134)), INDEX('2.Distancias'!E3:J1446, (AJ130*38) + AJ134 + 1,2), NA())</f>
        <v>#N/A</v>
      </c>
    </row>
    <row r="132" spans="15:38" x14ac:dyDescent="0.25">
      <c r="P132" t="e">
        <f>IF(AND(ISNUMBER(O130), ISNUMBER(O134)), INDEX('2.Distancias'!E3:J1446, (O130*38) + O134 + 1,3), NA())</f>
        <v>#N/A</v>
      </c>
      <c r="Q132" t="e">
        <f>IF(AND(ISNUMBER(O130), ISNUMBER(O134)), INDEX('2.Distancias'!E3:J1446, (O130*38) + O134 + 1,4), NA())</f>
        <v>#N/A</v>
      </c>
      <c r="S132" t="e">
        <f>IF(AND(ISNUMBER(R130), ISNUMBER(R134)), INDEX('2.Distancias'!E3:J1446, (R130*38) + R134 + 1,3), NA())</f>
        <v>#N/A</v>
      </c>
      <c r="T132" t="e">
        <f>IF(AND(ISNUMBER(R130), ISNUMBER(R134)), INDEX('2.Distancias'!E3:J1446, (R130*38) + R134 + 1,4), NA())</f>
        <v>#N/A</v>
      </c>
      <c r="V132" t="e">
        <f>IF(AND(ISNUMBER(U130), ISNUMBER(U134)), INDEX('2.Distancias'!E3:J1446, (U130*38) + U134 + 1,3), NA())</f>
        <v>#N/A</v>
      </c>
      <c r="W132" t="e">
        <f>IF(AND(ISNUMBER(U130), ISNUMBER(U134)), INDEX('2.Distancias'!E3:J1446, (U130*38) + U134 + 1,4), NA())</f>
        <v>#N/A</v>
      </c>
      <c r="Y132" t="e">
        <f>IF(AND(ISNUMBER(X130), ISNUMBER(X134)), INDEX('2.Distancias'!E3:J1446, (X130*38) + X134 + 1,3), NA())</f>
        <v>#N/A</v>
      </c>
      <c r="Z132" t="e">
        <f>IF(AND(ISNUMBER(X130), ISNUMBER(X134)), INDEX('2.Distancias'!E3:J1446, (X130*38) + X134 + 1,4), NA())</f>
        <v>#N/A</v>
      </c>
      <c r="AB132" t="e">
        <f>IF(AND(ISNUMBER(AA130), ISNUMBER(AA134)), INDEX('2.Distancias'!E3:J1446, (AA130*38) + AA134 + 1,3), NA())</f>
        <v>#N/A</v>
      </c>
      <c r="AC132" t="e">
        <f>IF(AND(ISNUMBER(AA130), ISNUMBER(AA134)), INDEX('2.Distancias'!E3:J1446, (AA130*38) + AA134 + 1,4), NA())</f>
        <v>#N/A</v>
      </c>
      <c r="AE132" t="e">
        <f>IF(AND(ISNUMBER(AD130), ISNUMBER(AD134)), INDEX('2.Distancias'!E3:J1446, (AD130*38) + AD134 + 1,3), NA())</f>
        <v>#N/A</v>
      </c>
      <c r="AF132" t="e">
        <f>IF(AND(ISNUMBER(AD130), ISNUMBER(AD134)), INDEX('2.Distancias'!E3:J1446, (AD130*38) + AD134 + 1,4), NA())</f>
        <v>#N/A</v>
      </c>
      <c r="AH132" t="e">
        <f>IF(AND(ISNUMBER(AG130), ISNUMBER(AG134)), INDEX('2.Distancias'!E3:J1446, (AG130*38) + AG134 + 1,3), NA())</f>
        <v>#N/A</v>
      </c>
      <c r="AI132" t="e">
        <f>IF(AND(ISNUMBER(AG130), ISNUMBER(AG134)), INDEX('2.Distancias'!E3:J1446, (AG130*38) + AG134 + 1,4), NA())</f>
        <v>#N/A</v>
      </c>
      <c r="AK132" t="e">
        <f>IF(AND(ISNUMBER(AJ130), ISNUMBER(AJ134)), INDEX('2.Distancias'!E3:J1446, (AJ130*38) + AJ134 + 1,3), NA())</f>
        <v>#N/A</v>
      </c>
      <c r="AL132" t="e">
        <f>IF(AND(ISNUMBER(AJ130), ISNUMBER(AJ134)), INDEX('2.Distancias'!E3:J1446, (AJ130*38) + AJ134 + 1,4), NA())</f>
        <v>#N/A</v>
      </c>
    </row>
    <row r="133" spans="15:38" x14ac:dyDescent="0.25">
      <c r="P133" t="e">
        <f>IF(AND(ISNUMBER(O130), ISNUMBER(O134)), INDEX('2.Distancias'!E3:J1446, (O130*38) + O134 + 1,5), NA())</f>
        <v>#N/A</v>
      </c>
      <c r="Q133" t="e">
        <f>IF(AND(ISNUMBER(O130), ISNUMBER(O134)), INDEX('2.Distancias'!E3:J1446, (O130*38) + O134 + 1,6), NA())</f>
        <v>#N/A</v>
      </c>
      <c r="S133" t="e">
        <f>IF(AND(ISNUMBER(R130), ISNUMBER(R134)), INDEX('2.Distancias'!E3:J1446, (R130*38) + R134 + 1,5), NA())</f>
        <v>#N/A</v>
      </c>
      <c r="T133" t="e">
        <f>IF(AND(ISNUMBER(R130), ISNUMBER(R134)), INDEX('2.Distancias'!E3:J1446, (R130*38) + R134 + 1,6), NA())</f>
        <v>#N/A</v>
      </c>
      <c r="V133" t="e">
        <f>IF(AND(ISNUMBER(U130), ISNUMBER(U134)), INDEX('2.Distancias'!E3:J1446, (U130*38) + U134 + 1,5), NA())</f>
        <v>#N/A</v>
      </c>
      <c r="W133" t="e">
        <f>IF(AND(ISNUMBER(U130), ISNUMBER(U134)), INDEX('2.Distancias'!E3:J1446, (U130*38) + U134 + 1,6), NA())</f>
        <v>#N/A</v>
      </c>
      <c r="Y133" t="e">
        <f>IF(AND(ISNUMBER(X130), ISNUMBER(X134)), INDEX('2.Distancias'!E3:J1446, (X130*38) + X134 + 1,5), NA())</f>
        <v>#N/A</v>
      </c>
      <c r="Z133" t="e">
        <f>IF(AND(ISNUMBER(X130), ISNUMBER(X134)), INDEX('2.Distancias'!E3:J1446, (X130*38) + X134 + 1,6), NA())</f>
        <v>#N/A</v>
      </c>
      <c r="AB133" t="e">
        <f>IF(AND(ISNUMBER(AA130), ISNUMBER(AA134)), INDEX('2.Distancias'!E3:J1446, (AA130*38) + AA134 + 1,5), NA())</f>
        <v>#N/A</v>
      </c>
      <c r="AC133" t="e">
        <f>IF(AND(ISNUMBER(AA130), ISNUMBER(AA134)), INDEX('2.Distancias'!E3:J1446, (AA130*38) + AA134 + 1,6), NA())</f>
        <v>#N/A</v>
      </c>
      <c r="AE133" t="e">
        <f>IF(AND(ISNUMBER(AD130), ISNUMBER(AD134)), INDEX('2.Distancias'!E3:J1446, (AD130*38) + AD134 + 1,5), NA())</f>
        <v>#N/A</v>
      </c>
      <c r="AF133" t="e">
        <f>IF(AND(ISNUMBER(AD130), ISNUMBER(AD134)), INDEX('2.Distancias'!E3:J1446, (AD130*38) + AD134 + 1,6), NA())</f>
        <v>#N/A</v>
      </c>
      <c r="AH133" t="e">
        <f>IF(AND(ISNUMBER(AG130), ISNUMBER(AG134)), INDEX('2.Distancias'!E3:J1446, (AG130*38) + AG134 + 1,5), NA())</f>
        <v>#N/A</v>
      </c>
      <c r="AI133" t="e">
        <f>IF(AND(ISNUMBER(AG130), ISNUMBER(AG134)), INDEX('2.Distancias'!E3:J1446, (AG130*38) + AG134 + 1,6), NA())</f>
        <v>#N/A</v>
      </c>
      <c r="AK133" t="e">
        <f>IF(AND(ISNUMBER(AJ130), ISNUMBER(AJ134)), INDEX('2.Distancias'!E3:J1446, (AJ130*38) + AJ134 + 1,5), NA())</f>
        <v>#N/A</v>
      </c>
      <c r="AL133" t="e">
        <f>IF(AND(ISNUMBER(AJ130), ISNUMBER(AJ134)), INDEX('2.Distancias'!E3:J1446, (AJ130*38) + AJ134 + 1,6), NA())</f>
        <v>#N/A</v>
      </c>
    </row>
    <row r="134" spans="15:38" x14ac:dyDescent="0.25">
      <c r="O134" t="str">
        <f>'4.Solución'!C38</f>
        <v xml:space="preserve"> </v>
      </c>
      <c r="P134" t="e">
        <f>IFERROR(IF(ISNUMBER(O134),INDEX('1 ubicaciones'!$D$2:$D$22,O134 + 1),NA()),NA())</f>
        <v>#N/A</v>
      </c>
      <c r="Q134" t="e">
        <f>IFERROR(IF(ISNUMBER(O134),INDEX('1 ubicaciones'!$E$2:$E$22,O134 + 1),NA()),NA())</f>
        <v>#N/A</v>
      </c>
      <c r="R134" t="str">
        <f>'4.Solución'!T38</f>
        <v xml:space="preserve"> </v>
      </c>
      <c r="S134" t="e">
        <f>IFERROR(IF(ISNUMBER(R134),INDEX('1 ubicaciones'!$D$2:$D$22,R134 + 1),NA()),NA())</f>
        <v>#N/A</v>
      </c>
      <c r="T134" t="e">
        <f>IFERROR(IF(ISNUMBER(R134),INDEX('1 ubicaciones'!$E$2:$E$22,R134 + 1),NA()),NA())</f>
        <v>#N/A</v>
      </c>
      <c r="U134" t="str">
        <f>'4.Solución'!AK38</f>
        <v xml:space="preserve"> </v>
      </c>
      <c r="V134" t="e">
        <f>IFERROR(IF(ISNUMBER(U134),INDEX('1 ubicaciones'!$D$2:$D$22,U134 + 1),NA()),NA())</f>
        <v>#N/A</v>
      </c>
      <c r="W134" t="e">
        <f>IFERROR(IF(ISNUMBER(U134),INDEX('1 ubicaciones'!$E$2:$E$22,U134 + 1),NA()),NA())</f>
        <v>#N/A</v>
      </c>
      <c r="X134" t="str">
        <f>'4.Solución'!BB38</f>
        <v xml:space="preserve"> </v>
      </c>
      <c r="Y134" t="e">
        <f>IFERROR(IF(ISNUMBER(X134),INDEX('1 ubicaciones'!$D$2:$D$22,X134 + 1),NA()),NA())</f>
        <v>#N/A</v>
      </c>
      <c r="Z134" t="e">
        <f>IFERROR(IF(ISNUMBER(X134),INDEX('1 ubicaciones'!$E$2:$E$22,X134 + 1),NA()),NA())</f>
        <v>#N/A</v>
      </c>
      <c r="AA134" t="str">
        <f>'4.Solución'!BS38</f>
        <v xml:space="preserve"> </v>
      </c>
      <c r="AB134" t="e">
        <f>IFERROR(IF(ISNUMBER(AA134),INDEX('1 ubicaciones'!$D$2:$D$22,AA134 + 1),NA()),NA())</f>
        <v>#N/A</v>
      </c>
      <c r="AC134" t="e">
        <f>IFERROR(IF(ISNUMBER(AA134),INDEX('1 ubicaciones'!$E$2:$E$22,AA134 + 1),NA()),NA())</f>
        <v>#N/A</v>
      </c>
      <c r="AD134" t="str">
        <f>'4.Solución'!CJ38</f>
        <v xml:space="preserve"> </v>
      </c>
      <c r="AE134" t="e">
        <f>IFERROR(IF(ISNUMBER(AD134),INDEX('1 ubicaciones'!$D$2:$D$22,AD134 + 1),NA()),NA())</f>
        <v>#N/A</v>
      </c>
      <c r="AF134" t="e">
        <f>IFERROR(IF(ISNUMBER(AD134),INDEX('1 ubicaciones'!$E$2:$E$22,AD134 + 1),NA()),NA())</f>
        <v>#N/A</v>
      </c>
      <c r="AG134" t="str">
        <f>'4.Solución'!DA38</f>
        <v xml:space="preserve"> </v>
      </c>
      <c r="AH134" t="e">
        <f>IFERROR(IF(ISNUMBER(AG134),INDEX('1 ubicaciones'!$D$2:$D$22,AG134 + 1),NA()),NA())</f>
        <v>#N/A</v>
      </c>
      <c r="AI134" t="e">
        <f>IFERROR(IF(ISNUMBER(AG134),INDEX('1 ubicaciones'!$E$2:$E$22,AG134 + 1),NA()),NA())</f>
        <v>#N/A</v>
      </c>
      <c r="AJ134" t="str">
        <f>'4.Solución'!DR38</f>
        <v xml:space="preserve"> </v>
      </c>
      <c r="AK134" t="e">
        <f>IFERROR(IF(ISNUMBER(AJ134),INDEX('1 ubicaciones'!$D$2:$D$22,AJ134 + 1),NA()),NA())</f>
        <v>#N/A</v>
      </c>
      <c r="AL134" t="e">
        <f>IFERROR(IF(ISNUMBER(AJ134),INDEX('1 ubicaciones'!$E$2:$E$22,AJ134 + 1),NA()),NA())</f>
        <v>#N/A</v>
      </c>
    </row>
    <row r="135" spans="15:38" x14ac:dyDescent="0.25">
      <c r="P135" t="e">
        <f>IF(AND(ISNUMBER(O134), ISNUMBER(O138)), INDEX('2.Distancias'!E3:J1446, (O134*38) + O138 + 1,1), NA())</f>
        <v>#N/A</v>
      </c>
      <c r="Q135" t="e">
        <f>IF(AND(ISNUMBER(O134), ISNUMBER(O138)), INDEX('2.Distancias'!E3:J1446, (O134*38) + O138 + 1,2), NA())</f>
        <v>#N/A</v>
      </c>
      <c r="S135" t="e">
        <f>IF(AND(ISNUMBER(R134), ISNUMBER(R138)), INDEX('2.Distancias'!E3:J1446, (R134*38) + R138 + 1,1), NA())</f>
        <v>#N/A</v>
      </c>
      <c r="T135" t="e">
        <f>IF(AND(ISNUMBER(R134), ISNUMBER(R138)), INDEX('2.Distancias'!E3:J1446, (R134*38) + R138 + 1,2), NA())</f>
        <v>#N/A</v>
      </c>
      <c r="V135" t="e">
        <f>IF(AND(ISNUMBER(U134), ISNUMBER(U138)), INDEX('2.Distancias'!E3:J1446, (U134*38) + U138 + 1,1), NA())</f>
        <v>#N/A</v>
      </c>
      <c r="W135" t="e">
        <f>IF(AND(ISNUMBER(U134), ISNUMBER(U138)), INDEX('2.Distancias'!E3:J1446, (U134*38) + U138 + 1,2), NA())</f>
        <v>#N/A</v>
      </c>
      <c r="Y135" t="e">
        <f>IF(AND(ISNUMBER(X134), ISNUMBER(X138)), INDEX('2.Distancias'!E3:J1446, (X134*38) + X138 + 1,1), NA())</f>
        <v>#N/A</v>
      </c>
      <c r="Z135" t="e">
        <f>IF(AND(ISNUMBER(X134), ISNUMBER(X138)), INDEX('2.Distancias'!E3:J1446, (X134*38) + X138 + 1,2), NA())</f>
        <v>#N/A</v>
      </c>
      <c r="AB135" t="e">
        <f>IF(AND(ISNUMBER(AA134), ISNUMBER(AA138)), INDEX('2.Distancias'!E3:J1446, (AA134*38) + AA138 + 1,1), NA())</f>
        <v>#N/A</v>
      </c>
      <c r="AC135" t="e">
        <f>IF(AND(ISNUMBER(AA134), ISNUMBER(AA138)), INDEX('2.Distancias'!E3:J1446, (AA134*38) + AA138 + 1,2), NA())</f>
        <v>#N/A</v>
      </c>
      <c r="AE135" t="e">
        <f>IF(AND(ISNUMBER(AD134), ISNUMBER(AD138)), INDEX('2.Distancias'!E3:J1446, (AD134*38) + AD138 + 1,1), NA())</f>
        <v>#N/A</v>
      </c>
      <c r="AF135" t="e">
        <f>IF(AND(ISNUMBER(AD134), ISNUMBER(AD138)), INDEX('2.Distancias'!E3:J1446, (AD134*38) + AD138 + 1,2), NA())</f>
        <v>#N/A</v>
      </c>
      <c r="AH135" t="e">
        <f>IF(AND(ISNUMBER(AG134), ISNUMBER(AG138)), INDEX('2.Distancias'!E3:J1446, (AG134*38) + AG138 + 1,1), NA())</f>
        <v>#N/A</v>
      </c>
      <c r="AI135" t="e">
        <f>IF(AND(ISNUMBER(AG134), ISNUMBER(AG138)), INDEX('2.Distancias'!E3:J1446, (AG134*38) + AG138 + 1,2), NA())</f>
        <v>#N/A</v>
      </c>
      <c r="AK135" t="e">
        <f>IF(AND(ISNUMBER(AJ134), ISNUMBER(AJ138)), INDEX('2.Distancias'!E3:J1446, (AJ134*38) + AJ138 + 1,1), NA())</f>
        <v>#N/A</v>
      </c>
      <c r="AL135" t="e">
        <f>IF(AND(ISNUMBER(AJ134), ISNUMBER(AJ138)), INDEX('2.Distancias'!E3:J1446, (AJ134*38) + AJ138 + 1,2), NA())</f>
        <v>#N/A</v>
      </c>
    </row>
    <row r="136" spans="15:38" x14ac:dyDescent="0.25">
      <c r="P136" t="e">
        <f>IF(AND(ISNUMBER(O134), ISNUMBER(O138)), INDEX('2.Distancias'!E3:J1446, (O134*38) + O138 + 1,3), NA())</f>
        <v>#N/A</v>
      </c>
      <c r="Q136" t="e">
        <f>IF(AND(ISNUMBER(O134), ISNUMBER(O138)), INDEX('2.Distancias'!E3:J1446, (O134*38) + O138 + 1,4), NA())</f>
        <v>#N/A</v>
      </c>
      <c r="S136" t="e">
        <f>IF(AND(ISNUMBER(R134), ISNUMBER(R138)), INDEX('2.Distancias'!E3:J1446, (R134*38) + R138 + 1,3), NA())</f>
        <v>#N/A</v>
      </c>
      <c r="T136" t="e">
        <f>IF(AND(ISNUMBER(R134), ISNUMBER(R138)), INDEX('2.Distancias'!E3:J1446, (R134*38) + R138 + 1,4), NA())</f>
        <v>#N/A</v>
      </c>
      <c r="V136" t="e">
        <f>IF(AND(ISNUMBER(U134), ISNUMBER(U138)), INDEX('2.Distancias'!E3:J1446, (U134*38) + U138 + 1,3), NA())</f>
        <v>#N/A</v>
      </c>
      <c r="W136" t="e">
        <f>IF(AND(ISNUMBER(U134), ISNUMBER(U138)), INDEX('2.Distancias'!E3:J1446, (U134*38) + U138 + 1,4), NA())</f>
        <v>#N/A</v>
      </c>
      <c r="Y136" t="e">
        <f>IF(AND(ISNUMBER(X134), ISNUMBER(X138)), INDEX('2.Distancias'!E3:J1446, (X134*38) + X138 + 1,3), NA())</f>
        <v>#N/A</v>
      </c>
      <c r="Z136" t="e">
        <f>IF(AND(ISNUMBER(X134), ISNUMBER(X138)), INDEX('2.Distancias'!E3:J1446, (X134*38) + X138 + 1,4), NA())</f>
        <v>#N/A</v>
      </c>
      <c r="AB136" t="e">
        <f>IF(AND(ISNUMBER(AA134), ISNUMBER(AA138)), INDEX('2.Distancias'!E3:J1446, (AA134*38) + AA138 + 1,3), NA())</f>
        <v>#N/A</v>
      </c>
      <c r="AC136" t="e">
        <f>IF(AND(ISNUMBER(AA134), ISNUMBER(AA138)), INDEX('2.Distancias'!E3:J1446, (AA134*38) + AA138 + 1,4), NA())</f>
        <v>#N/A</v>
      </c>
      <c r="AE136" t="e">
        <f>IF(AND(ISNUMBER(AD134), ISNUMBER(AD138)), INDEX('2.Distancias'!E3:J1446, (AD134*38) + AD138 + 1,3), NA())</f>
        <v>#N/A</v>
      </c>
      <c r="AF136" t="e">
        <f>IF(AND(ISNUMBER(AD134), ISNUMBER(AD138)), INDEX('2.Distancias'!E3:J1446, (AD134*38) + AD138 + 1,4), NA())</f>
        <v>#N/A</v>
      </c>
      <c r="AH136" t="e">
        <f>IF(AND(ISNUMBER(AG134), ISNUMBER(AG138)), INDEX('2.Distancias'!E3:J1446, (AG134*38) + AG138 + 1,3), NA())</f>
        <v>#N/A</v>
      </c>
      <c r="AI136" t="e">
        <f>IF(AND(ISNUMBER(AG134), ISNUMBER(AG138)), INDEX('2.Distancias'!E3:J1446, (AG134*38) + AG138 + 1,4), NA())</f>
        <v>#N/A</v>
      </c>
      <c r="AK136" t="e">
        <f>IF(AND(ISNUMBER(AJ134), ISNUMBER(AJ138)), INDEX('2.Distancias'!E3:J1446, (AJ134*38) + AJ138 + 1,3), NA())</f>
        <v>#N/A</v>
      </c>
      <c r="AL136" t="e">
        <f>IF(AND(ISNUMBER(AJ134), ISNUMBER(AJ138)), INDEX('2.Distancias'!E3:J1446, (AJ134*38) + AJ138 + 1,4), NA())</f>
        <v>#N/A</v>
      </c>
    </row>
    <row r="137" spans="15:38" x14ac:dyDescent="0.25">
      <c r="P137" t="e">
        <f>IF(AND(ISNUMBER(O134), ISNUMBER(O138)), INDEX('2.Distancias'!E3:J1446, (O134*38) + O138 + 1,5), NA())</f>
        <v>#N/A</v>
      </c>
      <c r="Q137" t="e">
        <f>IF(AND(ISNUMBER(O134), ISNUMBER(O138)), INDEX('2.Distancias'!E3:J1446, (O134*38) + O138 + 1,6), NA())</f>
        <v>#N/A</v>
      </c>
      <c r="S137" t="e">
        <f>IF(AND(ISNUMBER(R134), ISNUMBER(R138)), INDEX('2.Distancias'!E3:J1446, (R134*38) + R138 + 1,5), NA())</f>
        <v>#N/A</v>
      </c>
      <c r="T137" t="e">
        <f>IF(AND(ISNUMBER(R134), ISNUMBER(R138)), INDEX('2.Distancias'!E3:J1446, (R134*38) + R138 + 1,6), NA())</f>
        <v>#N/A</v>
      </c>
      <c r="V137" t="e">
        <f>IF(AND(ISNUMBER(U134), ISNUMBER(U138)), INDEX('2.Distancias'!E3:J1446, (U134*38) + U138 + 1,5), NA())</f>
        <v>#N/A</v>
      </c>
      <c r="W137" t="e">
        <f>IF(AND(ISNUMBER(U134), ISNUMBER(U138)), INDEX('2.Distancias'!E3:J1446, (U134*38) + U138 + 1,6), NA())</f>
        <v>#N/A</v>
      </c>
      <c r="Y137" t="e">
        <f>IF(AND(ISNUMBER(X134), ISNUMBER(X138)), INDEX('2.Distancias'!E3:J1446, (X134*38) + X138 + 1,5), NA())</f>
        <v>#N/A</v>
      </c>
      <c r="Z137" t="e">
        <f>IF(AND(ISNUMBER(X134), ISNUMBER(X138)), INDEX('2.Distancias'!E3:J1446, (X134*38) + X138 + 1,6), NA())</f>
        <v>#N/A</v>
      </c>
      <c r="AB137" t="e">
        <f>IF(AND(ISNUMBER(AA134), ISNUMBER(AA138)), INDEX('2.Distancias'!E3:J1446, (AA134*38) + AA138 + 1,5), NA())</f>
        <v>#N/A</v>
      </c>
      <c r="AC137" t="e">
        <f>IF(AND(ISNUMBER(AA134), ISNUMBER(AA138)), INDEX('2.Distancias'!E3:J1446, (AA134*38) + AA138 + 1,6), NA())</f>
        <v>#N/A</v>
      </c>
      <c r="AE137" t="e">
        <f>IF(AND(ISNUMBER(AD134), ISNUMBER(AD138)), INDEX('2.Distancias'!E3:J1446, (AD134*38) + AD138 + 1,5), NA())</f>
        <v>#N/A</v>
      </c>
      <c r="AF137" t="e">
        <f>IF(AND(ISNUMBER(AD134), ISNUMBER(AD138)), INDEX('2.Distancias'!E3:J1446, (AD134*38) + AD138 + 1,6), NA())</f>
        <v>#N/A</v>
      </c>
      <c r="AH137" t="e">
        <f>IF(AND(ISNUMBER(AG134), ISNUMBER(AG138)), INDEX('2.Distancias'!E3:J1446, (AG134*38) + AG138 + 1,5), NA())</f>
        <v>#N/A</v>
      </c>
      <c r="AI137" t="e">
        <f>IF(AND(ISNUMBER(AG134), ISNUMBER(AG138)), INDEX('2.Distancias'!E3:J1446, (AG134*38) + AG138 + 1,6), NA())</f>
        <v>#N/A</v>
      </c>
      <c r="AK137" t="e">
        <f>IF(AND(ISNUMBER(AJ134), ISNUMBER(AJ138)), INDEX('2.Distancias'!E3:J1446, (AJ134*38) + AJ138 + 1,5), NA())</f>
        <v>#N/A</v>
      </c>
      <c r="AL137" t="e">
        <f>IF(AND(ISNUMBER(AJ134), ISNUMBER(AJ138)), INDEX('2.Distancias'!E3:J1446, (AJ134*38) + AJ138 + 1,6), NA())</f>
        <v>#N/A</v>
      </c>
    </row>
    <row r="138" spans="15:38" x14ac:dyDescent="0.25">
      <c r="O138" t="str">
        <f>'4.Solución'!C39</f>
        <v xml:space="preserve"> </v>
      </c>
      <c r="P138" t="e">
        <f>IFERROR(IF(ISNUMBER(O138),INDEX('1 ubicaciones'!$D$2:$D$22,O138 + 1),NA()),NA())</f>
        <v>#N/A</v>
      </c>
      <c r="Q138" t="e">
        <f>IFERROR(IF(ISNUMBER(O138),INDEX('1 ubicaciones'!$E$2:$E$22,O138 + 1),NA()),NA())</f>
        <v>#N/A</v>
      </c>
      <c r="R138" t="str">
        <f>'4.Solución'!T39</f>
        <v xml:space="preserve"> </v>
      </c>
      <c r="S138" t="e">
        <f>IFERROR(IF(ISNUMBER(R138),INDEX('1 ubicaciones'!$D$2:$D$22,R138 + 1),NA()),NA())</f>
        <v>#N/A</v>
      </c>
      <c r="T138" t="e">
        <f>IFERROR(IF(ISNUMBER(R138),INDEX('1 ubicaciones'!$E$2:$E$22,R138 + 1),NA()),NA())</f>
        <v>#N/A</v>
      </c>
      <c r="U138" t="str">
        <f>'4.Solución'!AK39</f>
        <v xml:space="preserve"> </v>
      </c>
      <c r="V138" t="e">
        <f>IFERROR(IF(ISNUMBER(U138),INDEX('1 ubicaciones'!$D$2:$D$22,U138 + 1),NA()),NA())</f>
        <v>#N/A</v>
      </c>
      <c r="W138" t="e">
        <f>IFERROR(IF(ISNUMBER(U138),INDEX('1 ubicaciones'!$E$2:$E$22,U138 + 1),NA()),NA())</f>
        <v>#N/A</v>
      </c>
      <c r="X138" t="str">
        <f>'4.Solución'!BB39</f>
        <v xml:space="preserve"> </v>
      </c>
      <c r="Y138" t="e">
        <f>IFERROR(IF(ISNUMBER(X138),INDEX('1 ubicaciones'!$D$2:$D$22,X138 + 1),NA()),NA())</f>
        <v>#N/A</v>
      </c>
      <c r="Z138" t="e">
        <f>IFERROR(IF(ISNUMBER(X138),INDEX('1 ubicaciones'!$E$2:$E$22,X138 + 1),NA()),NA())</f>
        <v>#N/A</v>
      </c>
      <c r="AA138" t="str">
        <f>'4.Solución'!BS39</f>
        <v xml:space="preserve"> </v>
      </c>
      <c r="AB138" t="e">
        <f>IFERROR(IF(ISNUMBER(AA138),INDEX('1 ubicaciones'!$D$2:$D$22,AA138 + 1),NA()),NA())</f>
        <v>#N/A</v>
      </c>
      <c r="AC138" t="e">
        <f>IFERROR(IF(ISNUMBER(AA138),INDEX('1 ubicaciones'!$E$2:$E$22,AA138 + 1),NA()),NA())</f>
        <v>#N/A</v>
      </c>
      <c r="AD138" t="str">
        <f>'4.Solución'!CJ39</f>
        <v xml:space="preserve"> </v>
      </c>
      <c r="AE138" t="e">
        <f>IFERROR(IF(ISNUMBER(AD138),INDEX('1 ubicaciones'!$D$2:$D$22,AD138 + 1),NA()),NA())</f>
        <v>#N/A</v>
      </c>
      <c r="AF138" t="e">
        <f>IFERROR(IF(ISNUMBER(AD138),INDEX('1 ubicaciones'!$E$2:$E$22,AD138 + 1),NA()),NA())</f>
        <v>#N/A</v>
      </c>
      <c r="AG138" t="str">
        <f>'4.Solución'!DA39</f>
        <v xml:space="preserve"> </v>
      </c>
      <c r="AH138" t="e">
        <f>IFERROR(IF(ISNUMBER(AG138),INDEX('1 ubicaciones'!$D$2:$D$22,AG138 + 1),NA()),NA())</f>
        <v>#N/A</v>
      </c>
      <c r="AI138" t="e">
        <f>IFERROR(IF(ISNUMBER(AG138),INDEX('1 ubicaciones'!$E$2:$E$22,AG138 + 1),NA()),NA())</f>
        <v>#N/A</v>
      </c>
      <c r="AJ138" t="str">
        <f>'4.Solución'!DR39</f>
        <v xml:space="preserve"> </v>
      </c>
      <c r="AK138" t="e">
        <f>IFERROR(IF(ISNUMBER(AJ138),INDEX('1 ubicaciones'!$D$2:$D$22,AJ138 + 1),NA()),NA())</f>
        <v>#N/A</v>
      </c>
      <c r="AL138" t="e">
        <f>IFERROR(IF(ISNUMBER(AJ138),INDEX('1 ubicaciones'!$E$2:$E$22,AJ138 + 1),NA()),NA())</f>
        <v>#N/A</v>
      </c>
    </row>
    <row r="139" spans="15:38" x14ac:dyDescent="0.25">
      <c r="P139" t="e">
        <f>IF(AND(ISNUMBER(O138), ISNUMBER(O142)), INDEX('2.Distancias'!E3:J1446, (O138*38) + O142 + 1,1), NA())</f>
        <v>#N/A</v>
      </c>
      <c r="Q139" t="e">
        <f>IF(AND(ISNUMBER(O138), ISNUMBER(O142)), INDEX('2.Distancias'!E3:J1446, (O138*38) + O142 + 1,2), NA())</f>
        <v>#N/A</v>
      </c>
      <c r="S139" t="e">
        <f>IF(AND(ISNUMBER(R138), ISNUMBER(R142)), INDEX('2.Distancias'!E3:J1446, (R138*38) + R142 + 1,1), NA())</f>
        <v>#N/A</v>
      </c>
      <c r="T139" t="e">
        <f>IF(AND(ISNUMBER(R138), ISNUMBER(R142)), INDEX('2.Distancias'!E3:J1446, (R138*38) + R142 + 1,2), NA())</f>
        <v>#N/A</v>
      </c>
      <c r="V139" t="e">
        <f>IF(AND(ISNUMBER(U138), ISNUMBER(U142)), INDEX('2.Distancias'!E3:J1446, (U138*38) + U142 + 1,1), NA())</f>
        <v>#N/A</v>
      </c>
      <c r="W139" t="e">
        <f>IF(AND(ISNUMBER(U138), ISNUMBER(U142)), INDEX('2.Distancias'!E3:J1446, (U138*38) + U142 + 1,2), NA())</f>
        <v>#N/A</v>
      </c>
      <c r="Y139" t="e">
        <f>IF(AND(ISNUMBER(X138), ISNUMBER(X142)), INDEX('2.Distancias'!E3:J1446, (X138*38) + X142 + 1,1), NA())</f>
        <v>#N/A</v>
      </c>
      <c r="Z139" t="e">
        <f>IF(AND(ISNUMBER(X138), ISNUMBER(X142)), INDEX('2.Distancias'!E3:J1446, (X138*38) + X142 + 1,2), NA())</f>
        <v>#N/A</v>
      </c>
      <c r="AB139" t="e">
        <f>IF(AND(ISNUMBER(AA138), ISNUMBER(AA142)), INDEX('2.Distancias'!E3:J1446, (AA138*38) + AA142 + 1,1), NA())</f>
        <v>#N/A</v>
      </c>
      <c r="AC139" t="e">
        <f>IF(AND(ISNUMBER(AA138), ISNUMBER(AA142)), INDEX('2.Distancias'!E3:J1446, (AA138*38) + AA142 + 1,2), NA())</f>
        <v>#N/A</v>
      </c>
      <c r="AE139" t="e">
        <f>IF(AND(ISNUMBER(AD138), ISNUMBER(AD142)), INDEX('2.Distancias'!E3:J1446, (AD138*38) + AD142 + 1,1), NA())</f>
        <v>#N/A</v>
      </c>
      <c r="AF139" t="e">
        <f>IF(AND(ISNUMBER(AD138), ISNUMBER(AD142)), INDEX('2.Distancias'!E3:J1446, (AD138*38) + AD142 + 1,2), NA())</f>
        <v>#N/A</v>
      </c>
      <c r="AH139" t="e">
        <f>IF(AND(ISNUMBER(AG138), ISNUMBER(AG142)), INDEX('2.Distancias'!E3:J1446, (AG138*38) + AG142 + 1,1), NA())</f>
        <v>#N/A</v>
      </c>
      <c r="AI139" t="e">
        <f>IF(AND(ISNUMBER(AG138), ISNUMBER(AG142)), INDEX('2.Distancias'!E3:J1446, (AG138*38) + AG142 + 1,2), NA())</f>
        <v>#N/A</v>
      </c>
      <c r="AK139" t="e">
        <f>IF(AND(ISNUMBER(AJ138), ISNUMBER(AJ142)), INDEX('2.Distancias'!E3:J1446, (AJ138*38) + AJ142 + 1,1), NA())</f>
        <v>#N/A</v>
      </c>
      <c r="AL139" t="e">
        <f>IF(AND(ISNUMBER(AJ138), ISNUMBER(AJ142)), INDEX('2.Distancias'!E3:J1446, (AJ138*38) + AJ142 + 1,2), NA())</f>
        <v>#N/A</v>
      </c>
    </row>
    <row r="140" spans="15:38" x14ac:dyDescent="0.25">
      <c r="P140" t="e">
        <f>IF(AND(ISNUMBER(O138), ISNUMBER(O142)), INDEX('2.Distancias'!E3:J1446, (O138*38) + O142 + 1,3), NA())</f>
        <v>#N/A</v>
      </c>
      <c r="Q140" t="e">
        <f>IF(AND(ISNUMBER(O138), ISNUMBER(O142)), INDEX('2.Distancias'!E3:J1446, (O138*38) + O142 + 1,4), NA())</f>
        <v>#N/A</v>
      </c>
      <c r="S140" t="e">
        <f>IF(AND(ISNUMBER(R138), ISNUMBER(R142)), INDEX('2.Distancias'!E3:J1446, (R138*38) + R142 + 1,3), NA())</f>
        <v>#N/A</v>
      </c>
      <c r="T140" t="e">
        <f>IF(AND(ISNUMBER(R138), ISNUMBER(R142)), INDEX('2.Distancias'!E3:J1446, (R138*38) + R142 + 1,4), NA())</f>
        <v>#N/A</v>
      </c>
      <c r="V140" t="e">
        <f>IF(AND(ISNUMBER(U138), ISNUMBER(U142)), INDEX('2.Distancias'!E3:J1446, (U138*38) + U142 + 1,3), NA())</f>
        <v>#N/A</v>
      </c>
      <c r="W140" t="e">
        <f>IF(AND(ISNUMBER(U138), ISNUMBER(U142)), INDEX('2.Distancias'!E3:J1446, (U138*38) + U142 + 1,4), NA())</f>
        <v>#N/A</v>
      </c>
      <c r="Y140" t="e">
        <f>IF(AND(ISNUMBER(X138), ISNUMBER(X142)), INDEX('2.Distancias'!E3:J1446, (X138*38) + X142 + 1,3), NA())</f>
        <v>#N/A</v>
      </c>
      <c r="Z140" t="e">
        <f>IF(AND(ISNUMBER(X138), ISNUMBER(X142)), INDEX('2.Distancias'!E3:J1446, (X138*38) + X142 + 1,4), NA())</f>
        <v>#N/A</v>
      </c>
      <c r="AB140" t="e">
        <f>IF(AND(ISNUMBER(AA138), ISNUMBER(AA142)), INDEX('2.Distancias'!E3:J1446, (AA138*38) + AA142 + 1,3), NA())</f>
        <v>#N/A</v>
      </c>
      <c r="AC140" t="e">
        <f>IF(AND(ISNUMBER(AA138), ISNUMBER(AA142)), INDEX('2.Distancias'!E3:J1446, (AA138*38) + AA142 + 1,4), NA())</f>
        <v>#N/A</v>
      </c>
      <c r="AE140" t="e">
        <f>IF(AND(ISNUMBER(AD138), ISNUMBER(AD142)), INDEX('2.Distancias'!E3:J1446, (AD138*38) + AD142 + 1,3), NA())</f>
        <v>#N/A</v>
      </c>
      <c r="AF140" t="e">
        <f>IF(AND(ISNUMBER(AD138), ISNUMBER(AD142)), INDEX('2.Distancias'!E3:J1446, (AD138*38) + AD142 + 1,4), NA())</f>
        <v>#N/A</v>
      </c>
      <c r="AH140" t="e">
        <f>IF(AND(ISNUMBER(AG138), ISNUMBER(AG142)), INDEX('2.Distancias'!E3:J1446, (AG138*38) + AG142 + 1,3), NA())</f>
        <v>#N/A</v>
      </c>
      <c r="AI140" t="e">
        <f>IF(AND(ISNUMBER(AG138), ISNUMBER(AG142)), INDEX('2.Distancias'!E3:J1446, (AG138*38) + AG142 + 1,4), NA())</f>
        <v>#N/A</v>
      </c>
      <c r="AK140" t="e">
        <f>IF(AND(ISNUMBER(AJ138), ISNUMBER(AJ142)), INDEX('2.Distancias'!E3:J1446, (AJ138*38) + AJ142 + 1,3), NA())</f>
        <v>#N/A</v>
      </c>
      <c r="AL140" t="e">
        <f>IF(AND(ISNUMBER(AJ138), ISNUMBER(AJ142)), INDEX('2.Distancias'!E3:J1446, (AJ138*38) + AJ142 + 1,4), NA())</f>
        <v>#N/A</v>
      </c>
    </row>
    <row r="141" spans="15:38" x14ac:dyDescent="0.25">
      <c r="P141" t="e">
        <f>IF(AND(ISNUMBER(O138), ISNUMBER(O142)), INDEX('2.Distancias'!E3:J1446, (O138*38) + O142 + 1,5), NA())</f>
        <v>#N/A</v>
      </c>
      <c r="Q141" t="e">
        <f>IF(AND(ISNUMBER(O138), ISNUMBER(O142)), INDEX('2.Distancias'!E3:J1446, (O138*38) + O142 + 1,6), NA())</f>
        <v>#N/A</v>
      </c>
      <c r="S141" t="e">
        <f>IF(AND(ISNUMBER(R138), ISNUMBER(R142)), INDEX('2.Distancias'!E3:J1446, (R138*38) + R142 + 1,5), NA())</f>
        <v>#N/A</v>
      </c>
      <c r="T141" t="e">
        <f>IF(AND(ISNUMBER(R138), ISNUMBER(R142)), INDEX('2.Distancias'!E3:J1446, (R138*38) + R142 + 1,6), NA())</f>
        <v>#N/A</v>
      </c>
      <c r="V141" t="e">
        <f>IF(AND(ISNUMBER(U138), ISNUMBER(U142)), INDEX('2.Distancias'!E3:J1446, (U138*38) + U142 + 1,5), NA())</f>
        <v>#N/A</v>
      </c>
      <c r="W141" t="e">
        <f>IF(AND(ISNUMBER(U138), ISNUMBER(U142)), INDEX('2.Distancias'!E3:J1446, (U138*38) + U142 + 1,6), NA())</f>
        <v>#N/A</v>
      </c>
      <c r="Y141" t="e">
        <f>IF(AND(ISNUMBER(X138), ISNUMBER(X142)), INDEX('2.Distancias'!E3:J1446, (X138*38) + X142 + 1,5), NA())</f>
        <v>#N/A</v>
      </c>
      <c r="Z141" t="e">
        <f>IF(AND(ISNUMBER(X138), ISNUMBER(X142)), INDEX('2.Distancias'!E3:J1446, (X138*38) + X142 + 1,6), NA())</f>
        <v>#N/A</v>
      </c>
      <c r="AB141" t="e">
        <f>IF(AND(ISNUMBER(AA138), ISNUMBER(AA142)), INDEX('2.Distancias'!E3:J1446, (AA138*38) + AA142 + 1,5), NA())</f>
        <v>#N/A</v>
      </c>
      <c r="AC141" t="e">
        <f>IF(AND(ISNUMBER(AA138), ISNUMBER(AA142)), INDEX('2.Distancias'!E3:J1446, (AA138*38) + AA142 + 1,6), NA())</f>
        <v>#N/A</v>
      </c>
      <c r="AE141" t="e">
        <f>IF(AND(ISNUMBER(AD138), ISNUMBER(AD142)), INDEX('2.Distancias'!E3:J1446, (AD138*38) + AD142 + 1,5), NA())</f>
        <v>#N/A</v>
      </c>
      <c r="AF141" t="e">
        <f>IF(AND(ISNUMBER(AD138), ISNUMBER(AD142)), INDEX('2.Distancias'!E3:J1446, (AD138*38) + AD142 + 1,6), NA())</f>
        <v>#N/A</v>
      </c>
      <c r="AH141" t="e">
        <f>IF(AND(ISNUMBER(AG138), ISNUMBER(AG142)), INDEX('2.Distancias'!E3:J1446, (AG138*38) + AG142 + 1,5), NA())</f>
        <v>#N/A</v>
      </c>
      <c r="AI141" t="e">
        <f>IF(AND(ISNUMBER(AG138), ISNUMBER(AG142)), INDEX('2.Distancias'!E3:J1446, (AG138*38) + AG142 + 1,6), NA())</f>
        <v>#N/A</v>
      </c>
      <c r="AK141" t="e">
        <f>IF(AND(ISNUMBER(AJ138), ISNUMBER(AJ142)), INDEX('2.Distancias'!E3:J1446, (AJ138*38) + AJ142 + 1,5), NA())</f>
        <v>#N/A</v>
      </c>
      <c r="AL141" t="e">
        <f>IF(AND(ISNUMBER(AJ138), ISNUMBER(AJ142)), INDEX('2.Distancias'!E3:J1446, (AJ138*38) + AJ142 + 1,6), NA())</f>
        <v>#N/A</v>
      </c>
    </row>
    <row r="142" spans="15:38" x14ac:dyDescent="0.25">
      <c r="O142" t="str">
        <f>'4.Solución'!C40</f>
        <v xml:space="preserve"> </v>
      </c>
      <c r="P142" t="e">
        <f>IFERROR(IF(ISNUMBER(O142),INDEX('1 ubicaciones'!$D$2:$D$22,O142 + 1),NA()),NA())</f>
        <v>#N/A</v>
      </c>
      <c r="Q142" t="e">
        <f>IFERROR(IF(ISNUMBER(O142),INDEX('1 ubicaciones'!$E$2:$E$22,O142 + 1),NA()),NA())</f>
        <v>#N/A</v>
      </c>
      <c r="R142" t="str">
        <f>'4.Solución'!T40</f>
        <v xml:space="preserve"> </v>
      </c>
      <c r="S142" t="e">
        <f>IFERROR(IF(ISNUMBER(R142),INDEX('1 ubicaciones'!$D$2:$D$22,R142 + 1),NA()),NA())</f>
        <v>#N/A</v>
      </c>
      <c r="T142" t="e">
        <f>IFERROR(IF(ISNUMBER(R142),INDEX('1 ubicaciones'!$E$2:$E$22,R142 + 1),NA()),NA())</f>
        <v>#N/A</v>
      </c>
      <c r="U142" t="str">
        <f>'4.Solución'!AK40</f>
        <v xml:space="preserve"> </v>
      </c>
      <c r="V142" t="e">
        <f>IFERROR(IF(ISNUMBER(U142),INDEX('1 ubicaciones'!$D$2:$D$22,U142 + 1),NA()),NA())</f>
        <v>#N/A</v>
      </c>
      <c r="W142" t="e">
        <f>IFERROR(IF(ISNUMBER(U142),INDEX('1 ubicaciones'!$E$2:$E$22,U142 + 1),NA()),NA())</f>
        <v>#N/A</v>
      </c>
      <c r="X142" t="str">
        <f>'4.Solución'!BB40</f>
        <v xml:space="preserve"> </v>
      </c>
      <c r="Y142" t="e">
        <f>IFERROR(IF(ISNUMBER(X142),INDEX('1 ubicaciones'!$D$2:$D$22,X142 + 1),NA()),NA())</f>
        <v>#N/A</v>
      </c>
      <c r="Z142" t="e">
        <f>IFERROR(IF(ISNUMBER(X142),INDEX('1 ubicaciones'!$E$2:$E$22,X142 + 1),NA()),NA())</f>
        <v>#N/A</v>
      </c>
      <c r="AA142" t="str">
        <f>'4.Solución'!BS40</f>
        <v xml:space="preserve"> </v>
      </c>
      <c r="AB142" t="e">
        <f>IFERROR(IF(ISNUMBER(AA142),INDEX('1 ubicaciones'!$D$2:$D$22,AA142 + 1),NA()),NA())</f>
        <v>#N/A</v>
      </c>
      <c r="AC142" t="e">
        <f>IFERROR(IF(ISNUMBER(AA142),INDEX('1 ubicaciones'!$E$2:$E$22,AA142 + 1),NA()),NA())</f>
        <v>#N/A</v>
      </c>
      <c r="AD142" t="str">
        <f>'4.Solución'!CJ40</f>
        <v xml:space="preserve"> </v>
      </c>
      <c r="AE142" t="e">
        <f>IFERROR(IF(ISNUMBER(AD142),INDEX('1 ubicaciones'!$D$2:$D$22,AD142 + 1),NA()),NA())</f>
        <v>#N/A</v>
      </c>
      <c r="AF142" t="e">
        <f>IFERROR(IF(ISNUMBER(AD142),INDEX('1 ubicaciones'!$E$2:$E$22,AD142 + 1),NA()),NA())</f>
        <v>#N/A</v>
      </c>
      <c r="AG142" t="str">
        <f>'4.Solución'!DA40</f>
        <v xml:space="preserve"> </v>
      </c>
      <c r="AH142" t="e">
        <f>IFERROR(IF(ISNUMBER(AG142),INDEX('1 ubicaciones'!$D$2:$D$22,AG142 + 1),NA()),NA())</f>
        <v>#N/A</v>
      </c>
      <c r="AI142" t="e">
        <f>IFERROR(IF(ISNUMBER(AG142),INDEX('1 ubicaciones'!$E$2:$E$22,AG142 + 1),NA()),NA())</f>
        <v>#N/A</v>
      </c>
      <c r="AJ142" t="str">
        <f>'4.Solución'!DR40</f>
        <v xml:space="preserve"> </v>
      </c>
      <c r="AK142" t="e">
        <f>IFERROR(IF(ISNUMBER(AJ142),INDEX('1 ubicaciones'!$D$2:$D$22,AJ142 + 1),NA()),NA())</f>
        <v>#N/A</v>
      </c>
      <c r="AL142" t="e">
        <f>IFERROR(IF(ISNUMBER(AJ142),INDEX('1 ubicaciones'!$E$2:$E$22,AJ142 + 1),NA()),NA())</f>
        <v>#N/A</v>
      </c>
    </row>
    <row r="143" spans="15:38" x14ac:dyDescent="0.25">
      <c r="P143" t="e">
        <f>IF(AND(ISNUMBER(O142), ISNUMBER(O146)), INDEX('2.Distancias'!E3:J1446, (O142*38) + O146 + 1,1), NA())</f>
        <v>#N/A</v>
      </c>
      <c r="Q143" t="e">
        <f>IF(AND(ISNUMBER(O142), ISNUMBER(O146)), INDEX('2.Distancias'!E3:J1446, (O142*38) + O146 + 1,2), NA())</f>
        <v>#N/A</v>
      </c>
      <c r="S143" t="e">
        <f>IF(AND(ISNUMBER(R142), ISNUMBER(R146)), INDEX('2.Distancias'!E3:J1446, (R142*38) + R146 + 1,1), NA())</f>
        <v>#N/A</v>
      </c>
      <c r="T143" t="e">
        <f>IF(AND(ISNUMBER(R142), ISNUMBER(R146)), INDEX('2.Distancias'!E3:J1446, (R142*38) + R146 + 1,2), NA())</f>
        <v>#N/A</v>
      </c>
      <c r="V143" t="e">
        <f>IF(AND(ISNUMBER(U142), ISNUMBER(U146)), INDEX('2.Distancias'!E3:J1446, (U142*38) + U146 + 1,1), NA())</f>
        <v>#N/A</v>
      </c>
      <c r="W143" t="e">
        <f>IF(AND(ISNUMBER(U142), ISNUMBER(U146)), INDEX('2.Distancias'!E3:J1446, (U142*38) + U146 + 1,2), NA())</f>
        <v>#N/A</v>
      </c>
      <c r="Y143" t="e">
        <f>IF(AND(ISNUMBER(X142), ISNUMBER(X146)), INDEX('2.Distancias'!E3:J1446, (X142*38) + X146 + 1,1), NA())</f>
        <v>#N/A</v>
      </c>
      <c r="Z143" t="e">
        <f>IF(AND(ISNUMBER(X142), ISNUMBER(X146)), INDEX('2.Distancias'!E3:J1446, (X142*38) + X146 + 1,2), NA())</f>
        <v>#N/A</v>
      </c>
      <c r="AB143" t="e">
        <f>IF(AND(ISNUMBER(AA142), ISNUMBER(AA146)), INDEX('2.Distancias'!E3:J1446, (AA142*38) + AA146 + 1,1), NA())</f>
        <v>#N/A</v>
      </c>
      <c r="AC143" t="e">
        <f>IF(AND(ISNUMBER(AA142), ISNUMBER(AA146)), INDEX('2.Distancias'!E3:J1446, (AA142*38) + AA146 + 1,2), NA())</f>
        <v>#N/A</v>
      </c>
      <c r="AE143" t="e">
        <f>IF(AND(ISNUMBER(AD142), ISNUMBER(AD146)), INDEX('2.Distancias'!E3:J1446, (AD142*38) + AD146 + 1,1), NA())</f>
        <v>#N/A</v>
      </c>
      <c r="AF143" t="e">
        <f>IF(AND(ISNUMBER(AD142), ISNUMBER(AD146)), INDEX('2.Distancias'!E3:J1446, (AD142*38) + AD146 + 1,2), NA())</f>
        <v>#N/A</v>
      </c>
      <c r="AH143" t="e">
        <f>IF(AND(ISNUMBER(AG142), ISNUMBER(AG146)), INDEX('2.Distancias'!E3:J1446, (AG142*38) + AG146 + 1,1), NA())</f>
        <v>#N/A</v>
      </c>
      <c r="AI143" t="e">
        <f>IF(AND(ISNUMBER(AG142), ISNUMBER(AG146)), INDEX('2.Distancias'!E3:J1446, (AG142*38) + AG146 + 1,2), NA())</f>
        <v>#N/A</v>
      </c>
      <c r="AK143" t="e">
        <f>IF(AND(ISNUMBER(AJ142), ISNUMBER(AJ146)), INDEX('2.Distancias'!E3:J1446, (AJ142*38) + AJ146 + 1,1), NA())</f>
        <v>#N/A</v>
      </c>
      <c r="AL143" t="e">
        <f>IF(AND(ISNUMBER(AJ142), ISNUMBER(AJ146)), INDEX('2.Distancias'!E3:J1446, (AJ142*38) + AJ146 + 1,2), NA())</f>
        <v>#N/A</v>
      </c>
    </row>
    <row r="144" spans="15:38" x14ac:dyDescent="0.25">
      <c r="P144" t="e">
        <f>IF(AND(ISNUMBER(O142), ISNUMBER(O146)), INDEX('2.Distancias'!E3:J1446, (O142*38) + O146 + 1,3), NA())</f>
        <v>#N/A</v>
      </c>
      <c r="Q144" t="e">
        <f>IF(AND(ISNUMBER(O142), ISNUMBER(O146)), INDEX('2.Distancias'!E3:J1446, (O142*38) + O146 + 1,4), NA())</f>
        <v>#N/A</v>
      </c>
      <c r="S144" t="e">
        <f>IF(AND(ISNUMBER(R142), ISNUMBER(R146)), INDEX('2.Distancias'!E3:J1446, (R142*38) + R146 + 1,3), NA())</f>
        <v>#N/A</v>
      </c>
      <c r="T144" t="e">
        <f>IF(AND(ISNUMBER(R142), ISNUMBER(R146)), INDEX('2.Distancias'!E3:J1446, (R142*38) + R146 + 1,4), NA())</f>
        <v>#N/A</v>
      </c>
      <c r="V144" t="e">
        <f>IF(AND(ISNUMBER(U142), ISNUMBER(U146)), INDEX('2.Distancias'!E3:J1446, (U142*38) + U146 + 1,3), NA())</f>
        <v>#N/A</v>
      </c>
      <c r="W144" t="e">
        <f>IF(AND(ISNUMBER(U142), ISNUMBER(U146)), INDEX('2.Distancias'!E3:J1446, (U142*38) + U146 + 1,4), NA())</f>
        <v>#N/A</v>
      </c>
      <c r="Y144" t="e">
        <f>IF(AND(ISNUMBER(X142), ISNUMBER(X146)), INDEX('2.Distancias'!E3:J1446, (X142*38) + X146 + 1,3), NA())</f>
        <v>#N/A</v>
      </c>
      <c r="Z144" t="e">
        <f>IF(AND(ISNUMBER(X142), ISNUMBER(X146)), INDEX('2.Distancias'!E3:J1446, (X142*38) + X146 + 1,4), NA())</f>
        <v>#N/A</v>
      </c>
      <c r="AB144" t="e">
        <f>IF(AND(ISNUMBER(AA142), ISNUMBER(AA146)), INDEX('2.Distancias'!E3:J1446, (AA142*38) + AA146 + 1,3), NA())</f>
        <v>#N/A</v>
      </c>
      <c r="AC144" t="e">
        <f>IF(AND(ISNUMBER(AA142), ISNUMBER(AA146)), INDEX('2.Distancias'!E3:J1446, (AA142*38) + AA146 + 1,4), NA())</f>
        <v>#N/A</v>
      </c>
      <c r="AE144" t="e">
        <f>IF(AND(ISNUMBER(AD142), ISNUMBER(AD146)), INDEX('2.Distancias'!E3:J1446, (AD142*38) + AD146 + 1,3), NA())</f>
        <v>#N/A</v>
      </c>
      <c r="AF144" t="e">
        <f>IF(AND(ISNUMBER(AD142), ISNUMBER(AD146)), INDEX('2.Distancias'!E3:J1446, (AD142*38) + AD146 + 1,4), NA())</f>
        <v>#N/A</v>
      </c>
      <c r="AH144" t="e">
        <f>IF(AND(ISNUMBER(AG142), ISNUMBER(AG146)), INDEX('2.Distancias'!E3:J1446, (AG142*38) + AG146 + 1,3), NA())</f>
        <v>#N/A</v>
      </c>
      <c r="AI144" t="e">
        <f>IF(AND(ISNUMBER(AG142), ISNUMBER(AG146)), INDEX('2.Distancias'!E3:J1446, (AG142*38) + AG146 + 1,4), NA())</f>
        <v>#N/A</v>
      </c>
      <c r="AK144" t="e">
        <f>IF(AND(ISNUMBER(AJ142), ISNUMBER(AJ146)), INDEX('2.Distancias'!E3:J1446, (AJ142*38) + AJ146 + 1,3), NA())</f>
        <v>#N/A</v>
      </c>
      <c r="AL144" t="e">
        <f>IF(AND(ISNUMBER(AJ142), ISNUMBER(AJ146)), INDEX('2.Distancias'!E3:J1446, (AJ142*38) + AJ146 + 1,4), NA())</f>
        <v>#N/A</v>
      </c>
    </row>
    <row r="145" spans="15:38" x14ac:dyDescent="0.25">
      <c r="P145" t="e">
        <f>IF(AND(ISNUMBER(O142), ISNUMBER(O146)), INDEX('2.Distancias'!E3:J1446, (O142*38) + O146 + 1,5), NA())</f>
        <v>#N/A</v>
      </c>
      <c r="Q145" t="e">
        <f>IF(AND(ISNUMBER(O142), ISNUMBER(O146)), INDEX('2.Distancias'!E3:J1446, (O142*38) + O146 + 1,6), NA())</f>
        <v>#N/A</v>
      </c>
      <c r="S145" t="e">
        <f>IF(AND(ISNUMBER(R142), ISNUMBER(R146)), INDEX('2.Distancias'!E3:J1446, (R142*38) + R146 + 1,5), NA())</f>
        <v>#N/A</v>
      </c>
      <c r="T145" t="e">
        <f>IF(AND(ISNUMBER(R142), ISNUMBER(R146)), INDEX('2.Distancias'!E3:J1446, (R142*38) + R146 + 1,6), NA())</f>
        <v>#N/A</v>
      </c>
      <c r="V145" t="e">
        <f>IF(AND(ISNUMBER(U142), ISNUMBER(U146)), INDEX('2.Distancias'!E3:J1446, (U142*38) + U146 + 1,5), NA())</f>
        <v>#N/A</v>
      </c>
      <c r="W145" t="e">
        <f>IF(AND(ISNUMBER(U142), ISNUMBER(U146)), INDEX('2.Distancias'!E3:J1446, (U142*38) + U146 + 1,6), NA())</f>
        <v>#N/A</v>
      </c>
      <c r="Y145" t="e">
        <f>IF(AND(ISNUMBER(X142), ISNUMBER(X146)), INDEX('2.Distancias'!E3:J1446, (X142*38) + X146 + 1,5), NA())</f>
        <v>#N/A</v>
      </c>
      <c r="Z145" t="e">
        <f>IF(AND(ISNUMBER(X142), ISNUMBER(X146)), INDEX('2.Distancias'!E3:J1446, (X142*38) + X146 + 1,6), NA())</f>
        <v>#N/A</v>
      </c>
      <c r="AB145" t="e">
        <f>IF(AND(ISNUMBER(AA142), ISNUMBER(AA146)), INDEX('2.Distancias'!E3:J1446, (AA142*38) + AA146 + 1,5), NA())</f>
        <v>#N/A</v>
      </c>
      <c r="AC145" t="e">
        <f>IF(AND(ISNUMBER(AA142), ISNUMBER(AA146)), INDEX('2.Distancias'!E3:J1446, (AA142*38) + AA146 + 1,6), NA())</f>
        <v>#N/A</v>
      </c>
      <c r="AE145" t="e">
        <f>IF(AND(ISNUMBER(AD142), ISNUMBER(AD146)), INDEX('2.Distancias'!E3:J1446, (AD142*38) + AD146 + 1,5), NA())</f>
        <v>#N/A</v>
      </c>
      <c r="AF145" t="e">
        <f>IF(AND(ISNUMBER(AD142), ISNUMBER(AD146)), INDEX('2.Distancias'!E3:J1446, (AD142*38) + AD146 + 1,6), NA())</f>
        <v>#N/A</v>
      </c>
      <c r="AH145" t="e">
        <f>IF(AND(ISNUMBER(AG142), ISNUMBER(AG146)), INDEX('2.Distancias'!E3:J1446, (AG142*38) + AG146 + 1,5), NA())</f>
        <v>#N/A</v>
      </c>
      <c r="AI145" t="e">
        <f>IF(AND(ISNUMBER(AG142), ISNUMBER(AG146)), INDEX('2.Distancias'!E3:J1446, (AG142*38) + AG146 + 1,6), NA())</f>
        <v>#N/A</v>
      </c>
      <c r="AK145" t="e">
        <f>IF(AND(ISNUMBER(AJ142), ISNUMBER(AJ146)), INDEX('2.Distancias'!E3:J1446, (AJ142*38) + AJ146 + 1,5), NA())</f>
        <v>#N/A</v>
      </c>
      <c r="AL145" t="e">
        <f>IF(AND(ISNUMBER(AJ142), ISNUMBER(AJ146)), INDEX('2.Distancias'!E3:J1446, (AJ142*38) + AJ146 + 1,6), NA())</f>
        <v>#N/A</v>
      </c>
    </row>
    <row r="146" spans="15:38" x14ac:dyDescent="0.25">
      <c r="O146" t="str">
        <f>'4.Solución'!C41</f>
        <v xml:space="preserve"> </v>
      </c>
      <c r="P146" t="e">
        <f>IFERROR(IF(ISNUMBER(O146),INDEX('1 ubicaciones'!$D$2:$D$22,O146 + 1),NA()),NA())</f>
        <v>#N/A</v>
      </c>
      <c r="Q146" t="e">
        <f>IFERROR(IF(ISNUMBER(O146),INDEX('1 ubicaciones'!$E$2:$E$22,O146 + 1),NA()),NA())</f>
        <v>#N/A</v>
      </c>
      <c r="R146" t="str">
        <f>'4.Solución'!T41</f>
        <v xml:space="preserve"> </v>
      </c>
      <c r="S146" t="e">
        <f>IFERROR(IF(ISNUMBER(R146),INDEX('1 ubicaciones'!$D$2:$D$22,R146 + 1),NA()),NA())</f>
        <v>#N/A</v>
      </c>
      <c r="T146" t="e">
        <f>IFERROR(IF(ISNUMBER(R146),INDEX('1 ubicaciones'!$E$2:$E$22,R146 + 1),NA()),NA())</f>
        <v>#N/A</v>
      </c>
      <c r="U146" t="str">
        <f>'4.Solución'!AK41</f>
        <v xml:space="preserve"> </v>
      </c>
      <c r="V146" t="e">
        <f>IFERROR(IF(ISNUMBER(U146),INDEX('1 ubicaciones'!$D$2:$D$22,U146 + 1),NA()),NA())</f>
        <v>#N/A</v>
      </c>
      <c r="W146" t="e">
        <f>IFERROR(IF(ISNUMBER(U146),INDEX('1 ubicaciones'!$E$2:$E$22,U146 + 1),NA()),NA())</f>
        <v>#N/A</v>
      </c>
      <c r="X146" t="str">
        <f>'4.Solución'!BB41</f>
        <v xml:space="preserve"> </v>
      </c>
      <c r="Y146" t="e">
        <f>IFERROR(IF(ISNUMBER(X146),INDEX('1 ubicaciones'!$D$2:$D$22,X146 + 1),NA()),NA())</f>
        <v>#N/A</v>
      </c>
      <c r="Z146" t="e">
        <f>IFERROR(IF(ISNUMBER(X146),INDEX('1 ubicaciones'!$E$2:$E$22,X146 + 1),NA()),NA())</f>
        <v>#N/A</v>
      </c>
      <c r="AA146" t="str">
        <f>'4.Solución'!BS41</f>
        <v xml:space="preserve"> </v>
      </c>
      <c r="AB146" t="e">
        <f>IFERROR(IF(ISNUMBER(AA146),INDEX('1 ubicaciones'!$D$2:$D$22,AA146 + 1),NA()),NA())</f>
        <v>#N/A</v>
      </c>
      <c r="AC146" t="e">
        <f>IFERROR(IF(ISNUMBER(AA146),INDEX('1 ubicaciones'!$E$2:$E$22,AA146 + 1),NA()),NA())</f>
        <v>#N/A</v>
      </c>
      <c r="AD146" t="str">
        <f>'4.Solución'!CJ41</f>
        <v xml:space="preserve"> </v>
      </c>
      <c r="AE146" t="e">
        <f>IFERROR(IF(ISNUMBER(AD146),INDEX('1 ubicaciones'!$D$2:$D$22,AD146 + 1),NA()),NA())</f>
        <v>#N/A</v>
      </c>
      <c r="AF146" t="e">
        <f>IFERROR(IF(ISNUMBER(AD146),INDEX('1 ubicaciones'!$E$2:$E$22,AD146 + 1),NA()),NA())</f>
        <v>#N/A</v>
      </c>
      <c r="AG146" t="str">
        <f>'4.Solución'!DA41</f>
        <v xml:space="preserve"> </v>
      </c>
      <c r="AH146" t="e">
        <f>IFERROR(IF(ISNUMBER(AG146),INDEX('1 ubicaciones'!$D$2:$D$22,AG146 + 1),NA()),NA())</f>
        <v>#N/A</v>
      </c>
      <c r="AI146" t="e">
        <f>IFERROR(IF(ISNUMBER(AG146),INDEX('1 ubicaciones'!$E$2:$E$22,AG146 + 1),NA()),NA())</f>
        <v>#N/A</v>
      </c>
      <c r="AJ146" t="str">
        <f>'4.Solución'!DR41</f>
        <v xml:space="preserve"> </v>
      </c>
      <c r="AK146" t="e">
        <f>IFERROR(IF(ISNUMBER(AJ146),INDEX('1 ubicaciones'!$D$2:$D$22,AJ146 + 1),NA()),NA())</f>
        <v>#N/A</v>
      </c>
      <c r="AL146" t="e">
        <f>IFERROR(IF(ISNUMBER(AJ146),INDEX('1 ubicaciones'!$E$2:$E$22,AJ146 + 1),NA()),NA())</f>
        <v>#N/A</v>
      </c>
    </row>
    <row r="147" spans="15:38" x14ac:dyDescent="0.25">
      <c r="P147" t="e">
        <f>IF(AND(ISNUMBER(O146), ISNUMBER(O150)), INDEX('2.Distancias'!E3:J1446, (O146*38) + O150 + 1,1), NA())</f>
        <v>#N/A</v>
      </c>
      <c r="Q147" t="e">
        <f>IF(AND(ISNUMBER(O146), ISNUMBER(O150)), INDEX('2.Distancias'!E3:J1446, (O146*38) + O150 + 1,2), NA())</f>
        <v>#N/A</v>
      </c>
      <c r="S147" t="e">
        <f>IF(AND(ISNUMBER(R146), ISNUMBER(R150)), INDEX('2.Distancias'!E3:J1446, (R146*38) + R150 + 1,1), NA())</f>
        <v>#N/A</v>
      </c>
      <c r="T147" t="e">
        <f>IF(AND(ISNUMBER(R146), ISNUMBER(R150)), INDEX('2.Distancias'!E3:J1446, (R146*38) + R150 + 1,2), NA())</f>
        <v>#N/A</v>
      </c>
      <c r="V147" t="e">
        <f>IF(AND(ISNUMBER(U146), ISNUMBER(U150)), INDEX('2.Distancias'!E3:J1446, (U146*38) + U150 + 1,1), NA())</f>
        <v>#N/A</v>
      </c>
      <c r="W147" t="e">
        <f>IF(AND(ISNUMBER(U146), ISNUMBER(U150)), INDEX('2.Distancias'!E3:J1446, (U146*38) + U150 + 1,2), NA())</f>
        <v>#N/A</v>
      </c>
      <c r="Y147" t="e">
        <f>IF(AND(ISNUMBER(X146), ISNUMBER(X150)), INDEX('2.Distancias'!E3:J1446, (X146*38) + X150 + 1,1), NA())</f>
        <v>#N/A</v>
      </c>
      <c r="Z147" t="e">
        <f>IF(AND(ISNUMBER(X146), ISNUMBER(X150)), INDEX('2.Distancias'!E3:J1446, (X146*38) + X150 + 1,2), NA())</f>
        <v>#N/A</v>
      </c>
      <c r="AB147" t="e">
        <f>IF(AND(ISNUMBER(AA146), ISNUMBER(AA150)), INDEX('2.Distancias'!E3:J1446, (AA146*38) + AA150 + 1,1), NA())</f>
        <v>#N/A</v>
      </c>
      <c r="AC147" t="e">
        <f>IF(AND(ISNUMBER(AA146), ISNUMBER(AA150)), INDEX('2.Distancias'!E3:J1446, (AA146*38) + AA150 + 1,2), NA())</f>
        <v>#N/A</v>
      </c>
      <c r="AE147" t="e">
        <f>IF(AND(ISNUMBER(AD146), ISNUMBER(AD150)), INDEX('2.Distancias'!E3:J1446, (AD146*38) + AD150 + 1,1), NA())</f>
        <v>#N/A</v>
      </c>
      <c r="AF147" t="e">
        <f>IF(AND(ISNUMBER(AD146), ISNUMBER(AD150)), INDEX('2.Distancias'!E3:J1446, (AD146*38) + AD150 + 1,2), NA())</f>
        <v>#N/A</v>
      </c>
      <c r="AH147" t="e">
        <f>IF(AND(ISNUMBER(AG146), ISNUMBER(AG150)), INDEX('2.Distancias'!E3:J1446, (AG146*38) + AG150 + 1,1), NA())</f>
        <v>#N/A</v>
      </c>
      <c r="AI147" t="e">
        <f>IF(AND(ISNUMBER(AG146), ISNUMBER(AG150)), INDEX('2.Distancias'!E3:J1446, (AG146*38) + AG150 + 1,2), NA())</f>
        <v>#N/A</v>
      </c>
      <c r="AK147" t="e">
        <f>IF(AND(ISNUMBER(AJ146), ISNUMBER(AJ150)), INDEX('2.Distancias'!E3:J1446, (AJ146*38) + AJ150 + 1,1), NA())</f>
        <v>#N/A</v>
      </c>
      <c r="AL147" t="e">
        <f>IF(AND(ISNUMBER(AJ146), ISNUMBER(AJ150)), INDEX('2.Distancias'!E3:J1446, (AJ146*38) + AJ150 + 1,2), NA())</f>
        <v>#N/A</v>
      </c>
    </row>
    <row r="148" spans="15:38" x14ac:dyDescent="0.25">
      <c r="P148" t="e">
        <f>IF(AND(ISNUMBER(O146), ISNUMBER(O150)), INDEX('2.Distancias'!E3:J1446, (O146*38) + O150 + 1,3), NA())</f>
        <v>#N/A</v>
      </c>
      <c r="Q148" t="e">
        <f>IF(AND(ISNUMBER(O146), ISNUMBER(O150)), INDEX('2.Distancias'!E3:J1446, (O146*38) + O150 + 1,4), NA())</f>
        <v>#N/A</v>
      </c>
      <c r="S148" t="e">
        <f>IF(AND(ISNUMBER(R146), ISNUMBER(R150)), INDEX('2.Distancias'!E3:J1446, (R146*38) + R150 + 1,3), NA())</f>
        <v>#N/A</v>
      </c>
      <c r="T148" t="e">
        <f>IF(AND(ISNUMBER(R146), ISNUMBER(R150)), INDEX('2.Distancias'!E3:J1446, (R146*38) + R150 + 1,4), NA())</f>
        <v>#N/A</v>
      </c>
      <c r="V148" t="e">
        <f>IF(AND(ISNUMBER(U146), ISNUMBER(U150)), INDEX('2.Distancias'!E3:J1446, (U146*38) + U150 + 1,3), NA())</f>
        <v>#N/A</v>
      </c>
      <c r="W148" t="e">
        <f>IF(AND(ISNUMBER(U146), ISNUMBER(U150)), INDEX('2.Distancias'!E3:J1446, (U146*38) + U150 + 1,4), NA())</f>
        <v>#N/A</v>
      </c>
      <c r="Y148" t="e">
        <f>IF(AND(ISNUMBER(X146), ISNUMBER(X150)), INDEX('2.Distancias'!E3:J1446, (X146*38) + X150 + 1,3), NA())</f>
        <v>#N/A</v>
      </c>
      <c r="Z148" t="e">
        <f>IF(AND(ISNUMBER(X146), ISNUMBER(X150)), INDEX('2.Distancias'!E3:J1446, (X146*38) + X150 + 1,4), NA())</f>
        <v>#N/A</v>
      </c>
      <c r="AB148" t="e">
        <f>IF(AND(ISNUMBER(AA146), ISNUMBER(AA150)), INDEX('2.Distancias'!E3:J1446, (AA146*38) + AA150 + 1,3), NA())</f>
        <v>#N/A</v>
      </c>
      <c r="AC148" t="e">
        <f>IF(AND(ISNUMBER(AA146), ISNUMBER(AA150)), INDEX('2.Distancias'!E3:J1446, (AA146*38) + AA150 + 1,4), NA())</f>
        <v>#N/A</v>
      </c>
      <c r="AE148" t="e">
        <f>IF(AND(ISNUMBER(AD146), ISNUMBER(AD150)), INDEX('2.Distancias'!E3:J1446, (AD146*38) + AD150 + 1,3), NA())</f>
        <v>#N/A</v>
      </c>
      <c r="AF148" t="e">
        <f>IF(AND(ISNUMBER(AD146), ISNUMBER(AD150)), INDEX('2.Distancias'!E3:J1446, (AD146*38) + AD150 + 1,4), NA())</f>
        <v>#N/A</v>
      </c>
      <c r="AH148" t="e">
        <f>IF(AND(ISNUMBER(AG146), ISNUMBER(AG150)), INDEX('2.Distancias'!E3:J1446, (AG146*38) + AG150 + 1,3), NA())</f>
        <v>#N/A</v>
      </c>
      <c r="AI148" t="e">
        <f>IF(AND(ISNUMBER(AG146), ISNUMBER(AG150)), INDEX('2.Distancias'!E3:J1446, (AG146*38) + AG150 + 1,4), NA())</f>
        <v>#N/A</v>
      </c>
      <c r="AK148" t="e">
        <f>IF(AND(ISNUMBER(AJ146), ISNUMBER(AJ150)), INDEX('2.Distancias'!E3:J1446, (AJ146*38) + AJ150 + 1,3), NA())</f>
        <v>#N/A</v>
      </c>
      <c r="AL148" t="e">
        <f>IF(AND(ISNUMBER(AJ146), ISNUMBER(AJ150)), INDEX('2.Distancias'!E3:J1446, (AJ146*38) + AJ150 + 1,4), NA())</f>
        <v>#N/A</v>
      </c>
    </row>
    <row r="149" spans="15:38" x14ac:dyDescent="0.25">
      <c r="P149" t="e">
        <f>IF(AND(ISNUMBER(O146), ISNUMBER(O150)), INDEX('2.Distancias'!E3:J1446, (O146*38) + O150 + 1,5), NA())</f>
        <v>#N/A</v>
      </c>
      <c r="Q149" t="e">
        <f>IF(AND(ISNUMBER(O146), ISNUMBER(O150)), INDEX('2.Distancias'!E3:J1446, (O146*38) + O150 + 1,6), NA())</f>
        <v>#N/A</v>
      </c>
      <c r="S149" t="e">
        <f>IF(AND(ISNUMBER(R146), ISNUMBER(R150)), INDEX('2.Distancias'!E3:J1446, (R146*38) + R150 + 1,5), NA())</f>
        <v>#N/A</v>
      </c>
      <c r="T149" t="e">
        <f>IF(AND(ISNUMBER(R146), ISNUMBER(R150)), INDEX('2.Distancias'!E3:J1446, (R146*38) + R150 + 1,6), NA())</f>
        <v>#N/A</v>
      </c>
      <c r="V149" t="e">
        <f>IF(AND(ISNUMBER(U146), ISNUMBER(U150)), INDEX('2.Distancias'!E3:J1446, (U146*38) + U150 + 1,5), NA())</f>
        <v>#N/A</v>
      </c>
      <c r="W149" t="e">
        <f>IF(AND(ISNUMBER(U146), ISNUMBER(U150)), INDEX('2.Distancias'!E3:J1446, (U146*38) + U150 + 1,6), NA())</f>
        <v>#N/A</v>
      </c>
      <c r="Y149" t="e">
        <f>IF(AND(ISNUMBER(X146), ISNUMBER(X150)), INDEX('2.Distancias'!E3:J1446, (X146*38) + X150 + 1,5), NA())</f>
        <v>#N/A</v>
      </c>
      <c r="Z149" t="e">
        <f>IF(AND(ISNUMBER(X146), ISNUMBER(X150)), INDEX('2.Distancias'!E3:J1446, (X146*38) + X150 + 1,6), NA())</f>
        <v>#N/A</v>
      </c>
      <c r="AB149" t="e">
        <f>IF(AND(ISNUMBER(AA146), ISNUMBER(AA150)), INDEX('2.Distancias'!E3:J1446, (AA146*38) + AA150 + 1,5), NA())</f>
        <v>#N/A</v>
      </c>
      <c r="AC149" t="e">
        <f>IF(AND(ISNUMBER(AA146), ISNUMBER(AA150)), INDEX('2.Distancias'!E3:J1446, (AA146*38) + AA150 + 1,6), NA())</f>
        <v>#N/A</v>
      </c>
      <c r="AE149" t="e">
        <f>IF(AND(ISNUMBER(AD146), ISNUMBER(AD150)), INDEX('2.Distancias'!E3:J1446, (AD146*38) + AD150 + 1,5), NA())</f>
        <v>#N/A</v>
      </c>
      <c r="AF149" t="e">
        <f>IF(AND(ISNUMBER(AD146), ISNUMBER(AD150)), INDEX('2.Distancias'!E3:J1446, (AD146*38) + AD150 + 1,6), NA())</f>
        <v>#N/A</v>
      </c>
      <c r="AH149" t="e">
        <f>IF(AND(ISNUMBER(AG146), ISNUMBER(AG150)), INDEX('2.Distancias'!E3:J1446, (AG146*38) + AG150 + 1,5), NA())</f>
        <v>#N/A</v>
      </c>
      <c r="AI149" t="e">
        <f>IF(AND(ISNUMBER(AG146), ISNUMBER(AG150)), INDEX('2.Distancias'!E3:J1446, (AG146*38) + AG150 + 1,6), NA())</f>
        <v>#N/A</v>
      </c>
      <c r="AK149" t="e">
        <f>IF(AND(ISNUMBER(AJ146), ISNUMBER(AJ150)), INDEX('2.Distancias'!E3:J1446, (AJ146*38) + AJ150 + 1,5), NA())</f>
        <v>#N/A</v>
      </c>
      <c r="AL149" t="e">
        <f>IF(AND(ISNUMBER(AJ146), ISNUMBER(AJ150)), INDEX('2.Distancias'!E3:J1446, (AJ146*38) + AJ150 + 1,6), NA())</f>
        <v>#N/A</v>
      </c>
    </row>
  </sheetData>
  <dataValidations count="1">
    <dataValidation type="list" allowBlank="1" showInputMessage="1" showErrorMessage="1" errorTitle="Advertencia" error="Seleccione un valor de la lista disponible en la celda seleccionada." sqref="B1" xr:uid="{2F7131FA-3EEF-4AD5-AA5F-86DFB4E19E20}">
      <formula1>$AM$1:$AM$9</formula1>
    </dataValidation>
  </dataValidations>
  <pageMargins left="0.7" right="0.7" top="0.75" bottom="0.75" header="0.3" footer="0.3"/>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button id="customButton11" getLabel="GetMenuLabel" imageMso="AnimationStartDropdown" onAction="AnimateVisualizationWorksheetRibbonCall"/>
          </menu>
        </group>
        <group id="customGroup7" imageMso="AnimationStartDropdown">
          <menu id="menu7" getLabel="GetMenuLabel" imageMso="AnimationStartDropdown" size="large">
            <button id="customButton12" getLabel="GetMenuLabel" imageMso="AnimationStartDropdown" onAction="VRP_Solver_ribbon_call"/>
            <button id="customButton13" getLabel="GetMenuLabel" imageMso="AdvancedFind" onAction="FeasibilityCheckDataAndSolutionRibbonCall"/>
            <button id="customButton14" getLabel="GetMenuLabel" imageMso="TableIndexes" onAction="external_vrp_solver_ribbon_call"/>
          </menu>
        </group>
        <group id="customGroup8" imageMso="Info">
          <menu id="menu8" getLabel="GetMenuLabel" imageMso="Info" size="large">
            <button id="customButton15" getLabel="GetMenuLabel" imageMso="ContactCardSendEmail" onAction="SendFeedbackRibbonCall"/>
            <button id="customButton16" getLabel="GetMenuLabel" imageMso="MovieFromFileInsert" onAction="WatchTutorialRibbonCall"/>
            <button id="customButton17"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About</vt:lpstr>
      <vt:lpstr>VRP Solver Console</vt:lpstr>
      <vt:lpstr>MultiLanguageMenuItems</vt:lpstr>
      <vt:lpstr>MultiLanguageInterface</vt:lpstr>
      <vt:lpstr>1 ubicaciones</vt:lpstr>
      <vt:lpstr>2.Distancias</vt:lpstr>
      <vt:lpstr>3.Vehículos</vt:lpstr>
      <vt:lpstr>3.1.Compatibilidad de vehículos</vt:lpstr>
      <vt:lpstr>4.Solución</vt:lpstr>
      <vt:lpstr>5.Visualización</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Andrés Bedoya Fox</cp:lastModifiedBy>
  <dcterms:created xsi:type="dcterms:W3CDTF">2013-07-17T23:20:08Z</dcterms:created>
  <dcterms:modified xsi:type="dcterms:W3CDTF">2026-01-26T17:51:50Z</dcterms:modified>
</cp:coreProperties>
</file>